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APL_USER\Desktop\Tests\ReinsurancePortfolio\TestPlans\SupportingData\Template\"/>
    </mc:Choice>
  </mc:AlternateContent>
  <xr:revisionPtr revIDLastSave="0" documentId="13_ncr:1_{EB158773-746C-4532-A386-E3D485C8AA6A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Config" sheetId="4" r:id="rId1"/>
    <sheet name="Output" sheetId="2" r:id="rId2"/>
    <sheet name="Sheet1" sheetId="3" state="hidden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68" i="3" l="1" a="1"/>
  <c r="R268" i="3" s="1"/>
  <c r="P268" i="3"/>
  <c r="Q267" i="3" a="1"/>
  <c r="R267" i="3" s="1"/>
  <c r="P267" i="3"/>
  <c r="Q266" i="3" a="1"/>
  <c r="R266" i="3" s="1"/>
  <c r="Q266" i="3"/>
  <c r="P266" i="3"/>
  <c r="Q265" i="3" a="1"/>
  <c r="R265" i="3" s="1"/>
  <c r="Q265" i="3"/>
  <c r="P265" i="3"/>
  <c r="Q264" i="3" a="1"/>
  <c r="Q264" i="3" s="1"/>
  <c r="P264" i="3"/>
  <c r="Q263" i="3" a="1"/>
  <c r="R263" i="3" s="1"/>
  <c r="P263" i="3"/>
  <c r="Q262" i="3" a="1"/>
  <c r="R262" i="3" s="1"/>
  <c r="P262" i="3"/>
  <c r="Q261" i="3" a="1"/>
  <c r="R261" i="3" s="1"/>
  <c r="P261" i="3"/>
  <c r="Q260" i="3" a="1"/>
  <c r="R260" i="3" s="1"/>
  <c r="Q260" i="3"/>
  <c r="P260" i="3"/>
  <c r="Q259" i="3" a="1"/>
  <c r="R259" i="3" s="1"/>
  <c r="P259" i="3"/>
  <c r="Q258" i="3" a="1"/>
  <c r="R258" i="3" s="1"/>
  <c r="P258" i="3"/>
  <c r="Q257" i="3" a="1"/>
  <c r="R257" i="3" s="1"/>
  <c r="Q257" i="3"/>
  <c r="P257" i="3"/>
  <c r="R256" i="3"/>
  <c r="Q256" i="3" a="1"/>
  <c r="Q256" i="3"/>
  <c r="P256" i="3"/>
  <c r="R255" i="3"/>
  <c r="Q255" i="3" a="1"/>
  <c r="Q255" i="3" s="1"/>
  <c r="P255" i="3"/>
  <c r="Q254" i="3" a="1"/>
  <c r="R254" i="3" s="1"/>
  <c r="P254" i="3"/>
  <c r="Q253" i="3" a="1"/>
  <c r="R253" i="3" s="1"/>
  <c r="P253" i="3"/>
  <c r="Q252" i="3" a="1"/>
  <c r="R252" i="3" s="1"/>
  <c r="Q252" i="3"/>
  <c r="P252" i="3"/>
  <c r="Q251" i="3" a="1"/>
  <c r="R251" i="3" s="1"/>
  <c r="Q251" i="3"/>
  <c r="P251" i="3"/>
  <c r="Q250" i="3" a="1"/>
  <c r="R250" i="3" s="1"/>
  <c r="P250" i="3"/>
  <c r="Q249" i="3" a="1"/>
  <c r="R249" i="3" s="1"/>
  <c r="P249" i="3"/>
  <c r="Q248" i="3" a="1"/>
  <c r="R248" i="3" s="1"/>
  <c r="Q248" i="3"/>
  <c r="P248" i="3"/>
  <c r="R247" i="3"/>
  <c r="Q247" i="3" a="1"/>
  <c r="Q247" i="3"/>
  <c r="P247" i="3"/>
  <c r="Q246" i="3" a="1"/>
  <c r="Q246" i="3" s="1"/>
  <c r="P246" i="3"/>
  <c r="Q245" i="3" a="1"/>
  <c r="R245" i="3" s="1"/>
  <c r="P245" i="3"/>
  <c r="Q244" i="3" a="1"/>
  <c r="R244" i="3" s="1"/>
  <c r="P244" i="3"/>
  <c r="Q243" i="3" a="1"/>
  <c r="R243" i="3" s="1"/>
  <c r="Q243" i="3"/>
  <c r="P243" i="3"/>
  <c r="Q242" i="3" a="1"/>
  <c r="Q242" i="3" s="1"/>
  <c r="P242" i="3"/>
  <c r="Q241" i="3" a="1"/>
  <c r="R241" i="3" s="1"/>
  <c r="P241" i="3"/>
  <c r="Q240" i="3" a="1"/>
  <c r="R240" i="3" s="1"/>
  <c r="P240" i="3"/>
  <c r="Q239" i="3" a="1"/>
  <c r="R239" i="3" s="1"/>
  <c r="Q239" i="3"/>
  <c r="P239" i="3"/>
  <c r="R238" i="3"/>
  <c r="Q238" i="3" a="1"/>
  <c r="Q238" i="3"/>
  <c r="P238" i="3"/>
  <c r="Q237" i="3" a="1"/>
  <c r="Q237" i="3" s="1"/>
  <c r="P237" i="3"/>
  <c r="Q236" i="3" a="1"/>
  <c r="R236" i="3" s="1"/>
  <c r="P236" i="3"/>
  <c r="Q235" i="3" a="1"/>
  <c r="R235" i="3" s="1"/>
  <c r="P235" i="3"/>
  <c r="Q234" i="3" a="1"/>
  <c r="R234" i="3" s="1"/>
  <c r="Q234" i="3"/>
  <c r="P234" i="3"/>
  <c r="Q233" i="3" a="1"/>
  <c r="R233" i="3" s="1"/>
  <c r="Q233" i="3"/>
  <c r="P233" i="3"/>
  <c r="Q232" i="3" a="1"/>
  <c r="R232" i="3" s="1"/>
  <c r="P232" i="3"/>
  <c r="Q231" i="3" a="1"/>
  <c r="R231" i="3" s="1"/>
  <c r="P231" i="3"/>
  <c r="Q230" i="3" a="1"/>
  <c r="R230" i="3" s="1"/>
  <c r="Q230" i="3"/>
  <c r="P230" i="3"/>
  <c r="R229" i="3"/>
  <c r="Q229" i="3" a="1"/>
  <c r="Q229" i="3"/>
  <c r="P229" i="3"/>
  <c r="Q228" i="3" a="1"/>
  <c r="Q228" i="3" s="1"/>
  <c r="P228" i="3"/>
  <c r="Q227" i="3" a="1"/>
  <c r="R227" i="3" s="1"/>
  <c r="P227" i="3"/>
  <c r="Q226" i="3" a="1"/>
  <c r="R226" i="3" s="1"/>
  <c r="P226" i="3"/>
  <c r="Q225" i="3" a="1"/>
  <c r="R225" i="3" s="1"/>
  <c r="Q225" i="3"/>
  <c r="P225" i="3"/>
  <c r="R224" i="3"/>
  <c r="Q224" i="3" a="1"/>
  <c r="Q224" i="3"/>
  <c r="P224" i="3"/>
  <c r="Q223" i="3" a="1"/>
  <c r="R223" i="3" s="1"/>
  <c r="P223" i="3"/>
  <c r="Q222" i="3" a="1"/>
  <c r="R222" i="3" s="1"/>
  <c r="P222" i="3"/>
  <c r="Q221" i="3" a="1"/>
  <c r="R221" i="3" s="1"/>
  <c r="Q221" i="3"/>
  <c r="P221" i="3"/>
  <c r="R220" i="3"/>
  <c r="Q220" i="3" a="1"/>
  <c r="Q220" i="3"/>
  <c r="P220" i="3"/>
  <c r="Q219" i="3" a="1"/>
  <c r="Q219" i="3" s="1"/>
  <c r="P219" i="3"/>
  <c r="Q218" i="3" a="1"/>
  <c r="R218" i="3" s="1"/>
  <c r="P218" i="3"/>
  <c r="Q217" i="3" a="1"/>
  <c r="R217" i="3" s="1"/>
  <c r="P217" i="3"/>
  <c r="Q216" i="3" a="1"/>
  <c r="R216" i="3" s="1"/>
  <c r="Q216" i="3"/>
  <c r="P216" i="3"/>
  <c r="R215" i="3"/>
  <c r="Q215" i="3" a="1"/>
  <c r="Q215" i="3"/>
  <c r="P215" i="3"/>
  <c r="Q214" i="3" a="1"/>
  <c r="R214" i="3" s="1"/>
  <c r="P214" i="3"/>
  <c r="Q213" i="3" a="1"/>
  <c r="R213" i="3" s="1"/>
  <c r="P213" i="3"/>
  <c r="Q212" i="3" a="1"/>
  <c r="R212" i="3" s="1"/>
  <c r="Q212" i="3"/>
  <c r="P212" i="3"/>
  <c r="R211" i="3"/>
  <c r="Q211" i="3" a="1"/>
  <c r="Q211" i="3"/>
  <c r="P211" i="3"/>
  <c r="Q210" i="3" a="1"/>
  <c r="Q210" i="3" s="1"/>
  <c r="P210" i="3"/>
  <c r="Q209" i="3" a="1"/>
  <c r="R209" i="3" s="1"/>
  <c r="P209" i="3"/>
  <c r="Q208" i="3" a="1"/>
  <c r="R208" i="3" s="1"/>
  <c r="P208" i="3"/>
  <c r="Q207" i="3" a="1"/>
  <c r="R207" i="3" s="1"/>
  <c r="Q207" i="3"/>
  <c r="P207" i="3"/>
  <c r="Q206" i="3" a="1"/>
  <c r="R206" i="3" s="1"/>
  <c r="Q206" i="3"/>
  <c r="P206" i="3"/>
  <c r="Q205" i="3" a="1"/>
  <c r="R205" i="3" s="1"/>
  <c r="P205" i="3"/>
  <c r="Q204" i="3" a="1"/>
  <c r="R204" i="3" s="1"/>
  <c r="P204" i="3"/>
  <c r="Q203" i="3" a="1"/>
  <c r="R203" i="3" s="1"/>
  <c r="Q203" i="3"/>
  <c r="P203" i="3"/>
  <c r="R202" i="3"/>
  <c r="Q202" i="3" a="1"/>
  <c r="Q202" i="3"/>
  <c r="P202" i="3"/>
  <c r="Q201" i="3" a="1"/>
  <c r="Q201" i="3" s="1"/>
  <c r="P201" i="3"/>
  <c r="Q200" i="3" a="1"/>
  <c r="R200" i="3" s="1"/>
  <c r="P200" i="3"/>
  <c r="Q199" i="3" a="1"/>
  <c r="R199" i="3" s="1"/>
  <c r="P199" i="3"/>
  <c r="Q198" i="3" a="1"/>
  <c r="R198" i="3" s="1"/>
  <c r="P198" i="3"/>
  <c r="Q197" i="3" a="1"/>
  <c r="R197" i="3" s="1"/>
  <c r="Q197" i="3"/>
  <c r="P197" i="3"/>
  <c r="Q196" i="3" a="1"/>
  <c r="R196" i="3" s="1"/>
  <c r="P196" i="3"/>
  <c r="Q195" i="3" a="1"/>
  <c r="R195" i="3" s="1"/>
  <c r="P195" i="3"/>
  <c r="Q194" i="3" a="1"/>
  <c r="R194" i="3" s="1"/>
  <c r="Q194" i="3"/>
  <c r="P194" i="3"/>
  <c r="R193" i="3"/>
  <c r="Q193" i="3" a="1"/>
  <c r="Q193" i="3"/>
  <c r="P193" i="3"/>
  <c r="R192" i="3"/>
  <c r="Q192" i="3" a="1"/>
  <c r="Q192" i="3" s="1"/>
  <c r="P192" i="3"/>
  <c r="Q191" i="3" a="1"/>
  <c r="R191" i="3" s="1"/>
  <c r="P191" i="3"/>
  <c r="Q190" i="3" a="1"/>
  <c r="R190" i="3" s="1"/>
  <c r="P190" i="3"/>
  <c r="Q189" i="3" a="1"/>
  <c r="R189" i="3" s="1"/>
  <c r="P189" i="3"/>
  <c r="R188" i="3"/>
  <c r="Q188" i="3" a="1"/>
  <c r="Q188" i="3"/>
  <c r="P188" i="3"/>
  <c r="Q187" i="3" a="1"/>
  <c r="R187" i="3" s="1"/>
  <c r="P187" i="3"/>
  <c r="Q186" i="3" a="1"/>
  <c r="R186" i="3" s="1"/>
  <c r="P186" i="3"/>
  <c r="Q185" i="3" a="1"/>
  <c r="R185" i="3" s="1"/>
  <c r="Q185" i="3"/>
  <c r="P185" i="3"/>
  <c r="R184" i="3"/>
  <c r="Q184" i="3" a="1"/>
  <c r="Q184" i="3"/>
  <c r="P184" i="3"/>
  <c r="R183" i="3"/>
  <c r="Q183" i="3" a="1"/>
  <c r="Q183" i="3" s="1"/>
  <c r="P183" i="3"/>
  <c r="Q182" i="3" a="1"/>
  <c r="R182" i="3" s="1"/>
  <c r="P182" i="3"/>
  <c r="Q181" i="3" a="1"/>
  <c r="R181" i="3" s="1"/>
  <c r="P181" i="3"/>
  <c r="Q180" i="3" a="1"/>
  <c r="R180" i="3" s="1"/>
  <c r="Q180" i="3"/>
  <c r="P180" i="3"/>
  <c r="Q179" i="3" a="1"/>
  <c r="R179" i="3" s="1"/>
  <c r="P179" i="3"/>
  <c r="Q178" i="3" a="1"/>
  <c r="R178" i="3" s="1"/>
  <c r="P178" i="3"/>
  <c r="Q177" i="3" a="1"/>
  <c r="R177" i="3" s="1"/>
  <c r="P177" i="3"/>
  <c r="Q176" i="3" a="1"/>
  <c r="R176" i="3" s="1"/>
  <c r="Q176" i="3"/>
  <c r="P176" i="3"/>
  <c r="R175" i="3"/>
  <c r="Q175" i="3" a="1"/>
  <c r="Q175" i="3"/>
  <c r="P175" i="3"/>
  <c r="Q174" i="3" a="1"/>
  <c r="Q174" i="3" s="1"/>
  <c r="P174" i="3"/>
  <c r="Q173" i="3" a="1"/>
  <c r="R173" i="3" s="1"/>
  <c r="P173" i="3"/>
  <c r="Q172" i="3" a="1"/>
  <c r="R172" i="3" s="1"/>
  <c r="P172" i="3"/>
  <c r="Q171" i="3" a="1"/>
  <c r="R171" i="3" s="1"/>
  <c r="Q171" i="3"/>
  <c r="P171" i="3"/>
  <c r="R170" i="3"/>
  <c r="Q170" i="3" a="1"/>
  <c r="Q170" i="3" s="1"/>
  <c r="P170" i="3"/>
  <c r="Q169" i="3" a="1"/>
  <c r="R169" i="3" s="1"/>
  <c r="P169" i="3"/>
  <c r="Q168" i="3" a="1"/>
  <c r="R168" i="3" s="1"/>
  <c r="P168" i="3"/>
  <c r="Q167" i="3" a="1"/>
  <c r="R167" i="3" s="1"/>
  <c r="Q167" i="3"/>
  <c r="P167" i="3"/>
  <c r="R166" i="3"/>
  <c r="Q166" i="3" a="1"/>
  <c r="Q166" i="3"/>
  <c r="P166" i="3"/>
  <c r="Q165" i="3" a="1"/>
  <c r="Q165" i="3" s="1"/>
  <c r="P165" i="3"/>
  <c r="Q164" i="3" a="1"/>
  <c r="P164" i="3"/>
  <c r="Q163" i="3" a="1"/>
  <c r="R163" i="3" s="1"/>
  <c r="P163" i="3"/>
  <c r="Q162" i="3" a="1"/>
  <c r="R162" i="3" s="1"/>
  <c r="P162" i="3"/>
  <c r="R161" i="3"/>
  <c r="Q161" i="3" a="1"/>
  <c r="Q161" i="3"/>
  <c r="P161" i="3"/>
  <c r="Q160" i="3" a="1"/>
  <c r="R160" i="3" s="1"/>
  <c r="P160" i="3"/>
  <c r="Q159" i="3" a="1"/>
  <c r="R159" i="3" s="1"/>
  <c r="P159" i="3"/>
  <c r="Q158" i="3" a="1"/>
  <c r="R158" i="3" s="1"/>
  <c r="Q158" i="3"/>
  <c r="P158" i="3"/>
  <c r="R157" i="3"/>
  <c r="Q157" i="3" a="1"/>
  <c r="Q157" i="3"/>
  <c r="P157" i="3"/>
  <c r="R156" i="3"/>
  <c r="Q156" i="3" a="1"/>
  <c r="Q156" i="3" s="1"/>
  <c r="P156" i="3"/>
  <c r="Q155" i="3" a="1"/>
  <c r="P155" i="3"/>
  <c r="Q154" i="3" a="1"/>
  <c r="R154" i="3" s="1"/>
  <c r="P154" i="3"/>
  <c r="Q153" i="3" a="1"/>
  <c r="R153" i="3" s="1"/>
  <c r="Q153" i="3"/>
  <c r="P153" i="3"/>
  <c r="Q152" i="3" a="1"/>
  <c r="R152" i="3" s="1"/>
  <c r="Q152" i="3"/>
  <c r="P152" i="3"/>
  <c r="Q151" i="3" a="1"/>
  <c r="R151" i="3" s="1"/>
  <c r="P151" i="3"/>
  <c r="Q150" i="3" a="1"/>
  <c r="R150" i="3" s="1"/>
  <c r="P150" i="3"/>
  <c r="Q149" i="3" a="1"/>
  <c r="R149" i="3" s="1"/>
  <c r="Q149" i="3"/>
  <c r="P149" i="3"/>
  <c r="R148" i="3"/>
  <c r="Q148" i="3" a="1"/>
  <c r="Q148" i="3"/>
  <c r="P148" i="3"/>
  <c r="Q147" i="3" a="1"/>
  <c r="Q147" i="3" s="1"/>
  <c r="P147" i="3"/>
  <c r="Q146" i="3" a="1"/>
  <c r="P146" i="3"/>
  <c r="Q145" i="3" a="1"/>
  <c r="R145" i="3" s="1"/>
  <c r="P145" i="3"/>
  <c r="Q144" i="3" a="1"/>
  <c r="R144" i="3" s="1"/>
  <c r="P144" i="3"/>
  <c r="R143" i="3"/>
  <c r="Q143" i="3" a="1"/>
  <c r="Q143" i="3" s="1"/>
  <c r="P143" i="3"/>
  <c r="Q142" i="3" a="1"/>
  <c r="R142" i="3" s="1"/>
  <c r="P142" i="3"/>
  <c r="Q141" i="3" a="1"/>
  <c r="R141" i="3" s="1"/>
  <c r="P141" i="3"/>
  <c r="Q140" i="3" a="1"/>
  <c r="R140" i="3" s="1"/>
  <c r="Q140" i="3"/>
  <c r="P140" i="3"/>
  <c r="R139" i="3"/>
  <c r="Q139" i="3" a="1"/>
  <c r="Q139" i="3"/>
  <c r="P139" i="3"/>
  <c r="Q138" i="3" a="1"/>
  <c r="Q138" i="3" s="1"/>
  <c r="P138" i="3"/>
  <c r="Q137" i="3" a="1"/>
  <c r="P137" i="3"/>
  <c r="Q136" i="3" a="1"/>
  <c r="R136" i="3" s="1"/>
  <c r="P136" i="3"/>
  <c r="Q135" i="3" a="1"/>
  <c r="R135" i="3" s="1"/>
  <c r="P135" i="3"/>
  <c r="Q134" i="3" a="1"/>
  <c r="R134" i="3" s="1"/>
  <c r="Q134" i="3"/>
  <c r="P134" i="3"/>
  <c r="Q133" i="3" a="1"/>
  <c r="R133" i="3" s="1"/>
  <c r="P133" i="3"/>
  <c r="Q132" i="3" a="1"/>
  <c r="R132" i="3" s="1"/>
  <c r="P132" i="3"/>
  <c r="Q131" i="3" a="1"/>
  <c r="R131" i="3" s="1"/>
  <c r="Q131" i="3"/>
  <c r="P131" i="3"/>
  <c r="R130" i="3"/>
  <c r="Q130" i="3" a="1"/>
  <c r="Q130" i="3"/>
  <c r="P130" i="3"/>
  <c r="R129" i="3"/>
  <c r="Q129" i="3" a="1"/>
  <c r="Q129" i="3" s="1"/>
  <c r="P129" i="3"/>
  <c r="Q128" i="3" a="1"/>
  <c r="P128" i="3"/>
  <c r="Q127" i="3" a="1"/>
  <c r="R127" i="3" s="1"/>
  <c r="P127" i="3"/>
  <c r="Q126" i="3" a="1"/>
  <c r="R126" i="3" s="1"/>
  <c r="Q126" i="3"/>
  <c r="P126" i="3"/>
  <c r="R125" i="3"/>
  <c r="Q125" i="3" a="1"/>
  <c r="Q125" i="3" s="1"/>
  <c r="P125" i="3"/>
  <c r="Q124" i="3" a="1"/>
  <c r="R124" i="3" s="1"/>
  <c r="P124" i="3"/>
  <c r="Q123" i="3" a="1"/>
  <c r="R123" i="3" s="1"/>
  <c r="P123" i="3"/>
  <c r="Q122" i="3" a="1"/>
  <c r="R122" i="3" s="1"/>
  <c r="Q122" i="3"/>
  <c r="P122" i="3"/>
  <c r="R121" i="3"/>
  <c r="Q121" i="3" a="1"/>
  <c r="Q121" i="3"/>
  <c r="P121" i="3"/>
  <c r="Q120" i="3" a="1"/>
  <c r="Q120" i="3" s="1"/>
  <c r="P120" i="3"/>
  <c r="Q119" i="3" a="1"/>
  <c r="P119" i="3"/>
  <c r="Q118" i="3" a="1"/>
  <c r="R118" i="3" s="1"/>
  <c r="P118" i="3"/>
  <c r="Q117" i="3" a="1"/>
  <c r="R117" i="3" s="1"/>
  <c r="P117" i="3"/>
  <c r="Q116" i="3" a="1"/>
  <c r="R116" i="3" s="1"/>
  <c r="P116" i="3"/>
  <c r="Q115" i="3" a="1"/>
  <c r="R115" i="3" s="1"/>
  <c r="P115" i="3"/>
  <c r="Q114" i="3" a="1"/>
  <c r="R114" i="3" s="1"/>
  <c r="P114" i="3"/>
  <c r="Q113" i="3" a="1"/>
  <c r="R113" i="3" s="1"/>
  <c r="Q113" i="3"/>
  <c r="P113" i="3"/>
  <c r="R112" i="3"/>
  <c r="Q112" i="3" a="1"/>
  <c r="Q112" i="3"/>
  <c r="P112" i="3"/>
  <c r="Q111" i="3" a="1"/>
  <c r="Q111" i="3" s="1"/>
  <c r="P111" i="3"/>
  <c r="Q110" i="3" a="1"/>
  <c r="P110" i="3"/>
  <c r="Q109" i="3" a="1"/>
  <c r="R109" i="3" s="1"/>
  <c r="P109" i="3"/>
  <c r="Q108" i="3" a="1"/>
  <c r="R108" i="3" s="1"/>
  <c r="Q108" i="3"/>
  <c r="P108" i="3"/>
  <c r="Q107" i="3" a="1"/>
  <c r="R107" i="3" s="1"/>
  <c r="Q107" i="3"/>
  <c r="P107" i="3"/>
  <c r="Q106" i="3" a="1"/>
  <c r="R106" i="3" s="1"/>
  <c r="P106" i="3"/>
  <c r="Q105" i="3" a="1"/>
  <c r="R105" i="3" s="1"/>
  <c r="P105" i="3"/>
  <c r="Q104" i="3" a="1"/>
  <c r="R104" i="3" s="1"/>
  <c r="Q104" i="3"/>
  <c r="P104" i="3"/>
  <c r="R103" i="3"/>
  <c r="Q103" i="3" a="1"/>
  <c r="Q103" i="3"/>
  <c r="P103" i="3"/>
  <c r="Q102" i="3" a="1"/>
  <c r="Q102" i="3" s="1"/>
  <c r="P102" i="3"/>
  <c r="Q101" i="3" a="1"/>
  <c r="P101" i="3"/>
  <c r="Q100" i="3" a="1"/>
  <c r="R100" i="3" s="1"/>
  <c r="P100" i="3"/>
  <c r="Q99" i="3" a="1"/>
  <c r="R99" i="3" s="1"/>
  <c r="P99" i="3"/>
  <c r="Q98" i="3" a="1"/>
  <c r="R98" i="3" s="1"/>
  <c r="P98" i="3"/>
  <c r="Q97" i="3" a="1"/>
  <c r="R97" i="3" s="1"/>
  <c r="P97" i="3"/>
  <c r="Q96" i="3" a="1"/>
  <c r="R96" i="3" s="1"/>
  <c r="P96" i="3"/>
  <c r="Q95" i="3" a="1"/>
  <c r="R95" i="3" s="1"/>
  <c r="Q95" i="3"/>
  <c r="P95" i="3"/>
  <c r="R94" i="3"/>
  <c r="Q94" i="3" a="1"/>
  <c r="Q94" i="3"/>
  <c r="P94" i="3"/>
  <c r="R93" i="3"/>
  <c r="Q93" i="3" a="1"/>
  <c r="Q93" i="3" s="1"/>
  <c r="P93" i="3"/>
  <c r="Q92" i="3" a="1"/>
  <c r="P92" i="3"/>
  <c r="Q91" i="3" a="1"/>
  <c r="R91" i="3" s="1"/>
  <c r="P91" i="3"/>
  <c r="Q90" i="3" a="1"/>
  <c r="R90" i="3" s="1"/>
  <c r="Q90" i="3"/>
  <c r="P90" i="3"/>
  <c r="Q89" i="3" a="1"/>
  <c r="R89" i="3" s="1"/>
  <c r="Q89" i="3"/>
  <c r="P89" i="3"/>
  <c r="Q88" i="3" a="1"/>
  <c r="R88" i="3" s="1"/>
  <c r="P88" i="3"/>
  <c r="Q87" i="3" a="1"/>
  <c r="P87" i="3"/>
  <c r="Q86" i="3" a="1"/>
  <c r="R86" i="3" s="1"/>
  <c r="Q86" i="3"/>
  <c r="P86" i="3"/>
  <c r="R85" i="3"/>
  <c r="Q85" i="3" a="1"/>
  <c r="Q85" i="3"/>
  <c r="P85" i="3"/>
  <c r="Q84" i="3" a="1"/>
  <c r="Q84" i="3" s="1"/>
  <c r="P84" i="3"/>
  <c r="Q83" i="3" a="1"/>
  <c r="P83" i="3"/>
  <c r="Q82" i="3" a="1"/>
  <c r="R82" i="3" s="1"/>
  <c r="P82" i="3"/>
  <c r="Q81" i="3" a="1"/>
  <c r="R81" i="3" s="1"/>
  <c r="Q81" i="3"/>
  <c r="P81" i="3"/>
  <c r="Q80" i="3" a="1"/>
  <c r="Q80" i="3" s="1"/>
  <c r="P80" i="3"/>
  <c r="Q79" i="3" a="1"/>
  <c r="R79" i="3" s="1"/>
  <c r="P79" i="3"/>
  <c r="Q78" i="3" a="1"/>
  <c r="P78" i="3"/>
  <c r="Q77" i="3" a="1"/>
  <c r="R77" i="3" s="1"/>
  <c r="Q77" i="3"/>
  <c r="P77" i="3"/>
  <c r="R76" i="3"/>
  <c r="Q76" i="3" a="1"/>
  <c r="Q76" i="3"/>
  <c r="P76" i="3"/>
  <c r="Q75" i="3" a="1"/>
  <c r="Q75" i="3" s="1"/>
  <c r="P75" i="3"/>
  <c r="Q74" i="3" a="1"/>
  <c r="P74" i="3"/>
  <c r="Q73" i="3" a="1"/>
  <c r="P73" i="3"/>
  <c r="Q72" i="3" a="1"/>
  <c r="R72" i="3" s="1"/>
  <c r="Q72" i="3"/>
  <c r="P72" i="3"/>
  <c r="Q71" i="3" a="1"/>
  <c r="R71" i="3" s="1"/>
  <c r="Q71" i="3"/>
  <c r="P71" i="3"/>
  <c r="Q70" i="3" a="1"/>
  <c r="R70" i="3" s="1"/>
  <c r="P70" i="3"/>
  <c r="Q69" i="3" a="1"/>
  <c r="P69" i="3"/>
  <c r="Q68" i="3" a="1"/>
  <c r="R68" i="3" s="1"/>
  <c r="Q68" i="3"/>
  <c r="P68" i="3"/>
  <c r="R67" i="3"/>
  <c r="Q67" i="3" a="1"/>
  <c r="Q67" i="3"/>
  <c r="P67" i="3"/>
  <c r="Q66" i="3" a="1"/>
  <c r="Q66" i="3" s="1"/>
  <c r="P66" i="3"/>
  <c r="Q65" i="3" a="1"/>
  <c r="P65" i="3"/>
  <c r="Q64" i="3" a="1"/>
  <c r="P64" i="3"/>
  <c r="Q63" i="3" a="1"/>
  <c r="R63" i="3" s="1"/>
  <c r="Q63" i="3"/>
  <c r="P63" i="3"/>
  <c r="R62" i="3"/>
  <c r="Q62" i="3" a="1"/>
  <c r="Q62" i="3"/>
  <c r="P62" i="3"/>
  <c r="Q61" i="3" a="1"/>
  <c r="P61" i="3"/>
  <c r="Q60" i="3" a="1"/>
  <c r="P60" i="3"/>
  <c r="Q59" i="3" a="1"/>
  <c r="R59" i="3" s="1"/>
  <c r="Q59" i="3"/>
  <c r="P59" i="3"/>
  <c r="R58" i="3"/>
  <c r="Q58" i="3" a="1"/>
  <c r="Q58" i="3"/>
  <c r="P58" i="3"/>
  <c r="Q57" i="3" a="1"/>
  <c r="Q57" i="3" s="1"/>
  <c r="P57" i="3"/>
  <c r="Q56" i="3" a="1"/>
  <c r="P56" i="3"/>
  <c r="Q55" i="3" a="1"/>
  <c r="P55" i="3"/>
  <c r="Q54" i="3" a="1"/>
  <c r="R54" i="3" s="1"/>
  <c r="Q54" i="3"/>
  <c r="P54" i="3"/>
  <c r="R53" i="3"/>
  <c r="Q53" i="3" a="1"/>
  <c r="Q53" i="3"/>
  <c r="P53" i="3"/>
  <c r="Q52" i="3" a="1"/>
  <c r="P52" i="3"/>
  <c r="Q51" i="3" a="1"/>
  <c r="P51" i="3"/>
  <c r="Q50" i="3" a="1"/>
  <c r="R50" i="3" s="1"/>
  <c r="Q50" i="3"/>
  <c r="P50" i="3"/>
  <c r="R49" i="3"/>
  <c r="Q49" i="3" a="1"/>
  <c r="Q49" i="3"/>
  <c r="P49" i="3"/>
  <c r="Q48" i="3" a="1"/>
  <c r="Q48" i="3" s="1"/>
  <c r="P48" i="3"/>
  <c r="Q47" i="3" a="1"/>
  <c r="P47" i="3"/>
  <c r="Q46" i="3" a="1"/>
  <c r="P46" i="3"/>
  <c r="Q45" i="3" a="1"/>
  <c r="R45" i="3" s="1"/>
  <c r="Q45" i="3"/>
  <c r="P45" i="3"/>
  <c r="Q44" i="3" a="1"/>
  <c r="R44" i="3" s="1"/>
  <c r="Q44" i="3"/>
  <c r="P44" i="3"/>
  <c r="Q43" i="3" a="1"/>
  <c r="P43" i="3"/>
  <c r="Q42" i="3" a="1"/>
  <c r="P42" i="3"/>
  <c r="Q41" i="3" a="1"/>
  <c r="R41" i="3" s="1"/>
  <c r="Q41" i="3"/>
  <c r="P41" i="3"/>
  <c r="R40" i="3"/>
  <c r="Q40" i="3" a="1"/>
  <c r="Q40" i="3"/>
  <c r="P40" i="3"/>
  <c r="Q39" i="3" a="1"/>
  <c r="Q39" i="3" s="1"/>
  <c r="P39" i="3"/>
  <c r="Q38" i="3" a="1"/>
  <c r="P38" i="3"/>
  <c r="Q37" i="3" a="1"/>
  <c r="P37" i="3"/>
  <c r="Q36" i="3" a="1"/>
  <c r="R36" i="3" s="1"/>
  <c r="P36" i="3"/>
  <c r="Q35" i="3" a="1"/>
  <c r="R35" i="3" s="1"/>
  <c r="Q35" i="3"/>
  <c r="P35" i="3"/>
  <c r="Q34" i="3" a="1"/>
  <c r="P34" i="3"/>
  <c r="Q33" i="3" a="1"/>
  <c r="P33" i="3"/>
  <c r="Q32" i="3" a="1"/>
  <c r="R32" i="3" s="1"/>
  <c r="Q32" i="3"/>
  <c r="P32" i="3"/>
  <c r="R31" i="3"/>
  <c r="Q31" i="3" a="1"/>
  <c r="Q31" i="3"/>
  <c r="P31" i="3"/>
  <c r="R30" i="3"/>
  <c r="Q30" i="3" a="1"/>
  <c r="Q30" i="3" s="1"/>
  <c r="P30" i="3"/>
  <c r="Q29" i="3" a="1"/>
  <c r="P29" i="3"/>
  <c r="Q28" i="3" a="1"/>
  <c r="P28" i="3"/>
  <c r="R27" i="3"/>
  <c r="Q27" i="3" a="1"/>
  <c r="Q27" i="3"/>
  <c r="P27" i="3"/>
  <c r="Q26" i="3" a="1"/>
  <c r="R26" i="3" s="1"/>
  <c r="Q26" i="3"/>
  <c r="P26" i="3"/>
  <c r="Q25" i="3" a="1"/>
  <c r="P25" i="3"/>
  <c r="Q24" i="3" a="1"/>
  <c r="P24" i="3"/>
  <c r="Q23" i="3" a="1"/>
  <c r="R23" i="3" s="1"/>
  <c r="Q23" i="3"/>
  <c r="P23" i="3"/>
  <c r="R22" i="3"/>
  <c r="Q22" i="3" a="1"/>
  <c r="Q22" i="3"/>
  <c r="P22" i="3"/>
  <c r="Q21" i="3" a="1"/>
  <c r="Q21" i="3" s="1"/>
  <c r="P21" i="3"/>
  <c r="Q20" i="3" a="1"/>
  <c r="P20" i="3"/>
  <c r="Q19" i="3" a="1"/>
  <c r="P19" i="3"/>
  <c r="Q18" i="3" a="1"/>
  <c r="R18" i="3" s="1"/>
  <c r="Q18" i="3"/>
  <c r="P18" i="3"/>
  <c r="Q17" i="3" a="1"/>
  <c r="R17" i="3" s="1"/>
  <c r="Q17" i="3"/>
  <c r="P17" i="3"/>
  <c r="Q16" i="3" a="1"/>
  <c r="P16" i="3"/>
  <c r="Q15" i="3" a="1"/>
  <c r="P15" i="3"/>
  <c r="Q14" i="3" a="1"/>
  <c r="R14" i="3" s="1"/>
  <c r="Q14" i="3"/>
  <c r="P14" i="3"/>
  <c r="Q13" i="3" a="1"/>
  <c r="R13" i="3" s="1"/>
  <c r="P13" i="3"/>
  <c r="Q12" i="3" a="1"/>
  <c r="Q12" i="3" s="1"/>
  <c r="P12" i="3"/>
  <c r="Q11" i="3" a="1"/>
  <c r="P11" i="3"/>
  <c r="Q10" i="3" a="1"/>
  <c r="P10" i="3"/>
  <c r="R9" i="3"/>
  <c r="Q9" i="3" a="1"/>
  <c r="Q9" i="3"/>
  <c r="P9" i="3"/>
  <c r="Q8" i="3" a="1"/>
  <c r="R8" i="3" s="1"/>
  <c r="P8" i="3"/>
  <c r="Q7" i="3" a="1"/>
  <c r="P7" i="3"/>
  <c r="Q6" i="3" a="1"/>
  <c r="P6" i="3"/>
  <c r="Q5" i="3" a="1"/>
  <c r="R5" i="3" s="1"/>
  <c r="Q5" i="3"/>
  <c r="P5" i="3"/>
  <c r="Q4" i="3" a="1"/>
  <c r="R4" i="3" s="1"/>
  <c r="Q4" i="3"/>
  <c r="P4" i="3"/>
  <c r="Q3" i="3" a="1"/>
  <c r="Q3" i="3" s="1"/>
  <c r="P3" i="3"/>
  <c r="R242" i="3" l="1"/>
  <c r="R120" i="3"/>
  <c r="R146" i="3"/>
  <c r="Q146" i="3"/>
  <c r="R11" i="3"/>
  <c r="Q11" i="3"/>
  <c r="Q36" i="3"/>
  <c r="R75" i="3"/>
  <c r="R101" i="3"/>
  <c r="Q101" i="3"/>
  <c r="Q179" i="3"/>
  <c r="Q198" i="3"/>
  <c r="R237" i="3"/>
  <c r="R28" i="3"/>
  <c r="Q28" i="3"/>
  <c r="R87" i="3"/>
  <c r="Q87" i="3"/>
  <c r="R69" i="3"/>
  <c r="Q69" i="3"/>
  <c r="R147" i="3"/>
  <c r="R6" i="3"/>
  <c r="Q6" i="3"/>
  <c r="R83" i="3"/>
  <c r="Q83" i="3"/>
  <c r="R219" i="3"/>
  <c r="R210" i="3"/>
  <c r="R10" i="3"/>
  <c r="Q10" i="3"/>
  <c r="R165" i="3"/>
  <c r="R43" i="3"/>
  <c r="Q43" i="3"/>
  <c r="R56" i="3"/>
  <c r="Q56" i="3"/>
  <c r="R24" i="3"/>
  <c r="Q24" i="3"/>
  <c r="R12" i="3"/>
  <c r="R37" i="3"/>
  <c r="Q37" i="3"/>
  <c r="R102" i="3"/>
  <c r="R128" i="3"/>
  <c r="Q128" i="3"/>
  <c r="R264" i="3"/>
  <c r="R25" i="3"/>
  <c r="Q25" i="3"/>
  <c r="R57" i="3"/>
  <c r="Q13" i="3"/>
  <c r="R38" i="3"/>
  <c r="Q38" i="3"/>
  <c r="Q116" i="3"/>
  <c r="Q135" i="3"/>
  <c r="R174" i="3"/>
  <c r="R19" i="3"/>
  <c r="Q19" i="3"/>
  <c r="R64" i="3"/>
  <c r="Q64" i="3"/>
  <c r="R246" i="3"/>
  <c r="Q8" i="3"/>
  <c r="R20" i="3"/>
  <c r="Q20" i="3"/>
  <c r="R39" i="3"/>
  <c r="R52" i="3"/>
  <c r="Q52" i="3"/>
  <c r="R65" i="3"/>
  <c r="Q65" i="3"/>
  <c r="Q162" i="3"/>
  <c r="R201" i="3"/>
  <c r="R155" i="3"/>
  <c r="Q155" i="3"/>
  <c r="R84" i="3"/>
  <c r="R78" i="3"/>
  <c r="Q78" i="3"/>
  <c r="Q98" i="3"/>
  <c r="Q117" i="3"/>
  <c r="R48" i="3"/>
  <c r="R74" i="3"/>
  <c r="Q74" i="3"/>
  <c r="R80" i="3"/>
  <c r="R33" i="3"/>
  <c r="Q33" i="3"/>
  <c r="R46" i="3"/>
  <c r="Q46" i="3"/>
  <c r="R111" i="3"/>
  <c r="R137" i="3"/>
  <c r="Q137" i="3"/>
  <c r="R16" i="3"/>
  <c r="Q16" i="3"/>
  <c r="R61" i="3"/>
  <c r="Q61" i="3"/>
  <c r="R42" i="3"/>
  <c r="Q42" i="3"/>
  <c r="R55" i="3"/>
  <c r="Q55" i="3"/>
  <c r="R21" i="3"/>
  <c r="R66" i="3"/>
  <c r="R92" i="3"/>
  <c r="Q92" i="3"/>
  <c r="Q189" i="3"/>
  <c r="R228" i="3"/>
  <c r="R119" i="3"/>
  <c r="Q119" i="3"/>
  <c r="R29" i="3"/>
  <c r="Q29" i="3"/>
  <c r="R34" i="3"/>
  <c r="Q34" i="3"/>
  <c r="R47" i="3"/>
  <c r="Q47" i="3"/>
  <c r="Q144" i="3"/>
  <c r="R7" i="3"/>
  <c r="Q7" i="3"/>
  <c r="R51" i="3"/>
  <c r="Q51" i="3"/>
  <c r="R110" i="3"/>
  <c r="Q110" i="3"/>
  <c r="R15" i="3"/>
  <c r="Q15" i="3"/>
  <c r="R3" i="3"/>
  <c r="R60" i="3"/>
  <c r="Q60" i="3"/>
  <c r="R73" i="3"/>
  <c r="Q73" i="3"/>
  <c r="Q99" i="3"/>
  <c r="R138" i="3"/>
  <c r="R164" i="3"/>
  <c r="Q164" i="3"/>
  <c r="Q261" i="3"/>
  <c r="Q82" i="3"/>
  <c r="Q91" i="3"/>
  <c r="Q100" i="3"/>
  <c r="Q109" i="3"/>
  <c r="Q118" i="3"/>
  <c r="Q127" i="3"/>
  <c r="Q136" i="3"/>
  <c r="Q145" i="3"/>
  <c r="Q154" i="3"/>
  <c r="Q163" i="3"/>
  <c r="Q172" i="3"/>
  <c r="Q181" i="3"/>
  <c r="Q190" i="3"/>
  <c r="Q199" i="3"/>
  <c r="Q208" i="3"/>
  <c r="Q217" i="3"/>
  <c r="Q226" i="3"/>
  <c r="Q235" i="3"/>
  <c r="Q244" i="3"/>
  <c r="Q253" i="3"/>
  <c r="Q262" i="3"/>
  <c r="Q96" i="3"/>
  <c r="Q105" i="3"/>
  <c r="Q114" i="3"/>
  <c r="Q123" i="3"/>
  <c r="Q132" i="3"/>
  <c r="Q141" i="3"/>
  <c r="Q150" i="3"/>
  <c r="Q159" i="3"/>
  <c r="Q168" i="3"/>
  <c r="Q177" i="3"/>
  <c r="Q186" i="3"/>
  <c r="Q195" i="3"/>
  <c r="Q204" i="3"/>
  <c r="Q213" i="3"/>
  <c r="Q222" i="3"/>
  <c r="Q231" i="3"/>
  <c r="Q240" i="3"/>
  <c r="Q249" i="3"/>
  <c r="Q258" i="3"/>
  <c r="Q267" i="3"/>
  <c r="Q173" i="3"/>
  <c r="Q182" i="3"/>
  <c r="Q191" i="3"/>
  <c r="Q200" i="3"/>
  <c r="Q209" i="3"/>
  <c r="Q218" i="3"/>
  <c r="Q227" i="3"/>
  <c r="Q236" i="3"/>
  <c r="Q245" i="3"/>
  <c r="Q254" i="3"/>
  <c r="Q263" i="3"/>
  <c r="Q70" i="3"/>
  <c r="Q79" i="3"/>
  <c r="Q88" i="3"/>
  <c r="Q97" i="3"/>
  <c r="Q106" i="3"/>
  <c r="Q115" i="3"/>
  <c r="Q124" i="3"/>
  <c r="Q133" i="3"/>
  <c r="Q142" i="3"/>
  <c r="Q151" i="3"/>
  <c r="Q160" i="3"/>
  <c r="Q169" i="3"/>
  <c r="Q178" i="3"/>
  <c r="Q187" i="3"/>
  <c r="Q196" i="3"/>
  <c r="Q205" i="3"/>
  <c r="Q214" i="3"/>
  <c r="Q223" i="3"/>
  <c r="Q232" i="3"/>
  <c r="Q241" i="3"/>
  <c r="Q250" i="3"/>
  <c r="Q259" i="3"/>
  <c r="Q268" i="3"/>
</calcChain>
</file>

<file path=xl/sharedStrings.xml><?xml version="1.0" encoding="utf-8"?>
<sst xmlns="http://schemas.openxmlformats.org/spreadsheetml/2006/main" count="2457" uniqueCount="882">
  <si>
    <t>ILSName</t>
  </si>
  <si>
    <t>ILSInstrumentID</t>
  </si>
  <si>
    <t>ActivityID</t>
  </si>
  <si>
    <t>ScaleFactor</t>
  </si>
  <si>
    <t>DealAAL</t>
  </si>
  <si>
    <t>AAL_WWAP</t>
  </si>
  <si>
    <t>AAL_US Hurricanes</t>
  </si>
  <si>
    <t>AAL_Florida Hurricane</t>
  </si>
  <si>
    <t>AAL_Gulf of Mexico WS</t>
  </si>
  <si>
    <t>AAL_Texas Hurricane</t>
  </si>
  <si>
    <t>AAL_Mexico Hurricane</t>
  </si>
  <si>
    <t>AAL_All other WS</t>
  </si>
  <si>
    <t>AAL_all other EQ</t>
  </si>
  <si>
    <t>AAL_Mexico Earthquake</t>
  </si>
  <si>
    <t>AAL_South America Earthquake</t>
  </si>
  <si>
    <t>AAL_Louisiana Hurricane</t>
  </si>
  <si>
    <t>AAL_Europe Earthquake</t>
  </si>
  <si>
    <t>AAL_US Winter Storm</t>
  </si>
  <si>
    <t>AAL_US WildFire</t>
  </si>
  <si>
    <t>AAL_US Severe Storm</t>
  </si>
  <si>
    <t>AAL_US Inland Flood</t>
  </si>
  <si>
    <t>AAL_Southeast Hurricane</t>
  </si>
  <si>
    <t>AAL_Northeast Hurricane</t>
  </si>
  <si>
    <t>AAL_Other US WS</t>
  </si>
  <si>
    <t>AAL_California Earthquake</t>
  </si>
  <si>
    <t>AAL_US Earthquake xl CA</t>
  </si>
  <si>
    <t>AAL_Japan Typhoon</t>
  </si>
  <si>
    <t>AAL_Japan Earthquake</t>
  </si>
  <si>
    <t>AAL_WildFire</t>
  </si>
  <si>
    <t>AAL_InlandFlood</t>
  </si>
  <si>
    <t>AAL_SevereStorm</t>
  </si>
  <si>
    <t>AAL_Terrorism</t>
  </si>
  <si>
    <t>AAL_Europe Tropical Cyclone</t>
  </si>
  <si>
    <t>AAL_0</t>
  </si>
  <si>
    <t>RunTimestamp</t>
  </si>
  <si>
    <t>CB-Herbie Re Ltd. Series 2025-1 Class A LMF USSCS</t>
  </si>
  <si>
    <t>CB-FloodSmart Re Ltd. Series 2024-1 Class A Reset 2025_wLMF</t>
  </si>
  <si>
    <t>CB-Meadows Ltd. Series 2025-1 Class A</t>
  </si>
  <si>
    <t>CB-Meadows Ltd. Series 2025-1 Class C</t>
  </si>
  <si>
    <t>CB-Blue Ridge Re Ltd. Series 2025-1 Class B</t>
  </si>
  <si>
    <t>CB-Blue Ridge Re Ltd. Series 2025-1 Class D</t>
  </si>
  <si>
    <t>CB-Aquila Re I Ltd. Series 2023-1 Class A-1 Reset 2025</t>
  </si>
  <si>
    <t>CB-Aquila Re I Ltd. Series 2023-1 Class B-1 Reset 2025</t>
  </si>
  <si>
    <t>CB-Aquila Re I Ltd. Series 2023-1 Class C-1 Reset 2025</t>
  </si>
  <si>
    <t>CB-Aquila Re I Ltd. Series 2024-1 Class A-1 Reset 2025</t>
  </si>
  <si>
    <t>CB-Aquila Re I Ltd. Series 2024-1 Class B-1 Reset 2025</t>
  </si>
  <si>
    <t>CB-123 Lights Re Ltd. Series 2025-1 Class A</t>
  </si>
  <si>
    <t>CB-Sakura Re Ltd. Series 2022-1 Class A Reset 2024</t>
  </si>
  <si>
    <t>CB-Marlon Ltd. Series 2024-1 Class A Reset 2025</t>
  </si>
  <si>
    <t>CB-Marlon Ltd. Series 2024-1 Class B Reset 2025</t>
  </si>
  <si>
    <t>CB-Lightning Re Ltd. Series 2023-1 Class A Reset 2025</t>
  </si>
  <si>
    <t>CB-Recoletos Re DAC Series 2024-1 Class A</t>
  </si>
  <si>
    <t>CB-Stabilitas Re Ltd. Series 2023-1 Class A Reset 2025</t>
  </si>
  <si>
    <t>CB-Cape Lookout Re Ltd. Series 2023-1 Class A Reset 2025</t>
  </si>
  <si>
    <t>CB-Cape Lookout Re Ltd. Series 2024-1 Class A Reset 2025</t>
  </si>
  <si>
    <t>CB-Ashera Re Ltd. Series 2024-1 Class A Reset 2025</t>
  </si>
  <si>
    <t>CB-Ramble Re Ltd. Series 2024-1 Class A Reset 2025</t>
  </si>
  <si>
    <t>CB-Galileo Re Ltd. Series 2023-1 Class A Reset 2025</t>
  </si>
  <si>
    <t>CB-Four Lakes Re Ltd. Series 2023-1 Class B Reset 2025_V12</t>
  </si>
  <si>
    <t>CB-Four Lakes Re Ltd. Series 2024-1 Class B_V12</t>
  </si>
  <si>
    <t>CB-Galileo Re Ltd. Series 2023-1 Class B Reset 2025</t>
  </si>
  <si>
    <t>CB-MMIFS Re Ltd. Series 2025-1 Class A</t>
  </si>
  <si>
    <t>CB-Bonanza Re Ltd. Series 2024-1 Class A</t>
  </si>
  <si>
    <t>CB-Bonanza Re Ltd. Series 2024-1 Class B</t>
  </si>
  <si>
    <t>CB-Bonanza Re Ltd. Series 2024-1 Class C</t>
  </si>
  <si>
    <t>CB-Sanders Re II Ltd. Series 2024-3 Class B Reset 2025</t>
  </si>
  <si>
    <t>CB-Sanders Re II Ltd. Series 2024-3 Class A Reset 2025</t>
  </si>
  <si>
    <t>CB-Queen Street 2023 Re DAC Reset 2025</t>
  </si>
  <si>
    <t>CB-Res Re 2025 Ltd. Series 2025-I Class 13</t>
  </si>
  <si>
    <t>CB-Res Re 2025 Ltd. Series 2025-I Class 14</t>
  </si>
  <si>
    <t>CB-Res Re 2025 Ltd. Series 2025-I Class 15</t>
  </si>
  <si>
    <t>CB-Easton Re Ltd. Series 2024-1 Class A Reset 2025</t>
  </si>
  <si>
    <t>CB-Bridge Street Re Ltd. Series 2025-1 Class A</t>
  </si>
  <si>
    <t>CB-Res Re 2021 Ltd. Series 2021-II Class 2 Reset 2025</t>
  </si>
  <si>
    <t>CB-Res Re 2021 Ltd. Series 2021-II Class 3 Reset 2025</t>
  </si>
  <si>
    <t>CB-Res Re 2022 Ltd. Series 2022-II Class 3 Reset 2025</t>
  </si>
  <si>
    <t>CB-Res Re 2022 Ltd. Series 2022-II Class 5 Reset 2025</t>
  </si>
  <si>
    <t>CB-Res Re 2023 Ltd. Series 2023-II Class 3 Reset 2025</t>
  </si>
  <si>
    <t>CB-Res Re 2023 Ltd. Series 2023-II Class 5 Reset 2025</t>
  </si>
  <si>
    <t>CB-Res Re 2024 Ltd. Series 2024-II Class 2 Reset 2025</t>
  </si>
  <si>
    <t>CB-Res Re 2024 Ltd. Series 2024-II Class 3 Reset 2025</t>
  </si>
  <si>
    <t>CB-Res Re 2024 Ltd. Series 2024-II Class 4 Reset 2025</t>
  </si>
  <si>
    <t>CB-Baldwin Re Ltd. Series 2025-1 Class A</t>
  </si>
  <si>
    <t>CB-Baldwin Re Ltd. Series 2023-1 Class A Reset 2025</t>
  </si>
  <si>
    <t>CB-Mayflower Re Ltd. Series 2023-1 Class A Reset 2025</t>
  </si>
  <si>
    <t>CB-Mayflower Re Ltd. Series 2023-1 Class B Reset 2025</t>
  </si>
  <si>
    <t>CB-Mayflower Re Ltd. Series 2024-1 Class A Reset 2025</t>
  </si>
  <si>
    <t>CB-Mayflower Re Ltd. Series 2025-1 Class A</t>
  </si>
  <si>
    <t>CB-Res Re 2022 Ltd. Series 2022-I Class 11 Reset 2025</t>
  </si>
  <si>
    <t>CB-Res Re 2022 Ltd. Series 2022-I Class 12 Reset 2025</t>
  </si>
  <si>
    <t>CB-Res Re 2022 Ltd. Series 2022-I Class 13 Reset 2025</t>
  </si>
  <si>
    <t>CB-Res Re 2022 Ltd. Series 2022-I Class 14 Reset 2025</t>
  </si>
  <si>
    <t>CB-Res Re 2023 Ltd. Series 2023-I Class 13 Reset 2025</t>
  </si>
  <si>
    <t>CB-Res Re 2023 Ltd. Series 2023-I Class 14 Reset 2025</t>
  </si>
  <si>
    <t>CB-Res Re 2024 Ltd. Series 2024-I Class 13 Reset 2025</t>
  </si>
  <si>
    <t>CB-Res Re 2024 Ltd. Series 2024-I Class 14 Reset 2025</t>
  </si>
  <si>
    <t>CB-Gateway Re Ltd. Series 2025-1 Class AAA</t>
  </si>
  <si>
    <t>CB-Gateway Re Ltd. Series 2025-1 Class C1</t>
  </si>
  <si>
    <t>CB-Gateway Re Ltd. Series 2025-1 Class AA</t>
  </si>
  <si>
    <t>CB-Gateway Re Ltd. Series 2025-1 Class A</t>
  </si>
  <si>
    <t>CB-Gateway Re Ltd. Series 2025-1 Class C2</t>
  </si>
  <si>
    <t>CB-Gateway Re Ltd. Series 2025-2 Class A</t>
  </si>
  <si>
    <t>CB-MetroCat Re Ltd. Series 2023-1 Class A</t>
  </si>
  <si>
    <t>CB-IBRD CAR Jamaica 2024</t>
  </si>
  <si>
    <t>CB-IBRD CAR Chile 2023</t>
  </si>
  <si>
    <t>CB-Genesee Street Re Ltd. Series 2025-1 Class A</t>
  </si>
  <si>
    <t>CB-Sanders Re III Ltd. Series 2024-1 Class A Reset 2025</t>
  </si>
  <si>
    <t>CB-Sanders Re III Ltd. Series 2023-1 Class A Reset 2025</t>
  </si>
  <si>
    <t>CB-Sanders Re III Ltd. Series 2023-1 Class B Reset 2025</t>
  </si>
  <si>
    <t>CB-Sanders Re III Ltd. Series 2022-3 Class A Reset 2025</t>
  </si>
  <si>
    <t>CB-Sanders Re III Ltd. Series 2022-1 Class A Reset 2025</t>
  </si>
  <si>
    <t>CB-Sanders Re III Ltd. Series 2022-1 Class B Reset 2025</t>
  </si>
  <si>
    <t>CB-Sanders Re III Ltd. Series 2022-1 Class C Reset 2025</t>
  </si>
  <si>
    <t>CB-Sanders Re II Ltd. Series 2025-1 Class A-1</t>
  </si>
  <si>
    <t>CB-Sanders Re II Ltd. Series 2025-1 Class B-1</t>
  </si>
  <si>
    <t>CB-Sanders Re II Ltd. Series 2025-1 Class A-2</t>
  </si>
  <si>
    <t>CB-Sanders Re II Ltd. Series 2025-1 Class B-2</t>
  </si>
  <si>
    <t>CB-Matterhorn Re Ltd. Series 2025-3 Class A</t>
  </si>
  <si>
    <t>CB-Matterhorn Re Ltd. Series 2025-3 Class B</t>
  </si>
  <si>
    <t>CB-Atela Re Ltd. Series 2024-1 Class A Reset 2025</t>
  </si>
  <si>
    <t>CB-Atela Re Ltd. Series 2024-1 Class B Reset 2025</t>
  </si>
  <si>
    <t>CB-Solomon Re Ltd. Series 2023-1 Class A Reset 2025</t>
  </si>
  <si>
    <t>CB-Four Lakes Re Ltd. Series 2022-1 Class A Reset 2025</t>
  </si>
  <si>
    <t>CB-Four Lakes Re Ltd. Series 2023-1 Class A Reset 2025</t>
  </si>
  <si>
    <t>CB-Four Lakes Re Ltd. Series 2023-1 Class B Reset 2025</t>
  </si>
  <si>
    <t>CB-Four Lakes Re Ltd. Series 2024-1 Class A</t>
  </si>
  <si>
    <t>CB-Four Lakes Re Ltd. Series 2024-1 Class B</t>
  </si>
  <si>
    <t>CB-Kilimanjaro II Re Ltd. Series 2025-1 Class A-1</t>
  </si>
  <si>
    <t>CB-Kilimanjaro II Re Ltd. Series 2025-1 Class B-1</t>
  </si>
  <si>
    <t>CB-Kilimanjaro II Re Ltd. Series 2025-1 Class C-1</t>
  </si>
  <si>
    <t>CB-Kilimanjaro II Re Ltd. Series 2025-1 Class D-1</t>
  </si>
  <si>
    <t>CB-Kilimanjaro II Re Ltd. Series 2025-2 Class A-2</t>
  </si>
  <si>
    <t>CB-Kilimanjaro II Re Ltd. Series 2025-2 Class B-2</t>
  </si>
  <si>
    <t>CB-Kilimanjaro II Re Ltd. Series 2025-2 Class C-2</t>
  </si>
  <si>
    <t>CB-Kilimanjaro II Re Ltd. Series 2025-2 Class D-2</t>
  </si>
  <si>
    <t>CB-Kilimanjaro II Re Ltd. Series 2024-1 Class A Reset 2025</t>
  </si>
  <si>
    <t>CB-Kilimanjaro II Re Ltd. Series 2024-1 Class B Reset 2025</t>
  </si>
  <si>
    <t>CB-Kilimanjaro III Re Ltd. Series 2021-2 Class A-2 Reset 2025</t>
  </si>
  <si>
    <t>CB-Kilimanjaro III Re Ltd. Series 2021-2 Class B-2 Reset 2025</t>
  </si>
  <si>
    <t>CB-Kilimanjaro III Re Ltd. Series 2021-2 Class C-2 Reset 2025</t>
  </si>
  <si>
    <t>CB-Riverfront Re Ltd. Series 2025-1 Class B</t>
  </si>
  <si>
    <t>CB-Riverfront Re Ltd. Series 2025-1 Class A</t>
  </si>
  <si>
    <t>CB-Nature Coast Re Ltd. Series 2025-1 Class A Reset 2025</t>
  </si>
  <si>
    <t>CB-Lapis 2025-1 Series 2025-1</t>
  </si>
  <si>
    <t>CB-Gateway Re Ltd. Series 2023-3 Class A Reset 2025</t>
  </si>
  <si>
    <t>CB-1886 Re Ltd. Series 2025-1 Class A</t>
  </si>
  <si>
    <t>CB-Aragonite Re Ltd. Series 2024-1 Class A Reset 2025</t>
  </si>
  <si>
    <t>CB-Armor Re II Ltd. Series 2024-1 Class A Reset 2025</t>
  </si>
  <si>
    <t>CB-Torrey Pines Re Ltd. Series 2023-1 Class A Reset 2025</t>
  </si>
  <si>
    <t>CB-Torrey Pines Re Ltd. Series 2023-1 Class B Reset 2025</t>
  </si>
  <si>
    <t>CB-Torrey Pines Re Ltd. Series 2024-1 Class A Reset 2025</t>
  </si>
  <si>
    <t>CB-Torrey Pines Re Ltd. Series 2024-1 Class B Reset 2025</t>
  </si>
  <si>
    <t>CB-Torrey Pines Re Ltd. Series 2024-1 Class C Reset 2025</t>
  </si>
  <si>
    <t>CB-Torrey Pines Re Ltd. Series 2025-1 Class A</t>
  </si>
  <si>
    <t>CB-Torrey Pines Re Ltd. Series 2025-1 Class B</t>
  </si>
  <si>
    <t>CB-Torrey Pines Re Ltd. Series 2025-1 Class C</t>
  </si>
  <si>
    <t>CB-Finca Re Ltd. Series 2025-1 Class A</t>
  </si>
  <si>
    <t>CB-IBRD CAR Mexico 2024 Class A</t>
  </si>
  <si>
    <t>CB-IBRD CAR Mexico 2024 Class B</t>
  </si>
  <si>
    <t>CB-IBRD CAR Mexico 2024 Class C</t>
  </si>
  <si>
    <t>CB-IBRD CAR Mexico 2024 Class D</t>
  </si>
  <si>
    <t>CB-3264 Re Ltd. Series 2024-1 Class A Reset 2025</t>
  </si>
  <si>
    <t>CB-3264 Re Ltd. Series 2024-1 Class B Reset 2025</t>
  </si>
  <si>
    <t>CB-3264 Re Ltd. Series 2025-2 Class A</t>
  </si>
  <si>
    <t>CB-First Coast Re IV Ltd. Series 2023-1 Class A Reset 2025</t>
  </si>
  <si>
    <t>CB-Longleaf Pine Re Ltd. Series 2024-1 Class A Reset 2025</t>
  </si>
  <si>
    <t>CB-Veraison Re Ltd. Series 2023-1 Class A Reset 2025</t>
  </si>
  <si>
    <t>CB-Veraison Re Ltd. Series 2023-1 Class B Reset 2025</t>
  </si>
  <si>
    <t>CB-Veraison Re Ltd. Series 2024-1 Class A Reset 2025</t>
  </si>
  <si>
    <t>CB-Veraison Re Ltd. Series 2025-1 Class A</t>
  </si>
  <si>
    <t>CB-Veraison Re Ltd. Series 2025-1 Class B</t>
  </si>
  <si>
    <t>CB-Vision 2039 Series 2025-1 Class A</t>
  </si>
  <si>
    <t>CB-Puerto Rico Parametric Re Ltd. Series 2024-1 Class A</t>
  </si>
  <si>
    <t>CB-Black Kite Re Ltd. Series 2025-1 Class A</t>
  </si>
  <si>
    <t>CB-Citrus Re Ltd. Series 2025-1 Class A</t>
  </si>
  <si>
    <t>CB-Citrus Re Ltd. Series 2025-1 Class B</t>
  </si>
  <si>
    <t>CB-Citrus Re Ltd. Series 2023-1 Class A Reset 2025</t>
  </si>
  <si>
    <t>CB-Citrus Re Ltd. Series 2023-1 Class B Reset 2025</t>
  </si>
  <si>
    <t>CB-Citrus Re Ltd. Series 2024-1 Class A Reset 2025</t>
  </si>
  <si>
    <t>CB-Citrus Re Ltd. Series 2024-1 Class B Reset 2025</t>
  </si>
  <si>
    <t>CB-Blue Ridge Re Ltd. Series 2023-1 Class A Reset 2025</t>
  </si>
  <si>
    <t>CB-Blue Ridge Re Ltd. Series 2023-1 Class B Reset 2025</t>
  </si>
  <si>
    <t>CB-Armor Re II Ltd. Series 2024-2 Class A</t>
  </si>
  <si>
    <t>CB-Cape Lookout Re Ltd. Series 2025-1 Class A</t>
  </si>
  <si>
    <t>CB-Bayou Re Ltd. Series 2023-1 Class A Reset 2025</t>
  </si>
  <si>
    <t>CB-Bayou Re Ltd. Series 2023-1 Class B Reset 2025</t>
  </si>
  <si>
    <t>CB-Purple Re Ltd. Series 2025-1 Class A</t>
  </si>
  <si>
    <t>CB-Purple Re Ltd. Series 2025-1 Class B</t>
  </si>
  <si>
    <t>CB-Purple Re Ltd. Series 2024-1 Class A Reset 2025</t>
  </si>
  <si>
    <t>CB-Purple Re Ltd. Series 2023-2 Class A Reset 2025</t>
  </si>
  <si>
    <t>CB-Purple Re Ltd. Series 2023-1 Class A Reset 2025</t>
  </si>
  <si>
    <t>CB-Nakama Re Ltd. Series 2023-1 Class 1 Reset 2025</t>
  </si>
  <si>
    <t>CB-Nakama Re Ltd. Series 2023-1 Class 2 Reset 2025</t>
  </si>
  <si>
    <t>CB-Nakama Re Pte. Ltd. Series 2024-1 Class 1 Reset 2025</t>
  </si>
  <si>
    <t>CB-Nakama Re Pte. Ltd. Series 2025-1 Class 1</t>
  </si>
  <si>
    <t>CB-Nakama Re Pte. Ltd. Series 2021-1 Class 1 Reset 2023</t>
  </si>
  <si>
    <t>CB-Nakama Re Pte. Ltd. Series 2021-1 Class 2 Reset 2023</t>
  </si>
  <si>
    <t>CB-Atlas Capital DAC Series 2024-1 Class A Reset 2025</t>
  </si>
  <si>
    <t>CB-Hexagon III Re Pte. Ltd. Series 2021-1 Class A Reset 2025</t>
  </si>
  <si>
    <t>CB-Hexagon III Re Pte. Ltd. Series 2021-1 Class B Reset 2025</t>
  </si>
  <si>
    <t>CB-Hexagon IV Re Ltd. Series 2023-1 Class A Reset 2025</t>
  </si>
  <si>
    <t>CB-Hexagon IV Re Ltd. Series 2023-1 Class B Reset 2025</t>
  </si>
  <si>
    <t>CB-Bluebonnet Re Ltd. Series 2025-1 Class A</t>
  </si>
  <si>
    <t>CB-Bluebonnet Re Ltd. Series 2025-1 Class B</t>
  </si>
  <si>
    <t>CB-Bluebonnet Re Ltd. Series 2025-1 Class C</t>
  </si>
  <si>
    <t>CB-Bluebonnet Re Ltd. Series 2025-2 Class A</t>
  </si>
  <si>
    <t>CB-Hestia Re Ltd. Series 2025-1 Class A</t>
  </si>
  <si>
    <t>CB-Hestia Re Ltd. Series 2025-1 Class B</t>
  </si>
  <si>
    <t>CB-Hestia Re Ltd. Series 2023-1 Class A Reset 2025</t>
  </si>
  <si>
    <t>CB-Hypatia Ltd. Series 2025-1 Class A</t>
  </si>
  <si>
    <t>CB-Gateway Re Ltd. Series 2025-3 Class A</t>
  </si>
  <si>
    <t>CB-Integrity Re III Ltd. Series 2025-1 Class A-1 Reset 2025</t>
  </si>
  <si>
    <t>CB-Integrity Re III Ltd. Series 2025-1 Class B-1 Reset 2025</t>
  </si>
  <si>
    <t>CB-Integrity Re III Ltd. Series 2025-1 Class C Reset 2025</t>
  </si>
  <si>
    <t>CB-Integrity Re III Ltd. Series 2025-1 Class D Reset 2025</t>
  </si>
  <si>
    <t>CB-Integrity Re III Ltd. Series 2025-1 Class A-2 Reset 2025</t>
  </si>
  <si>
    <t>CB-Integrity Re III Ltd. Series 2025-1 Class B-2 Reset 2025</t>
  </si>
  <si>
    <t>CB-Integrity Re Ltd. Series 2024-1 Class A Reset 2025</t>
  </si>
  <si>
    <t>CB-Integrity Re Ltd. Series 2024-1 Class B Reset 2025</t>
  </si>
  <si>
    <t>CB-Integrity Re Ltd. Series 2024-1 Class C Reset 2025</t>
  </si>
  <si>
    <t>CB-Integrity Re Ltd. Series 2024-1 Class D Reset 2025</t>
  </si>
  <si>
    <t>CB-Ocelot Re Ltd. Series 2023-1 Class A Reset 2025</t>
  </si>
  <si>
    <t>CB-Ocelot Re Ltd. Series 2025-1 Class A</t>
  </si>
  <si>
    <t>CB-Ocelot Re Ltd. Series 2025-1 Class B</t>
  </si>
  <si>
    <t>CB-Bayou Re Ltd. Series 2024-1 Class A Reset 2025</t>
  </si>
  <si>
    <t>CB-Bayou Re Ltd. Series 2024-1 Class B Reset 2025</t>
  </si>
  <si>
    <t>CB-Bayou Re Ltd. Series 2025-1 Class A</t>
  </si>
  <si>
    <t>CB-Logistics Re Ltd. Series 2024-1 Class A</t>
  </si>
  <si>
    <t>CB-Lower Ferry Re Ltd. Series 2023-1 Class A Reset 2025</t>
  </si>
  <si>
    <t>CB-Lower Ferry Re Ltd. Series 2023-1 Class B Reset 2025</t>
  </si>
  <si>
    <t>CB-Luca Re Ltd. Series 2025-1 Class A</t>
  </si>
  <si>
    <t>CB-Matterhorn Re Ltd. Series 2021-1 Class A Reset 2025</t>
  </si>
  <si>
    <t>CB-Matterhorn Re Ltd. Series 2025-1 Class A</t>
  </si>
  <si>
    <t>CB-Matterhorn Re Ltd. Series 2025-1 Class B</t>
  </si>
  <si>
    <t>CB-Matterhorn Re Ltd. Series 2025-2 Class A</t>
  </si>
  <si>
    <t>CB-Kizuna Re III Pte. Ltd. Series 2024-1 Class A Reset 2025</t>
  </si>
  <si>
    <t>CB-Kizuna Re III Pte. Ltd. Series 2021-1 Class A Reset 2023</t>
  </si>
  <si>
    <t>CB-Tomoni Re Pte. Ltd. Series 2022-1 Class A-1 Reset 2025</t>
  </si>
  <si>
    <t>CB-Tomoni Re Pte. Ltd. Series 2022-1 Class B-1 Reset 2025</t>
  </si>
  <si>
    <t>CB-Tomoni Re Pte. Ltd. Series 2024-1 Class A Reset 2025</t>
  </si>
  <si>
    <t>CB-Tomoni Re Pte. Ltd. Series 2024-1 Class B Reset 2025</t>
  </si>
  <si>
    <t>CB-Nature Coast Re Ltd. Series 2023-1 Class A Reset 2025</t>
  </si>
  <si>
    <t>CB-Nature Coast Re Ltd. Series 2023-1 Class B Reset 2025</t>
  </si>
  <si>
    <t>CB-Nature Coast Re Ltd. Series 2024-1 Class A Reset 2025</t>
  </si>
  <si>
    <t>CB-Nature Coast Re Ltd. Series 2025-2 Class A</t>
  </si>
  <si>
    <t>CB-Charles River Re Ltd. Series 2024-1 Class A Reset 2025</t>
  </si>
  <si>
    <t>CB-Gateway Re II Ltd. Series 2023-1 Class A Reset 2025</t>
  </si>
  <si>
    <t>CB-Gateway Re Ltd. Series 2023-1 Class A Reset 2025</t>
  </si>
  <si>
    <t>CB-Gateway Re Ltd. Series 2023-1 Class B Reset 2025</t>
  </si>
  <si>
    <t>CB-Gateway Re Ltd. Series 2024-1 Class AA Reset 2025</t>
  </si>
  <si>
    <t>CB-Maschpark Re Ltd. Series 2024-1 Class A</t>
  </si>
  <si>
    <t>CB-Mystic Re IV Ltd. Series 2023-1 Class A Reset 2025</t>
  </si>
  <si>
    <t>CB-Greengrove Re Ltd. Series 2025-1 Class A</t>
  </si>
  <si>
    <t>CB-Lion Re DAC Series 2025-1 Class A</t>
  </si>
  <si>
    <t>CB-Lion Re DAC Series 2025-1 Class B</t>
  </si>
  <si>
    <t>CB-Liongate Re DAC</t>
  </si>
  <si>
    <t>CB-Chartwell Re Ltd. Series 2025-1 Class C</t>
  </si>
  <si>
    <t>CB-Chartwell Re Ltd. Series 2025-1 Class B</t>
  </si>
  <si>
    <t>CB-Chartwell Re Ltd. Series 2025-1 Class A</t>
  </si>
  <si>
    <t>CB-Hypatia Ltd. Series 2023-1 Class A Reset 2025</t>
  </si>
  <si>
    <t>CB-Commonwealth Re Ltd. Series 2023-1 Class A Reset 2025</t>
  </si>
  <si>
    <t>CB-Everglades Re II Ltd. Series 2024-1 Class A Reset 2025</t>
  </si>
  <si>
    <t>CB-Everglades Re II Ltd. Series 2024-1 Class B Reset 2025</t>
  </si>
  <si>
    <t>CB-Everglades Re II Ltd. Series 2024-1 Class C Reset 2025</t>
  </si>
  <si>
    <t>CB-Everglades Re II Ltd. Series 2025-1 Class A</t>
  </si>
  <si>
    <t>CB-Everglades Re II Ltd. Series 2025-1 Class B</t>
  </si>
  <si>
    <t>CB-Everglades Re II Ltd. Series 2025-1 Class C</t>
  </si>
  <si>
    <t>CB-Everglades Re II Ltd. Series 2025-1 Class D</t>
  </si>
  <si>
    <t>CB-Fish Pond Re Ltd. Series 2024-1 Class A Reset 2025</t>
  </si>
  <si>
    <t>CB-Mountain Re Ltd. Series 2023-1 Class A Reset 2025</t>
  </si>
  <si>
    <t>CB-Mystic Re IV Ltd. Series 2024-1 Class A Reset 2025</t>
  </si>
  <si>
    <t>CB-Northshore Re II Ltd. Series 2025-1 Class A</t>
  </si>
  <si>
    <t>CB-Oceanside Re Ltd. Series 2025-1 Class A</t>
  </si>
  <si>
    <t>CB-Palm Re Ltd. Series 2024-1 Class A Reset 2025</t>
  </si>
  <si>
    <t>CB-Winston Re Ltd. Series 2024-1 Class A Reset 2025</t>
  </si>
  <si>
    <t>CB-Winston Re Ltd. Series 2024-1 Class B Reset 2025</t>
  </si>
  <si>
    <t>CB-Winston Re Ltd. Series 2025-1 Class A</t>
  </si>
  <si>
    <t>CB-Palm Re Ltd. Series 2025-1 Class A</t>
  </si>
  <si>
    <t>CB-Acorn Re Ltd. Series 2023-1 Class A</t>
  </si>
  <si>
    <t>CB-Acorn Re Ltd. Series 2024-1 Class A</t>
  </si>
  <si>
    <t>CB-Acorn Re Ltd. Series 2024-1 Class B</t>
  </si>
  <si>
    <t>CB-Ursa Re II Ltd. Series 2022-2 Class AA Reset 2024</t>
  </si>
  <si>
    <t>CB-Ursa Re II Ltd. Series 2022-2 Class C Reset 2024</t>
  </si>
  <si>
    <t>CB-Ursa Re II Ltd. Series 2025-1 Class G</t>
  </si>
  <si>
    <t>CB-Ursa Re Ltd. Series 2023-2 Class E Reset 2024</t>
  </si>
  <si>
    <t>CB-Ursa Re Ltd. Series 2023-3 Class AA Reset 2024</t>
  </si>
  <si>
    <t>CB-Ursa Re Ltd. Series 2023-3 Class D Reset 2024</t>
  </si>
  <si>
    <t>CB-Ursa Re Ltd. Series 2023-1 Class AA Reset 2024</t>
  </si>
  <si>
    <t>CB-Ursa Re Ltd. Series 2023-1 Class C Reset 2024</t>
  </si>
  <si>
    <t>CB-Ursa Re Ltd. Series 2025-1 Class F</t>
  </si>
  <si>
    <t>CB-Montoya Re Ltd. Series 2022-2 Class A Reset 2025</t>
  </si>
  <si>
    <t>CB-Totara Re Pte. Ltd. Series 2023-1 Class A Reset 2025</t>
  </si>
  <si>
    <t>CB-FloodSmart Re Ltd. Series 2023-1 Class A Reset 2025</t>
  </si>
  <si>
    <t>CB-FloodSmart Re Ltd. Series 2023-1 Class B Reset 2025</t>
  </si>
  <si>
    <t>CB-FloodSmart Re Ltd. Series 2024-1 Class A Reset 2025</t>
  </si>
  <si>
    <t>CB-FloodSmart Re Ltd. Series 2024-1 Class B Reset 2025</t>
  </si>
  <si>
    <t>CB-Foundation Re IV Ltd. Series 2023-1 Class A Reset 2025</t>
  </si>
  <si>
    <t>CB-Quercus Re DAC Reset 2025</t>
  </si>
  <si>
    <t>CB-Sabine Re Ltd. Series 2024-1 Class A Reset 2025</t>
  </si>
  <si>
    <t>CB-Sakura Re Ltd. Series 2025-1 Class A</t>
  </si>
  <si>
    <t>CB-Solis Re Ltd. Series 2025-1 Class A</t>
  </si>
  <si>
    <t>CB-Taranis Re DAC Class A Reset 2025</t>
  </si>
  <si>
    <t>CB-Taranis Re DAC Class B Reset 2025</t>
  </si>
  <si>
    <t>CB-Wrigley Re Ltd. Series 2023-1 Class B Reset 2025</t>
  </si>
  <si>
    <t>CB-Wrigley Re Ltd. Series 2023-1 Class A Reset 2025</t>
  </si>
  <si>
    <t>CB-Yosemite Re Ltd. Series 2025-1 Class A</t>
  </si>
  <si>
    <t>CB-Montoya Re Ltd. Series 2024-1 Class A Reset 2025</t>
  </si>
  <si>
    <t>CB-Fuchsia Series 2023-1 Class A Reset 2025</t>
  </si>
  <si>
    <t>CB-Fuchsia 2 Series 2024-1 Class A Reset 2025</t>
  </si>
  <si>
    <t>CB-Montoya Re Ltd. Series 2025-1 Class A Reset 2025</t>
  </si>
  <si>
    <t>CB-Montoya Re Ltd. Series 2025-1 Class B Reset 2025</t>
  </si>
  <si>
    <t>CB-Mystic Re IV Ltd. Series 2025-1 Class A</t>
  </si>
  <si>
    <t>CB-Mystic Re IV Ltd. Series 2025-1 Class B</t>
  </si>
  <si>
    <t>CB-Mystic Re IV Ltd. Series 2025-1 Class C</t>
  </si>
  <si>
    <t>CB-Alamo Re Ltd. Series 2023-1 Class A Reset 2025</t>
  </si>
  <si>
    <t>CB-Alamo Re Ltd. Series 2024-1 Class A Reset 2025</t>
  </si>
  <si>
    <t>CB-Alamo Re Ltd. Series 2024-1 Class B Reset 2025</t>
  </si>
  <si>
    <t>CB-Alamo Re Ltd. Series 2024-1 Class C Reset 2025</t>
  </si>
  <si>
    <t>CB-Topanga Re Ltd. Series 2021-1 Class A Reset 2025</t>
  </si>
  <si>
    <t>CB-Sanders Re III Ltd. Series 2023-2 Class A Reset 2025</t>
  </si>
  <si>
    <t>CB-Mona Lisa Re Ltd. Series 2025-1 Class A</t>
  </si>
  <si>
    <t>CB-Mona Lisa Re Ltd. Series 2025-1 Class B</t>
  </si>
  <si>
    <t>CB-Mona Lisa Re Ltd. Series 2024-1 Class A Reset 2025</t>
  </si>
  <si>
    <t>CB-Mona Lisa Re Ltd. Series 2023-1 Class A Reset 2025</t>
  </si>
  <si>
    <t>CB-Mona Lisa Re Ltd. Series 2023-1 Class B Reset 2025</t>
  </si>
  <si>
    <t>CB-King Max Re DAC Reset 2025</t>
  </si>
  <si>
    <t>CB-Orange Capital Re DAC Series 2024-1 Class A</t>
  </si>
  <si>
    <t>CB-Orange Capital Re DAC Series 2023-1 Class A Reset 2025</t>
  </si>
  <si>
    <t>CB-Locke Tavern Re Ltd. Series 2023-1 Class A Reset 2025</t>
  </si>
  <si>
    <t>CB-Herbie Re Ltd. Series 2024-1 Class A Reset 2025</t>
  </si>
  <si>
    <t>CB-Herbie Re Ltd. Series 2024-1 Class B Reset 2025</t>
  </si>
  <si>
    <t>CB-Herbie Re Ltd. Series 2024-2 Class A</t>
  </si>
  <si>
    <t>CB-Herbie Re Ltd. Series 2024-2 Class B</t>
  </si>
  <si>
    <t>CB-Herbie Re Ltd. Series 2024-2 Class C</t>
  </si>
  <si>
    <t>CB-Herbie Re Ltd. Series 2022-1 Class A Reset 2025</t>
  </si>
  <si>
    <t>CB-Long Point Re IV Ltd. Series 2022-1 Class A Reset 2025</t>
  </si>
  <si>
    <t>CB-Sutter Re Ltd. Series 2023-1 Class B Reset 2025</t>
  </si>
  <si>
    <t>CB-Sutter Re Ltd. Series 2023-1 Class E Reset 2025</t>
  </si>
  <si>
    <t>CB-Windmill III Re DAC Series 2024-1 Class A Reset 2025</t>
  </si>
  <si>
    <t>CB-Titania Re Ltd. Series 2023-1 Class A Reset 2025</t>
  </si>
  <si>
    <t>CB-Titania Re Ltd. Series 2023-1 Class B Reset 2025</t>
  </si>
  <si>
    <t>CB-Titania Re Ltd. Series 2024-1 Class A</t>
  </si>
  <si>
    <t>CB-Titania Re Ltd. Series 2024-1 Class B</t>
  </si>
  <si>
    <t>CB-Titania Re Ltd. Series 2025-1 Class A</t>
  </si>
  <si>
    <t>CB-Titania Re Ltd. Series 2025-1 Class B</t>
  </si>
  <si>
    <t>CB-Kendall Re Ltd. Series 2024-1 Class A Reset 2025</t>
  </si>
  <si>
    <t>CB-Kendall Re Ltd. Series 2024-1 Class B Reset 2025</t>
  </si>
  <si>
    <t>CB-Sanders Re II Ltd. Series 2025-2 Class A</t>
  </si>
  <si>
    <t>CB-High Point Re Ltd. Series 2023-1 Class A Reset 2025</t>
  </si>
  <si>
    <t>CB-Azzurro Re II DAC Series 2024-1 Class A Reset 2025</t>
  </si>
  <si>
    <t>CB-Bonanza Re Ltd. Series 2023-1 Class A Reset 2025</t>
  </si>
  <si>
    <t>CB-Blue Sky Re DAC Series 2023-1 Reset 2025</t>
  </si>
  <si>
    <t>CB-Eiffel Re Ltd. Series 2023-1 Class A Reset 2025</t>
  </si>
  <si>
    <t>CB-Atlas Capital DAC Series 2023-1 Class A Reset 2025</t>
  </si>
  <si>
    <t>CB-Atlas Capital DAC Series 2025-1 Class A</t>
  </si>
  <si>
    <t>CB-Commonwealth Re Ltd. Series 2025-1 Class A</t>
  </si>
  <si>
    <t>CB-First Coast Re IV Ltd. Series 2025-1 Class B</t>
  </si>
  <si>
    <t>CB-First Coast Re IV Ltd. Series 2025-1 Class A</t>
  </si>
  <si>
    <t>CB-3264 Re Ltd. Series 2025-1 Class B</t>
  </si>
  <si>
    <t>CB-3264 Re Ltd. Series 2025-1 Class A</t>
  </si>
  <si>
    <t>CB-2001 CAT Re Ltd. Series 2023-1 Class A Reset 2025</t>
  </si>
  <si>
    <t>CB-Herbie Re Ltd. Series 2025-1 Class A</t>
  </si>
  <si>
    <t>CB-Res Re 2025 Ltd. Series 2025-II Class 2</t>
  </si>
  <si>
    <t>AcctGrpId</t>
  </si>
  <si>
    <t>CusipID</t>
  </si>
  <si>
    <t>InceptionDate</t>
  </si>
  <si>
    <t>ExpirationDate</t>
  </si>
  <si>
    <t>PrincipalAmount</t>
  </si>
  <si>
    <t>Issuer_Name</t>
  </si>
  <si>
    <t>CoveredPerils</t>
  </si>
  <si>
    <t>OccurrenceLimit</t>
  </si>
  <si>
    <t>AggregateLimit</t>
  </si>
  <si>
    <t>Maturitydate</t>
  </si>
  <si>
    <t>coupon</t>
  </si>
  <si>
    <t>Price</t>
  </si>
  <si>
    <t>coupon frequency</t>
  </si>
  <si>
    <t>Yield</t>
  </si>
  <si>
    <t>TriggerType</t>
  </si>
  <si>
    <t>LossBasis</t>
  </si>
  <si>
    <t>42703VAM5</t>
  </si>
  <si>
    <t>Herbie Re Ltd.</t>
  </si>
  <si>
    <t>EQ / North America, Australasia, Japan, Italy, Turkey ; NS / North America, Australia, Japan ; EW / Europe ; Other Wind / U.S., Canada ; WF / U.S.</t>
  </si>
  <si>
    <t>Industry Loss</t>
  </si>
  <si>
    <t>Annual Aggregate</t>
  </si>
  <si>
    <t>33975CAP0</t>
  </si>
  <si>
    <t>FloodSmart Re Ltd.</t>
  </si>
  <si>
    <t>Flood / U.S., Puerto Rico, U.S. VI</t>
  </si>
  <si>
    <t>Indemnity</t>
  </si>
  <si>
    <t>Per Occurrence</t>
  </si>
  <si>
    <t>03843AAB8</t>
  </si>
  <si>
    <t>Aquila Re I Ltd.</t>
  </si>
  <si>
    <t>All Natural Perils / U.S.</t>
  </si>
  <si>
    <t>037987AA2</t>
  </si>
  <si>
    <t>037987AB0</t>
  </si>
  <si>
    <t>68302QAA2</t>
  </si>
  <si>
    <t>123 Lights Re Ltd.</t>
  </si>
  <si>
    <t>Wildfire / California</t>
  </si>
  <si>
    <t>571253AA1</t>
  </si>
  <si>
    <t>Marlon Ltd.</t>
  </si>
  <si>
    <t>Named Storm / Florida</t>
  </si>
  <si>
    <t>571253AB9</t>
  </si>
  <si>
    <t>532242AA2</t>
  </si>
  <si>
    <t>Lightning Re Ltd.</t>
  </si>
  <si>
    <t>755933AA6</t>
  </si>
  <si>
    <t>Recoletos Re DAC</t>
  </si>
  <si>
    <t>Named Storm / U.S.</t>
  </si>
  <si>
    <t>13947LAF9</t>
  </si>
  <si>
    <t>Cape Lookout Re Ltd.</t>
  </si>
  <si>
    <t>Named Storm / North Carolina</t>
  </si>
  <si>
    <t>04401RAA5</t>
  </si>
  <si>
    <t>Ashera Re Ltd.</t>
  </si>
  <si>
    <t>Earthquake ; Named Storm / U.S., Canada</t>
  </si>
  <si>
    <t>751443AA0</t>
  </si>
  <si>
    <t>Ramble Re Ltd.</t>
  </si>
  <si>
    <t>Earthquake / U.S., Canada ; Named Storm / Northeast U.S.</t>
  </si>
  <si>
    <t>Per Occurrence and Annual Aggregate</t>
  </si>
  <si>
    <t>36354TAN2</t>
  </si>
  <si>
    <t>Galileo Re Ltd.</t>
  </si>
  <si>
    <t>Earthquake / U.S., Canada, Puerto Rico, U.S. VI ; Named Storm / U.S., Puerto Rico, U.S. VI</t>
  </si>
  <si>
    <t>35087TAF5</t>
  </si>
  <si>
    <t>Four Lakes Re Ltd.</t>
  </si>
  <si>
    <t>35087TAH1</t>
  </si>
  <si>
    <t>XS2969300081</t>
  </si>
  <si>
    <t>MMIFS Re Ltd.</t>
  </si>
  <si>
    <t>Earthquake ; Severe Convective Storm / Canada</t>
  </si>
  <si>
    <t>09785EAP6</t>
  </si>
  <si>
    <t>Bonanza Re Ltd.</t>
  </si>
  <si>
    <t>09785EAQ4</t>
  </si>
  <si>
    <t>80001RAB7</t>
  </si>
  <si>
    <t>Sanders Re II Ltd.</t>
  </si>
  <si>
    <t>All Natural Perils / U.S. (excl. FL)</t>
  </si>
  <si>
    <t>80001RAA9</t>
  </si>
  <si>
    <t>76091DAA9</t>
  </si>
  <si>
    <t>Res Re 2025 Ltd.</t>
  </si>
  <si>
    <t>76091DAB7</t>
  </si>
  <si>
    <t>76091DAC5</t>
  </si>
  <si>
    <t>27777AAA9</t>
  </si>
  <si>
    <t>Easton Re Ltd.</t>
  </si>
  <si>
    <t>Earthquake / U.S., Canada ; Named Storm / U.S., Puerto Rico, U.S. VI</t>
  </si>
  <si>
    <t>10807LAA5</t>
  </si>
  <si>
    <t>Bridge Street Re Ltd.</t>
  </si>
  <si>
    <t>Earthquake ; Named Storm / U.S., Canada, Puerto Rico, U.S. VI</t>
  </si>
  <si>
    <t>76119YAF0</t>
  </si>
  <si>
    <t>Res Re 2022 Ltd.</t>
  </si>
  <si>
    <t>76119YAG8</t>
  </si>
  <si>
    <t>76090WAB6</t>
  </si>
  <si>
    <t>Res Re 2023 Ltd.</t>
  </si>
  <si>
    <t>76090WAC4</t>
  </si>
  <si>
    <t>76112AAC6</t>
  </si>
  <si>
    <t>Res Re 2024 Ltd.</t>
  </si>
  <si>
    <t>76112AAD4</t>
  </si>
  <si>
    <t>76112AAE2</t>
  </si>
  <si>
    <t>05826BAC0</t>
  </si>
  <si>
    <t>Baldwin Re Ltd.</t>
  </si>
  <si>
    <t>All Natural Perils / Northeast U.S.</t>
  </si>
  <si>
    <t>05826BAB2</t>
  </si>
  <si>
    <t>57839MAC2</t>
  </si>
  <si>
    <t>Mayflower Re Ltd.</t>
  </si>
  <si>
    <t>Named Storm ; Severe Thunderstorm ; Winter Storm / Massachusetts</t>
  </si>
  <si>
    <t>57839MAD0</t>
  </si>
  <si>
    <t>76119YAB9</t>
  </si>
  <si>
    <t>NULL</t>
  </si>
  <si>
    <t>76119YAC7</t>
  </si>
  <si>
    <t>76133XAA5</t>
  </si>
  <si>
    <t>76133XAB3</t>
  </si>
  <si>
    <t>76091BAB1</t>
  </si>
  <si>
    <t>76091BAC9</t>
  </si>
  <si>
    <t>36779CAM8</t>
  </si>
  <si>
    <t>Gateway Re Ltd.</t>
  </si>
  <si>
    <t>Named Storm / Alabama, Louisiana, Mississippi, New York, North Carolina, South Carolina, Texas</t>
  </si>
  <si>
    <t>36779CAQ9</t>
  </si>
  <si>
    <t>Named Storm / Alabama, Florida, Louisiana, Mississippi, New York, North Carolina, South Carolina, Texas</t>
  </si>
  <si>
    <t>36779CAN6</t>
  </si>
  <si>
    <t>36779CAS5</t>
  </si>
  <si>
    <t xml:space="preserve">Named Storm / Louisiana, Mississippi, South Carolina, Texas </t>
  </si>
  <si>
    <t>59165HAD1</t>
  </si>
  <si>
    <t>MetroCat Re Ltd.</t>
  </si>
  <si>
    <t>Named Storm / New York, New Jersey</t>
  </si>
  <si>
    <t>XS2806459314</t>
  </si>
  <si>
    <t>IBRD CAR Jamaica 2024</t>
  </si>
  <si>
    <t>Named Storm / Jamaica</t>
  </si>
  <si>
    <t>XS2599161192</t>
  </si>
  <si>
    <t>IBRD CAR Chile 2023</t>
  </si>
  <si>
    <t>Earthquake / Chile</t>
  </si>
  <si>
    <t>37173WAA0</t>
  </si>
  <si>
    <t>Genesee Street Re Ltd.</t>
  </si>
  <si>
    <t>Named Storm ; Severe Thunderstorm / Eastern U.S.</t>
  </si>
  <si>
    <t>799927AA6</t>
  </si>
  <si>
    <t>Sanders Re III Ltd.</t>
  </si>
  <si>
    <t>80001QAA1</t>
  </si>
  <si>
    <t>80001QAB9</t>
  </si>
  <si>
    <t>80000YAA5</t>
  </si>
  <si>
    <t>80000XAA7</t>
  </si>
  <si>
    <t>80000XAC3</t>
  </si>
  <si>
    <t>80001TAA5</t>
  </si>
  <si>
    <t>80001TAC1</t>
  </si>
  <si>
    <t>80001TAB3</t>
  </si>
  <si>
    <t>80001TAD9</t>
  </si>
  <si>
    <t>577092AZ2</t>
  </si>
  <si>
    <t>Matterhorn Re Ltd.</t>
  </si>
  <si>
    <t>Earthquake / U.S. (excl. HI), Canada</t>
  </si>
  <si>
    <t>577092BA6</t>
  </si>
  <si>
    <t>04681FAA2</t>
  </si>
  <si>
    <t>Atela Re Ltd.</t>
  </si>
  <si>
    <t>Earthquake ; Named Storm / U.S., Puerto Rico, U.S. VI</t>
  </si>
  <si>
    <t>04681FAB0</t>
  </si>
  <si>
    <t>83427GAA3</t>
  </si>
  <si>
    <t>Solomon Re Ltd.</t>
  </si>
  <si>
    <t>Earthquake ; Named Storm / U.S.</t>
  </si>
  <si>
    <t>35087TAE8</t>
  </si>
  <si>
    <t>2nd Gen Parametric</t>
  </si>
  <si>
    <t>1st Gen Parametric</t>
  </si>
  <si>
    <t>35087TAG3</t>
  </si>
  <si>
    <t>49407QAJ7</t>
  </si>
  <si>
    <t>Kilimanjaro II Re Ltd.</t>
  </si>
  <si>
    <t>49407QAK4</t>
  </si>
  <si>
    <t>49407QAL2</t>
  </si>
  <si>
    <t>49407QAM0</t>
  </si>
  <si>
    <t>49407QAN8</t>
  </si>
  <si>
    <t>49407QAP3</t>
  </si>
  <si>
    <t>49407QAQ1</t>
  </si>
  <si>
    <t>49407QAR9</t>
  </si>
  <si>
    <t>49407QAG3</t>
  </si>
  <si>
    <t>49407QAH1</t>
  </si>
  <si>
    <t>49407PAH3</t>
  </si>
  <si>
    <t>Kilimanjaro III Re Ltd.</t>
  </si>
  <si>
    <t>76870YAG7</t>
  </si>
  <si>
    <t>Riverfront Re Ltd.</t>
  </si>
  <si>
    <t>All Natural Perils / U.S., Canada</t>
  </si>
  <si>
    <t>76870YAF9</t>
  </si>
  <si>
    <t>63901CAD3</t>
  </si>
  <si>
    <t>Nature Coast Re Ltd.</t>
  </si>
  <si>
    <t>Named Storm / Alabama, Florida, Louisiana, Mississippi, Texas</t>
  </si>
  <si>
    <t>54180CAA0</t>
  </si>
  <si>
    <t>Lapis 2025-1</t>
  </si>
  <si>
    <t>Named Storm ; Earthquake / U.S., Canada, Puerto Rico, U.S. VI</t>
  </si>
  <si>
    <t>36779CAF3</t>
  </si>
  <si>
    <t>Named Storm / Alabama, Louisiana, Mississippi, New York, North Carolina, South Carolina, Texas, Virginia</t>
  </si>
  <si>
    <t>68252UAA3</t>
  </si>
  <si>
    <t>1886 Re Ltd.</t>
  </si>
  <si>
    <t>Named Storm / Connecticut, Massachusetts, New York, New Jersey, Rhode Island</t>
  </si>
  <si>
    <t>03851YAA7</t>
  </si>
  <si>
    <t>Aragonite Re Ltd.</t>
  </si>
  <si>
    <t>04227FAE5</t>
  </si>
  <si>
    <t>Armor Re II Ltd.</t>
  </si>
  <si>
    <t>89141WAG7</t>
  </si>
  <si>
    <t>Torrey Pines Re Ltd.</t>
  </si>
  <si>
    <t>Earthquake / U.S.</t>
  </si>
  <si>
    <t>89141WAH5</t>
  </si>
  <si>
    <t>Earthquake / California</t>
  </si>
  <si>
    <t>89141WAJ1</t>
  </si>
  <si>
    <t>89141WAK8</t>
  </si>
  <si>
    <t>89141WAL6</t>
  </si>
  <si>
    <t>89141WAM4</t>
  </si>
  <si>
    <t>89141WAN2</t>
  </si>
  <si>
    <t>31771QAB0</t>
  </si>
  <si>
    <t>Finca Re Ltd.</t>
  </si>
  <si>
    <t>XS2799645515</t>
  </si>
  <si>
    <t>IBRD CAR Mexico 2024 Class A</t>
  </si>
  <si>
    <t>Earthquake / Mexico</t>
  </si>
  <si>
    <t>XS2799645606</t>
  </si>
  <si>
    <t>IBRD CAR Mexico 2024 Class B</t>
  </si>
  <si>
    <t>XS2799645788</t>
  </si>
  <si>
    <t>IBRD CAR Mexico 2024 Class C</t>
  </si>
  <si>
    <t>Atlantic Named Storm / Mexico</t>
  </si>
  <si>
    <t>XS2809694198</t>
  </si>
  <si>
    <t>IBRD CAR Mexico 2024 Class D</t>
  </si>
  <si>
    <t>Pacific Named Storm / Mexico</t>
  </si>
  <si>
    <t>88577CAC5</t>
  </si>
  <si>
    <t>3264 Re Ltd.</t>
  </si>
  <si>
    <t>Named Storm / Northeast U.S.</t>
  </si>
  <si>
    <t>88577CAD3</t>
  </si>
  <si>
    <t>Named Storm / Alabama, Louisiana, Mississippi, Texas</t>
  </si>
  <si>
    <t>88577CAG6</t>
  </si>
  <si>
    <t>Named Storm / Eastern U.S ; Earthquake / U.S., Canada</t>
  </si>
  <si>
    <t>54307MAA6</t>
  </si>
  <si>
    <t>Longleaf Pine Re Ltd.</t>
  </si>
  <si>
    <t xml:space="preserve">Per Occurrence </t>
  </si>
  <si>
    <t>92335TAA7</t>
  </si>
  <si>
    <t>Veraison Re Ltd.</t>
  </si>
  <si>
    <t>92335TAC3</t>
  </si>
  <si>
    <t>92335TAD1</t>
  </si>
  <si>
    <t>92335TAE9</t>
  </si>
  <si>
    <t>XS3019877813</t>
  </si>
  <si>
    <t>Vision 2039</t>
  </si>
  <si>
    <t>Flood / United Kingdom</t>
  </si>
  <si>
    <t>74528TAA2</t>
  </si>
  <si>
    <t>Puerto Rico Parametric Re Ltd.</t>
  </si>
  <si>
    <t>Earthquake ; Named Storm / Puerto Rico</t>
  </si>
  <si>
    <t>092168AB9</t>
  </si>
  <si>
    <t>Black Kite Re Ltd.</t>
  </si>
  <si>
    <t>Typhoon / Japan ; Earthquake / Japan, China, India</t>
  </si>
  <si>
    <t>177510AQ7</t>
  </si>
  <si>
    <t>Citrus Re Ltd.</t>
  </si>
  <si>
    <t>Named Storm / Southeast U.S.</t>
  </si>
  <si>
    <t>177510AM6</t>
  </si>
  <si>
    <t>177510AN4</t>
  </si>
  <si>
    <t>177510AP9</t>
  </si>
  <si>
    <t>096003AA6</t>
  </si>
  <si>
    <t>Blue Ridge Re Ltd.</t>
  </si>
  <si>
    <t>096003AB4</t>
  </si>
  <si>
    <t>04227FAF2</t>
  </si>
  <si>
    <t>13947LAG7</t>
  </si>
  <si>
    <t>07304LAB7</t>
  </si>
  <si>
    <t>Bayou Re Ltd.</t>
  </si>
  <si>
    <t>Named Storm / Louisiana</t>
  </si>
  <si>
    <t>74639NAD5</t>
  </si>
  <si>
    <t>Purple Re Ltd.</t>
  </si>
  <si>
    <t>Named Storm / Florida, South Carolina</t>
  </si>
  <si>
    <t>74639NAE3</t>
  </si>
  <si>
    <t>74639NAC7</t>
  </si>
  <si>
    <t>74639NAB9</t>
  </si>
  <si>
    <t>74639NAA1</t>
  </si>
  <si>
    <t>62983QAN3</t>
  </si>
  <si>
    <t>Nakama Re Ltd.</t>
  </si>
  <si>
    <t>Earthquake / Japan</t>
  </si>
  <si>
    <t>62983QAP8</t>
  </si>
  <si>
    <t>Per Occurrence (Named Storm) ; Annual Aggregate (Earthquake)</t>
  </si>
  <si>
    <t>62984JAC2</t>
  </si>
  <si>
    <t>Nakama Re Pte. Ltd.</t>
  </si>
  <si>
    <t>62984JAD0</t>
  </si>
  <si>
    <t>62984JAA6</t>
  </si>
  <si>
    <t>62984JAB4</t>
  </si>
  <si>
    <t>049207AB9</t>
  </si>
  <si>
    <t>Atlas Capital DAC</t>
  </si>
  <si>
    <t>428270AA0</t>
  </si>
  <si>
    <t>Hexagon IV Re Ltd.</t>
  </si>
  <si>
    <t>Windstorm / France</t>
  </si>
  <si>
    <t>09610NAA0</t>
  </si>
  <si>
    <t>Bluebonnet Re Ltd.</t>
  </si>
  <si>
    <t>Named Storm ; Severe Thunderstorm / Texas</t>
  </si>
  <si>
    <t>09610NAB8</t>
  </si>
  <si>
    <t>09610NAC6</t>
  </si>
  <si>
    <t>09610NAD4</t>
  </si>
  <si>
    <t>Named Storm ; Severe Thunderstorm ; Wildfire / Texas</t>
  </si>
  <si>
    <t>42815KAC6</t>
  </si>
  <si>
    <t>Hestia Re Ltd.</t>
  </si>
  <si>
    <t>42815KAD4</t>
  </si>
  <si>
    <t>42815KAB8</t>
  </si>
  <si>
    <t>44914CAD8</t>
  </si>
  <si>
    <t>Hypatia Ltd.</t>
  </si>
  <si>
    <t>45870GAA4</t>
  </si>
  <si>
    <t>Integrity Re III Ltd.</t>
  </si>
  <si>
    <t>Named Storm / Florida, Georgia, South Carolina, North Carolina</t>
  </si>
  <si>
    <t>45870GAC0</t>
  </si>
  <si>
    <t>45870GAE6</t>
  </si>
  <si>
    <t>45870GAF3</t>
  </si>
  <si>
    <t>Named Storm / Florida, Georgia, South Carolina</t>
  </si>
  <si>
    <t>45870GAB2</t>
  </si>
  <si>
    <t>45870GAD8</t>
  </si>
  <si>
    <t>45833UAJ0</t>
  </si>
  <si>
    <t>Integrity Re Ltd.</t>
  </si>
  <si>
    <t>45833UAK7</t>
  </si>
  <si>
    <t>45833UAL5</t>
  </si>
  <si>
    <t>45833UAM3</t>
  </si>
  <si>
    <t>675951AA5</t>
  </si>
  <si>
    <t>Ocelot Re Ltd.</t>
  </si>
  <si>
    <t>675951AB3</t>
  </si>
  <si>
    <t>675951AC1</t>
  </si>
  <si>
    <t>07304LAC5</t>
  </si>
  <si>
    <t>07304LAD3</t>
  </si>
  <si>
    <t>07304LAE1</t>
  </si>
  <si>
    <t>Term Aggregate (Three-Year)</t>
  </si>
  <si>
    <t>54143LAB4</t>
  </si>
  <si>
    <t>Logistics Re Ltd.</t>
  </si>
  <si>
    <t>Earthquake / U.S. (excl. AK, HI)</t>
  </si>
  <si>
    <t>547915AB4</t>
  </si>
  <si>
    <t>Lower Ferry Re Ltd.</t>
  </si>
  <si>
    <t>Named Storm / Northeast U.S., Ohio</t>
  </si>
  <si>
    <t>54930CAA3</t>
  </si>
  <si>
    <t>Luca Re Ltd.</t>
  </si>
  <si>
    <t>Wildfire ; Fire Following Earthquake / California</t>
  </si>
  <si>
    <t>577092AW9</t>
  </si>
  <si>
    <t>Earthquake / U.S., Canada ; Named Storm / U.S., Canada</t>
  </si>
  <si>
    <t>577092AX7</t>
  </si>
  <si>
    <t>577092AY5</t>
  </si>
  <si>
    <t>49835JAB2</t>
  </si>
  <si>
    <t>Kizuna Re III Pte. Ltd.</t>
  </si>
  <si>
    <t>89009PAE8</t>
  </si>
  <si>
    <t>Tomoni Re Pte. Ltd.</t>
  </si>
  <si>
    <t>Typhoon ; Flood / Japan</t>
  </si>
  <si>
    <t>89009PAF5</t>
  </si>
  <si>
    <t>Typhoon ; Flood ; Earthquake / Japan</t>
  </si>
  <si>
    <t>63901CAA9</t>
  </si>
  <si>
    <t>Named Storm / Florida, Louisiana</t>
  </si>
  <si>
    <t>63901CAB7</t>
  </si>
  <si>
    <t>63901CAC5</t>
  </si>
  <si>
    <t>63901CAE1</t>
  </si>
  <si>
    <t>159873AA6</t>
  </si>
  <si>
    <t>Charles River Re Ltd.</t>
  </si>
  <si>
    <t>Named Storm / Massachusetts, New Jersey, New York, South Carolina</t>
  </si>
  <si>
    <t>36779CAG1</t>
  </si>
  <si>
    <t>574591AA1</t>
  </si>
  <si>
    <t>Maschpark Re Ltd.</t>
  </si>
  <si>
    <t>Earthquake / Chile, Peru, Bolivia, Argentina</t>
  </si>
  <si>
    <t>39526JAA9</t>
  </si>
  <si>
    <t>Greengrove Re Ltd.</t>
  </si>
  <si>
    <t>Fire ; Fire Following Earthquake / California</t>
  </si>
  <si>
    <t>XS3075449036</t>
  </si>
  <si>
    <t>Lion Re DAC</t>
  </si>
  <si>
    <t>Earthquake / Italy ; Windstorm / Europe</t>
  </si>
  <si>
    <t>XS3075450471</t>
  </si>
  <si>
    <t>Earthquake / Italy</t>
  </si>
  <si>
    <t>53625HAA4</t>
  </si>
  <si>
    <t>Liongate Re DAC</t>
  </si>
  <si>
    <t>Earthquake / Japan, Germany</t>
  </si>
  <si>
    <t>16140YAC6</t>
  </si>
  <si>
    <t>Chartwell Re Ltd.</t>
  </si>
  <si>
    <t>Named Storm / Alabama, Florida, Mississippi, New Jersey, New York, Rhode Island, Texas</t>
  </si>
  <si>
    <t>16140YAB8</t>
  </si>
  <si>
    <t>16140YAA0</t>
  </si>
  <si>
    <t>30014LAM6</t>
  </si>
  <si>
    <t>Everglades Re II Ltd.</t>
  </si>
  <si>
    <t>30014LAN4</t>
  </si>
  <si>
    <t>30014LAP9</t>
  </si>
  <si>
    <t>30014LAT1</t>
  </si>
  <si>
    <t>30014LAU8</t>
  </si>
  <si>
    <t>30014LAV6</t>
  </si>
  <si>
    <t>30014LAW4</t>
  </si>
  <si>
    <t>33774EAA2</t>
  </si>
  <si>
    <t>Fish Pond Re Ltd.</t>
  </si>
  <si>
    <t>Named Storm / Texas</t>
  </si>
  <si>
    <t>62865LAE7</t>
  </si>
  <si>
    <t>Mystic Re IV Ltd.</t>
  </si>
  <si>
    <t>666842AF6</t>
  </si>
  <si>
    <t>Northshore Re II Ltd.</t>
  </si>
  <si>
    <t>67550LAA4</t>
  </si>
  <si>
    <t>Oceanside Re Ltd.</t>
  </si>
  <si>
    <t>Named Storm ; Severe Thunderstorm ; Winter Storm / New York</t>
  </si>
  <si>
    <t>69664FAA6</t>
  </si>
  <si>
    <t>Palm Re Ltd.</t>
  </si>
  <si>
    <t>975660AA9</t>
  </si>
  <si>
    <t>Winston Re Ltd.</t>
  </si>
  <si>
    <t>975660AB7</t>
  </si>
  <si>
    <t>975660AC5</t>
  </si>
  <si>
    <t>69664FAB4</t>
  </si>
  <si>
    <t>00485YAD1</t>
  </si>
  <si>
    <t>Acorn Re Ltd.</t>
  </si>
  <si>
    <t>Earthquake / U.S., Mexico</t>
  </si>
  <si>
    <t>00485YAE9</t>
  </si>
  <si>
    <t>Earthquake / U.S., Canada, Mexico</t>
  </si>
  <si>
    <t>91734PAH9</t>
  </si>
  <si>
    <t>Ursa Re II Ltd.</t>
  </si>
  <si>
    <t>90323WAN0</t>
  </si>
  <si>
    <t>Ursa Re Ltd.</t>
  </si>
  <si>
    <t>90323WAP5</t>
  </si>
  <si>
    <t>90323WAQ3</t>
  </si>
  <si>
    <t>90323WAR1</t>
  </si>
  <si>
    <t>613752AB0</t>
  </si>
  <si>
    <t>Montoya Re Ltd.</t>
  </si>
  <si>
    <t>Per Occurrence (TY/FL) and 3-year Aggregate (EQ)</t>
  </si>
  <si>
    <t>XS2630523749</t>
  </si>
  <si>
    <t>Totara Re Pte. Ltd.</t>
  </si>
  <si>
    <t>Earthquake ; Landslide ; Hydrothermal Activity ; Volcanic Activity ; Tsunami ; Storm ; Flood / New Zealand</t>
  </si>
  <si>
    <t>33975CAM7</t>
  </si>
  <si>
    <t>33975CAN5</t>
  </si>
  <si>
    <t>33975CAQ8</t>
  </si>
  <si>
    <t>349939AA6</t>
  </si>
  <si>
    <t>Foundation Re IV Ltd.</t>
  </si>
  <si>
    <t>Earthquake ; Tropical Cyclone / U.S., Puerto Rico</t>
  </si>
  <si>
    <t>XS2865536135</t>
  </si>
  <si>
    <t>Quercus Re DAC Reset 2025</t>
  </si>
  <si>
    <t>785628AA6</t>
  </si>
  <si>
    <t>Sabine Re Ltd.</t>
  </si>
  <si>
    <t>Named Storm / Louisiana, North Carolina, South Carolina, Texas</t>
  </si>
  <si>
    <t>79381MAD6</t>
  </si>
  <si>
    <t>Sakura Re Ltd.</t>
  </si>
  <si>
    <t>83423TAA9</t>
  </si>
  <si>
    <t>Solis Re Ltd.</t>
  </si>
  <si>
    <t>Named Storm / Northeast U.S., Mid-Atlantic U.S.</t>
  </si>
  <si>
    <t>87609TAA6</t>
  </si>
  <si>
    <t>Taranis Re DAC Class A Reset 2025</t>
  </si>
  <si>
    <t>Windstorm ; Hail Storm / France</t>
  </si>
  <si>
    <t>87609TAB4</t>
  </si>
  <si>
    <t>Taranis Re DAC Class B Reset 2025</t>
  </si>
  <si>
    <t>982533AC5</t>
  </si>
  <si>
    <t>Wrigley Re Ltd.</t>
  </si>
  <si>
    <t>982533AB7</t>
  </si>
  <si>
    <t>Earthquake / U.S. (excl. CA), Canada ; Named Storm / U.S., Canada</t>
  </si>
  <si>
    <t>98740RAB5</t>
  </si>
  <si>
    <t>Yosemite Re Ltd.</t>
  </si>
  <si>
    <t>Indemnity ; 1st Gen Parametric</t>
  </si>
  <si>
    <t>Term Aggregate (Three-Year) ; Per Occurrence</t>
  </si>
  <si>
    <t>613752AC8</t>
  </si>
  <si>
    <t>54180TAA3</t>
  </si>
  <si>
    <t>Fuchsia</t>
  </si>
  <si>
    <t>Earthquake ; Named Storm / U.S., Canada, Caribbean</t>
  </si>
  <si>
    <t>541917AA8</t>
  </si>
  <si>
    <t>Fuchsia 2</t>
  </si>
  <si>
    <t>613752AD6</t>
  </si>
  <si>
    <t>613752AE4</t>
  </si>
  <si>
    <t>62865LAF4</t>
  </si>
  <si>
    <t>62865LAG2</t>
  </si>
  <si>
    <t>62865LAH0</t>
  </si>
  <si>
    <t>All Natural Perils / U.S., Canada, Caribbean</t>
  </si>
  <si>
    <t>011395AJ9</t>
  </si>
  <si>
    <t>Alamo Re Ltd.</t>
  </si>
  <si>
    <t>011395AN0</t>
  </si>
  <si>
    <t>011395AP5</t>
  </si>
  <si>
    <t>011395AQ3</t>
  </si>
  <si>
    <t>799925AA0</t>
  </si>
  <si>
    <t>Earthquake ; Named Storm ; Severe Thunderstorm ; Wildfire / Florida</t>
  </si>
  <si>
    <t>608800AJ7</t>
  </si>
  <si>
    <t>Mona Lisa Re Ltd.</t>
  </si>
  <si>
    <t>608800AK4</t>
  </si>
  <si>
    <t>608800AH1</t>
  </si>
  <si>
    <t>King Max Re DAC Reset 2025</t>
  </si>
  <si>
    <t>Windstorm ; Hail Storm ; Flood ; Earthquake / Germany</t>
  </si>
  <si>
    <t>XS2931270180</t>
  </si>
  <si>
    <t>Orange Capital Re DAC</t>
  </si>
  <si>
    <t>Windstorm ; Severe Thunderstorm / Belgium, Netherlands</t>
  </si>
  <si>
    <t>XS2722275190</t>
  </si>
  <si>
    <t>42703VAG8</t>
  </si>
  <si>
    <t>42703VAH6</t>
  </si>
  <si>
    <t>42703VAJ2</t>
  </si>
  <si>
    <t>42703VAK9</t>
  </si>
  <si>
    <t>42703VAL7</t>
  </si>
  <si>
    <t>42703VAF0</t>
  </si>
  <si>
    <t>Earthquake / U.S., Canada</t>
  </si>
  <si>
    <t>86944RAF5</t>
  </si>
  <si>
    <t>Sutter Re Ltd.</t>
  </si>
  <si>
    <t>XS2845137541</t>
  </si>
  <si>
    <t>Windmill III Re DAC</t>
  </si>
  <si>
    <t>Windstorm / Europe</t>
  </si>
  <si>
    <t>888329AE9</t>
  </si>
  <si>
    <t>Titania Re Ltd.</t>
  </si>
  <si>
    <t>888329AF6</t>
  </si>
  <si>
    <t>888329AG4</t>
  </si>
  <si>
    <t>Earthquake ; Named Storm / U.S., Canada, Puerto Rico, U.S. VI ; Wildfire / U.S.</t>
  </si>
  <si>
    <t>888329AH2</t>
  </si>
  <si>
    <t>48878QAD2</t>
  </si>
  <si>
    <t>Kendall Re Ltd.</t>
  </si>
  <si>
    <t>Earthquake / U.S., Canada, Puerto Rico, U.S. VI ; Named Storm / U.S., Puerto Rico, U.S. VI ; Windstorm / Europe</t>
  </si>
  <si>
    <t>48878QAE0</t>
  </si>
  <si>
    <t>80001AAA6</t>
  </si>
  <si>
    <t>429932AA4</t>
  </si>
  <si>
    <t>High Point Re Ltd.</t>
  </si>
  <si>
    <t>All Natural Perils / U.S. (excl. CA, FL, LA, TX)</t>
  </si>
  <si>
    <t>XS2788028178</t>
  </si>
  <si>
    <t>Azzurro Re II DAC</t>
  </si>
  <si>
    <t>Earthquake / Italy, Austria, Croatia, France, Monaco, Slovenia, Switzerland</t>
  </si>
  <si>
    <t>09605UAA1</t>
  </si>
  <si>
    <t>Blue Sky Re DAC</t>
  </si>
  <si>
    <t>049207AC7</t>
  </si>
  <si>
    <t>Earthquake / U.S., Canada, Puerto Rico, U.S. VI ; Named Storm / U.S., Caribbean, Puerto Rico, U.S. VI ; Windstorm / Europe</t>
  </si>
  <si>
    <t>203235AC0</t>
  </si>
  <si>
    <t>Commonwealth Re Ltd.</t>
  </si>
  <si>
    <t>31969UAC1</t>
  </si>
  <si>
    <t>First Coast Re IV Ltd.</t>
  </si>
  <si>
    <t>88577CAF8</t>
  </si>
  <si>
    <t>EQ / North America</t>
  </si>
  <si>
    <t>88577CAE1</t>
  </si>
  <si>
    <t xml:space="preserve">EQ / North America, Australasia, Japan, Italy, Turkey ; NS / North America, Australia, Japan ; EW / Europe ; Other Wind / U.S., Canada </t>
  </si>
  <si>
    <t>90215BAB3</t>
  </si>
  <si>
    <t>2001 CAT Re Ltd.</t>
  </si>
  <si>
    <t>76091JAA6</t>
  </si>
  <si>
    <t>Per Occurrence (Named Storm) and Annual Aggregate (Earthquake)</t>
  </si>
  <si>
    <t>Setting</t>
  </si>
  <si>
    <t>Value</t>
  </si>
  <si>
    <t>Notes</t>
  </si>
  <si>
    <t>SQL Server</t>
  </si>
  <si>
    <t>SINDHU-LAPTOP</t>
  </si>
  <si>
    <t>Database</t>
  </si>
  <si>
    <t>ARAPL_CONFIGURATION_v13</t>
  </si>
  <si>
    <t>Auth Mode</t>
  </si>
  <si>
    <t>Windows</t>
  </si>
  <si>
    <t>SQL Login</t>
  </si>
  <si>
    <t>SQL Password</t>
  </si>
  <si>
    <t>NumberOfPeriods</t>
  </si>
  <si>
    <t>Debug</t>
  </si>
  <si>
    <t>Stored Procedure</t>
  </si>
  <si>
    <t>dbo.usp_GetActivityRegionPerilAAL_DealAAL</t>
  </si>
  <si>
    <t>Prereq Workbook Path</t>
  </si>
  <si>
    <t>Full path to the workbook containing the Prereq sheet the Output data gets copied into</t>
  </si>
  <si>
    <t>Prereq Sheet Name</t>
  </si>
  <si>
    <t>Prereq</t>
  </si>
  <si>
    <t>Name of the tab in the Prereq workbook to paste Output into (blank = "Prereq")</t>
  </si>
  <si>
    <t>Default ScaleFactor</t>
  </si>
  <si>
    <t>Used for every activity - the SQL activity list has no per-row ScaleFactor column (unlike the old Input sheet)</t>
  </si>
  <si>
    <t>NOTE: as of this version, the instrument/activity list is pulled live via SQL</t>
  </si>
  <si>
    <t>(ILSData/ILSTERMS/ILSActivityMonitor join) instead of from the Input sheet. The Input sheet is no longer read.</t>
  </si>
  <si>
    <t>C:\Users\ARAPL_USER\Desktop\UI Testing\Portfolio Test\Reinsurance Calculator\ILSData\Test.xlsx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</si>
</sst>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8">
    <font>
      <sz val="11"/>
      <color theme="1"/>
      <name val="Calibri"/>
      <family val="2"/>
      <scheme val="minor"/>
    </font>
    <font>
      <b/>
      <sz val="11"/>
      <color rgb="FFFFFFFF"/>
      <name val="Arial"/>
      <family val="2"/>
    </font>
    <font>
      <sz val="11"/>
      <color rgb="FF0000FF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 Unicode MS"/>
    </font>
    <font>
      <b/>
      <sz val="10"/>
      <name val="Arial"/>
    </font>
    <font>
      <i/>
      <sz val="9"/>
      <color rgb="FF666666"/>
      <name val="Arial"/>
    </font>
  </fonts>
  <fills count="5">
    <fill>
      <patternFill patternType="none"/>
    </fill>
    <fill>
      <patternFill patternType="gray125"/>
    </fill>
    <fill>
      <patternFill patternType="solid">
        <fgColor rgb="FF305496"/>
      </patternFill>
    </fill>
    <fill>
      <patternFill patternType="solid">
        <fgColor rgb="FFFFFF99"/>
      </patternFill>
    </fill>
    <fill>
      <patternFill patternType="solid">
        <fgColor rgb="FF1F497D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4" fillId="0" borderId="0"/>
  </cellStyleXfs>
  <cellXfs count="12">
    <xf numFmtId="0" fontId="0" fillId="0" borderId="0" xfId="0"/>
    <xf numFmtId="0" fontId="2" fillId="0" borderId="0" xfId="0" applyFont="1"/>
    <xf numFmtId="0" fontId="1" fillId="2" borderId="0" xfId="0" applyFont="1" applyFill="1"/>
    <xf numFmtId="0" fontId="3" fillId="0" borderId="0" xfId="0" applyFont="1"/>
    <xf numFmtId="14" fontId="0" fillId="0" borderId="0" xfId="0" applyNumberFormat="1"/>
    <xf numFmtId="0" fontId="5" fillId="0" borderId="0" xfId="0" applyFont="1" applyAlignment="1">
      <alignment vertical="center"/>
    </xf>
    <xf numFmtId="9" fontId="0" fillId="0" borderId="0" xfId="1" applyFont="1"/>
    <xf numFmtId="164" fontId="0" fillId="0" borderId="0" xfId="0" applyNumberFormat="1"/>
    <xf numFmtId="0" fontId="6" fillId="0" borderId="0" xfId="0" applyFont="1"/>
    <xf numFmtId="0" fontId="0" fillId="3" borderId="0" xfId="0" applyFill="1"/>
    <xf numFmtId="0" fontId="7" fillId="0" borderId="0" xfId="0" applyFont="1"/>
    <xf numFmtId="0" fontId="1" fillId="4" borderId="0" xfId="0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15"/>
  <sheetViews>
    <sheetView workbookViewId="0">
      <selection activeCell="B19" sqref="B19"/>
    </sheetView>
  </sheetViews>
  <sheetFormatPr defaultRowHeight="14.4"/>
  <cols>
    <col min="1" max="1" width="18" customWidth="1"/>
    <col min="2" max="2" width="32" customWidth="1"/>
    <col min="3" max="3" width="60" customWidth="1"/>
  </cols>
  <sheetData>
    <row r="1" spans="1:3">
      <c r="A1" s="2" t="s">
        <v>857</v>
      </c>
      <c r="B1" s="2" t="s">
        <v>858</v>
      </c>
      <c r="C1" s="2" t="s">
        <v>859</v>
      </c>
    </row>
    <row r="2" spans="1:3">
      <c r="A2" s="3" t="s">
        <v>860</v>
      </c>
      <c r="B2" s="1" t="s">
        <v>861</v>
      </c>
      <c r="C2" s="3"/>
    </row>
    <row r="3" spans="1:3">
      <c r="A3" s="3" t="s">
        <v>862</v>
      </c>
      <c r="B3" s="1" t="s">
        <v>863</v>
      </c>
      <c r="C3" s="3"/>
    </row>
    <row r="4" spans="1:3">
      <c r="A4" s="3" t="s">
        <v>864</v>
      </c>
      <c r="B4" s="1" t="s">
        <v>865</v>
      </c>
      <c r="C4" s="3"/>
    </row>
    <row r="5" spans="1:3">
      <c r="A5" s="3" t="s">
        <v>866</v>
      </c>
      <c r="B5" s="1"/>
      <c r="C5" s="3"/>
    </row>
    <row r="6" spans="1:3">
      <c r="A6" s="3" t="s">
        <v>867</v>
      </c>
      <c r="B6" s="1"/>
      <c r="C6" s="3"/>
    </row>
    <row r="7" spans="1:3">
      <c r="A7" s="3" t="s">
        <v>868</v>
      </c>
      <c r="B7" s="1">
        <v>10000</v>
      </c>
      <c r="C7" s="3"/>
    </row>
    <row r="8" spans="1:3">
      <c r="A8" s="3" t="s">
        <v>869</v>
      </c>
      <c r="B8" s="1">
        <v>0</v>
      </c>
      <c r="C8" s="3"/>
    </row>
    <row r="9" spans="1:3">
      <c r="A9" s="3" t="s">
        <v>870</v>
      </c>
      <c r="B9" s="1" t="s">
        <v>871</v>
      </c>
      <c r="C9" s="3"/>
    </row>
    <row r="10" spans="1:3">
      <c r="A10" s="3" t="s">
        <v>872</v>
      </c>
      <c r="B10" s="1" t="s">
        <v>881</v>
      </c>
      <c r="C10" s="3" t="s">
        <v>873</v>
      </c>
    </row>
    <row r="11" spans="1:3">
      <c r="A11" s="3" t="s">
        <v>874</v>
      </c>
      <c r="B11" s="1" t="s">
        <v>875</v>
      </c>
      <c r="C11" s="3" t="s">
        <v>876</v>
      </c>
    </row>
    <row r="12" spans="1:3">
      <c r="A12" s="8" t="s">
        <v>877</v>
      </c>
      <c r="B12" s="9">
        <v>1</v>
      </c>
      <c r="C12" s="10" t="s">
        <v>878</v>
      </c>
    </row>
    <row r="14" spans="1:3">
      <c r="A14" s="10" t="s">
        <v>879</v>
      </c>
    </row>
    <row r="15" spans="1:3">
      <c r="A15" s="10" t="s">
        <v>880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I329"/>
  <sheetViews>
    <sheetView tabSelected="1" workbookViewId="0">
      <selection activeCell="A17" sqref="A17"/>
    </sheetView>
  </sheetViews>
  <sheetFormatPr defaultRowHeight="14.4"/>
  <cols>
    <col min="1" max="1" width="53.21875" bestFit="1" customWidth="1"/>
    <col min="2" max="2" width="16.77734375" bestFit="1" customWidth="1"/>
    <col min="3" max="3" width="10.44140625" bestFit="1" customWidth="1"/>
    <col min="4" max="4" width="12.44140625" bestFit="1" customWidth="1"/>
    <col min="5" max="5" width="12" bestFit="1" customWidth="1"/>
    <col min="6" max="6" width="12.77734375" bestFit="1" customWidth="1"/>
    <col min="7" max="7" width="20.33203125" bestFit="1" customWidth="1"/>
    <col min="8" max="8" width="23.21875" bestFit="1" customWidth="1"/>
    <col min="9" max="9" width="30.6640625" bestFit="1" customWidth="1"/>
    <col min="10" max="10" width="26.44140625" bestFit="1" customWidth="1"/>
    <col min="11" max="11" width="22.44140625" bestFit="1" customWidth="1"/>
    <col min="12" max="12" width="24.33203125" bestFit="1" customWidth="1"/>
    <col min="13" max="13" width="26" bestFit="1" customWidth="1"/>
    <col min="14" max="14" width="19.33203125" bestFit="1" customWidth="1"/>
    <col min="15" max="15" width="23.33203125" bestFit="1" customWidth="1"/>
    <col min="16" max="16" width="19" bestFit="1" customWidth="1"/>
    <col min="17" max="17" width="17.77734375" bestFit="1" customWidth="1"/>
    <col min="18" max="18" width="26.109375" bestFit="1" customWidth="1"/>
    <col min="19" max="19" width="27.44140625" bestFit="1" customWidth="1"/>
    <col min="20" max="20" width="17.77734375" bestFit="1" customWidth="1"/>
    <col min="21" max="21" width="21.44140625" bestFit="1" customWidth="1"/>
    <col min="22" max="22" width="18.44140625" bestFit="1" customWidth="1"/>
    <col min="23" max="23" width="23.88671875" bestFit="1" customWidth="1"/>
    <col min="24" max="24" width="26.77734375" bestFit="1" customWidth="1"/>
    <col min="25" max="25" width="25.109375" bestFit="1" customWidth="1"/>
    <col min="26" max="26" width="22.6640625" bestFit="1" customWidth="1"/>
    <col min="27" max="27" width="23.5546875" bestFit="1" customWidth="1"/>
    <col min="28" max="28" width="32.6640625" bestFit="1" customWidth="1"/>
    <col min="29" max="29" width="25.109375" bestFit="1" customWidth="1"/>
    <col min="30" max="30" width="21.77734375" bestFit="1" customWidth="1"/>
    <col min="31" max="31" width="15.88671875" bestFit="1" customWidth="1"/>
    <col min="32" max="32" width="7.33203125" bestFit="1" customWidth="1"/>
    <col min="33" max="33" width="14.33203125" bestFit="1" customWidth="1"/>
    <col min="34" max="34" width="17.77734375" bestFit="1" customWidth="1"/>
    <col min="35" max="35" width="18.109375" bestFit="1" customWidth="1"/>
    <col min="36" max="149" width="18.77734375" customWidth="1"/>
  </cols>
  <sheetData>
    <row r="1" spans="1:35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32</v>
      </c>
      <c r="J1" s="11" t="s">
        <v>21</v>
      </c>
      <c r="K1" s="11" t="s">
        <v>9</v>
      </c>
      <c r="L1" s="11" t="s">
        <v>8</v>
      </c>
      <c r="M1" s="11" t="s">
        <v>15</v>
      </c>
      <c r="N1" s="11" t="s">
        <v>30</v>
      </c>
      <c r="O1" s="11" t="s">
        <v>19</v>
      </c>
      <c r="P1" s="11" t="s">
        <v>23</v>
      </c>
      <c r="Q1" s="11" t="s">
        <v>18</v>
      </c>
      <c r="R1" s="11" t="s">
        <v>22</v>
      </c>
      <c r="S1" s="11" t="s">
        <v>24</v>
      </c>
      <c r="T1" s="11" t="s">
        <v>12</v>
      </c>
      <c r="U1" s="11" t="s">
        <v>26</v>
      </c>
      <c r="V1" s="11" t="s">
        <v>11</v>
      </c>
      <c r="W1" s="11" t="s">
        <v>27</v>
      </c>
      <c r="X1" s="11" t="s">
        <v>25</v>
      </c>
      <c r="Y1" s="11" t="s">
        <v>16</v>
      </c>
      <c r="Z1" s="11" t="s">
        <v>17</v>
      </c>
      <c r="AA1" s="11" t="s">
        <v>10</v>
      </c>
      <c r="AB1" s="11" t="s">
        <v>14</v>
      </c>
      <c r="AC1" s="11" t="s">
        <v>13</v>
      </c>
      <c r="AD1" s="11" t="s">
        <v>20</v>
      </c>
      <c r="AE1" s="11" t="s">
        <v>31</v>
      </c>
      <c r="AF1" s="11" t="s">
        <v>33</v>
      </c>
      <c r="AG1" s="11" t="s">
        <v>28</v>
      </c>
      <c r="AH1" s="11" t="s">
        <v>29</v>
      </c>
      <c r="AI1" s="11" t="s">
        <v>34</v>
      </c>
    </row>
    <row r="2" spans="1:35">
      <c r="A2" t="s">
        <v>35</v>
      </c>
      <c r="B2">
        <v>332</v>
      </c>
      <c r="C2">
        <v>332</v>
      </c>
      <c r="D2">
        <v>1</v>
      </c>
      <c r="E2">
        <v>9031965.6835999992</v>
      </c>
      <c r="F2">
        <v>9031965.6853160523</v>
      </c>
      <c r="G2">
        <v>5944624.4716838878</v>
      </c>
      <c r="H2">
        <v>2951043.6515652458</v>
      </c>
      <c r="I2">
        <v>860554.8263887316</v>
      </c>
      <c r="J2">
        <v>750674.82949958439</v>
      </c>
      <c r="K2">
        <v>726269.34066072374</v>
      </c>
      <c r="L2">
        <v>705172.36139130243</v>
      </c>
      <c r="M2">
        <v>536716.32174932805</v>
      </c>
      <c r="N2">
        <v>514867.00934792473</v>
      </c>
      <c r="O2">
        <v>514127.87050045433</v>
      </c>
      <c r="P2">
        <v>489901.66909593611</v>
      </c>
      <c r="Q2">
        <v>355839.50411167112</v>
      </c>
      <c r="R2">
        <v>321562.61947109201</v>
      </c>
      <c r="S2">
        <v>312584.15669796203</v>
      </c>
      <c r="T2">
        <v>281901.91526355589</v>
      </c>
      <c r="U2">
        <v>195124.13019400908</v>
      </c>
      <c r="V2">
        <v>184457.07301068696</v>
      </c>
      <c r="W2">
        <v>170327.58039632332</v>
      </c>
      <c r="X2">
        <v>165119.53409984231</v>
      </c>
      <c r="Y2">
        <v>70723.44399716139</v>
      </c>
      <c r="Z2">
        <v>26566.2716752835</v>
      </c>
      <c r="AA2">
        <v>19835.823104861152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 s="7">
        <v>46231.668553240743</v>
      </c>
    </row>
    <row r="3" spans="1:35">
      <c r="A3" t="s">
        <v>36</v>
      </c>
      <c r="B3">
        <v>333</v>
      </c>
      <c r="C3">
        <v>333</v>
      </c>
      <c r="D3">
        <v>1</v>
      </c>
      <c r="E3">
        <v>27054995.430399999</v>
      </c>
      <c r="F3">
        <v>27054995.430161409</v>
      </c>
      <c r="G3">
        <v>27007495.430161409</v>
      </c>
      <c r="H3">
        <v>18990519.284441341</v>
      </c>
      <c r="I3">
        <v>0</v>
      </c>
      <c r="J3">
        <v>215090.91359659313</v>
      </c>
      <c r="K3">
        <v>673518.82279584231</v>
      </c>
      <c r="L3">
        <v>6361573.1569650974</v>
      </c>
      <c r="M3">
        <v>6314073.1569650974</v>
      </c>
      <c r="N3">
        <v>0</v>
      </c>
      <c r="O3">
        <v>0</v>
      </c>
      <c r="P3">
        <v>539667.6162207108</v>
      </c>
      <c r="Q3">
        <v>0</v>
      </c>
      <c r="R3">
        <v>227125.6361418305</v>
      </c>
      <c r="S3">
        <v>0</v>
      </c>
      <c r="T3">
        <v>0</v>
      </c>
      <c r="U3">
        <v>0</v>
      </c>
      <c r="V3">
        <v>47500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 s="7">
        <v>46231.668587962966</v>
      </c>
    </row>
    <row r="4" spans="1:35">
      <c r="A4" t="s">
        <v>37</v>
      </c>
      <c r="B4">
        <v>334</v>
      </c>
      <c r="C4">
        <v>334</v>
      </c>
      <c r="D4">
        <v>1</v>
      </c>
      <c r="E4">
        <v>4303369.4160000002</v>
      </c>
      <c r="F4">
        <v>4303369.4157267585</v>
      </c>
      <c r="G4">
        <v>4093609.9592915061</v>
      </c>
      <c r="H4">
        <v>4065395.5834752256</v>
      </c>
      <c r="I4">
        <v>0</v>
      </c>
      <c r="J4">
        <v>17214.37581628</v>
      </c>
      <c r="K4">
        <v>0</v>
      </c>
      <c r="L4">
        <v>11000</v>
      </c>
      <c r="M4">
        <v>5500.0000000000009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209759.45643525216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 s="7">
        <v>46231.668634259258</v>
      </c>
    </row>
    <row r="5" spans="1:35">
      <c r="A5" t="s">
        <v>38</v>
      </c>
      <c r="B5">
        <v>335</v>
      </c>
      <c r="C5">
        <v>335</v>
      </c>
      <c r="D5">
        <v>1</v>
      </c>
      <c r="E5">
        <v>851135.87049999996</v>
      </c>
      <c r="F5">
        <v>851135.87057664851</v>
      </c>
      <c r="G5">
        <v>834805.79417427699</v>
      </c>
      <c r="H5">
        <v>660497.6407371544</v>
      </c>
      <c r="I5">
        <v>0</v>
      </c>
      <c r="J5">
        <v>159308.15343712264</v>
      </c>
      <c r="K5">
        <v>6000.0000000000018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9000</v>
      </c>
      <c r="S5">
        <v>0</v>
      </c>
      <c r="T5">
        <v>0</v>
      </c>
      <c r="U5">
        <v>0</v>
      </c>
      <c r="V5">
        <v>16330.076402371538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 s="7">
        <v>46231.668668981481</v>
      </c>
    </row>
    <row r="6" spans="1:35">
      <c r="A6" t="s">
        <v>39</v>
      </c>
      <c r="B6">
        <v>336</v>
      </c>
      <c r="C6">
        <v>336</v>
      </c>
      <c r="D6">
        <v>1</v>
      </c>
      <c r="E6">
        <v>7015056.6788999997</v>
      </c>
      <c r="F6">
        <v>7015056.6777858585</v>
      </c>
      <c r="G6">
        <v>6308007.420297673</v>
      </c>
      <c r="H6">
        <v>519284.24067144596</v>
      </c>
      <c r="I6">
        <v>0</v>
      </c>
      <c r="J6">
        <v>5534425.0920764767</v>
      </c>
      <c r="K6">
        <v>0</v>
      </c>
      <c r="L6">
        <v>7987.2472565422404</v>
      </c>
      <c r="M6">
        <v>7987.2472565422404</v>
      </c>
      <c r="N6">
        <v>693267.75908667909</v>
      </c>
      <c r="O6">
        <v>693267.75908667909</v>
      </c>
      <c r="P6">
        <v>110894.49110340027</v>
      </c>
      <c r="Q6">
        <v>0</v>
      </c>
      <c r="R6">
        <v>135416.34918980769</v>
      </c>
      <c r="S6">
        <v>0</v>
      </c>
      <c r="T6">
        <v>0</v>
      </c>
      <c r="U6">
        <v>0</v>
      </c>
      <c r="V6">
        <v>13781.498401507544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 s="7">
        <v>46231.668715277781</v>
      </c>
    </row>
    <row r="7" spans="1:35">
      <c r="A7" t="s">
        <v>40</v>
      </c>
      <c r="B7">
        <v>337</v>
      </c>
      <c r="C7">
        <v>337</v>
      </c>
      <c r="D7">
        <v>1</v>
      </c>
      <c r="E7">
        <v>5540731.5214</v>
      </c>
      <c r="F7">
        <v>5540731.5224243226</v>
      </c>
      <c r="G7">
        <v>2465634.478093456</v>
      </c>
      <c r="H7">
        <v>207225.60741876884</v>
      </c>
      <c r="I7">
        <v>0</v>
      </c>
      <c r="J7">
        <v>2102218.0633717249</v>
      </c>
      <c r="K7">
        <v>0</v>
      </c>
      <c r="L7">
        <v>17844.148156771957</v>
      </c>
      <c r="M7">
        <v>10673.801405127382</v>
      </c>
      <c r="N7">
        <v>2360164.4314559698</v>
      </c>
      <c r="O7">
        <v>2360164.4314559698</v>
      </c>
      <c r="P7">
        <v>50247.098215147656</v>
      </c>
      <c r="Q7">
        <v>0</v>
      </c>
      <c r="R7">
        <v>88099.560931043205</v>
      </c>
      <c r="S7">
        <v>0</v>
      </c>
      <c r="T7">
        <v>0</v>
      </c>
      <c r="U7">
        <v>0</v>
      </c>
      <c r="V7">
        <v>15229.508150917414</v>
      </c>
      <c r="W7">
        <v>0</v>
      </c>
      <c r="X7">
        <v>0</v>
      </c>
      <c r="Y7">
        <v>0</v>
      </c>
      <c r="Z7">
        <v>699703.10472398298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 s="7">
        <v>46231.668749999997</v>
      </c>
    </row>
    <row r="8" spans="1:35">
      <c r="A8" t="s">
        <v>41</v>
      </c>
      <c r="B8">
        <v>1</v>
      </c>
      <c r="C8">
        <v>1</v>
      </c>
      <c r="D8">
        <v>1</v>
      </c>
      <c r="E8">
        <v>275718.10859999998</v>
      </c>
      <c r="F8">
        <v>275718.10894628667</v>
      </c>
      <c r="G8">
        <v>273060.19963865081</v>
      </c>
      <c r="H8">
        <v>28248.564824753677</v>
      </c>
      <c r="I8">
        <v>0</v>
      </c>
      <c r="J8">
        <v>121151.11727227928</v>
      </c>
      <c r="K8">
        <v>3155.5443570689827</v>
      </c>
      <c r="L8">
        <v>0</v>
      </c>
      <c r="M8">
        <v>0</v>
      </c>
      <c r="N8">
        <v>0</v>
      </c>
      <c r="O8">
        <v>0</v>
      </c>
      <c r="P8">
        <v>79313.225072894405</v>
      </c>
      <c r="Q8">
        <v>0</v>
      </c>
      <c r="R8">
        <v>41191.74811165448</v>
      </c>
      <c r="S8">
        <v>2657.9093076358677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 s="7">
        <v>46231.668796296297</v>
      </c>
    </row>
    <row r="9" spans="1:35">
      <c r="A9" t="s">
        <v>42</v>
      </c>
      <c r="B9">
        <v>2</v>
      </c>
      <c r="C9">
        <v>2</v>
      </c>
      <c r="D9">
        <v>1</v>
      </c>
      <c r="E9">
        <v>1328819.4129999999</v>
      </c>
      <c r="F9">
        <v>1328819.41466558</v>
      </c>
      <c r="G9">
        <v>1222463.8131707015</v>
      </c>
      <c r="H9">
        <v>129091.29954120349</v>
      </c>
      <c r="I9">
        <v>0</v>
      </c>
      <c r="J9">
        <v>504837.23390346195</v>
      </c>
      <c r="K9">
        <v>87250.695515484884</v>
      </c>
      <c r="L9">
        <v>7892.9000988352564</v>
      </c>
      <c r="M9">
        <v>7892.9000988352564</v>
      </c>
      <c r="N9">
        <v>39941.979396679206</v>
      </c>
      <c r="O9">
        <v>39941.979396679206</v>
      </c>
      <c r="P9">
        <v>304566.14686048176</v>
      </c>
      <c r="Q9">
        <v>2614.8826210091715</v>
      </c>
      <c r="R9">
        <v>188825.53725123435</v>
      </c>
      <c r="S9">
        <v>60725.902730689064</v>
      </c>
      <c r="T9">
        <v>92.340196340132607</v>
      </c>
      <c r="U9">
        <v>0</v>
      </c>
      <c r="V9">
        <v>0</v>
      </c>
      <c r="W9">
        <v>0</v>
      </c>
      <c r="X9">
        <v>2980.4965501610136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 s="7">
        <v>46231.668842592589</v>
      </c>
    </row>
    <row r="10" spans="1:35">
      <c r="A10" t="s">
        <v>43</v>
      </c>
      <c r="B10">
        <v>3</v>
      </c>
      <c r="C10">
        <v>3</v>
      </c>
      <c r="D10">
        <v>1</v>
      </c>
      <c r="E10">
        <v>1907171.5567999999</v>
      </c>
      <c r="F10">
        <v>1907171.5557722782</v>
      </c>
      <c r="G10">
        <v>1691057.1450104828</v>
      </c>
      <c r="H10">
        <v>180654.63898294236</v>
      </c>
      <c r="I10">
        <v>0</v>
      </c>
      <c r="J10">
        <v>692687.44252566341</v>
      </c>
      <c r="K10">
        <v>163786.17685223348</v>
      </c>
      <c r="L10">
        <v>14817.721659719957</v>
      </c>
      <c r="M10">
        <v>14817.721659719957</v>
      </c>
      <c r="N10">
        <v>82046.24684234758</v>
      </c>
      <c r="O10">
        <v>82046.24684234758</v>
      </c>
      <c r="P10">
        <v>375396.65191596688</v>
      </c>
      <c r="Q10">
        <v>8428.5423520475269</v>
      </c>
      <c r="R10">
        <v>263714.513073957</v>
      </c>
      <c r="S10">
        <v>109810.06766583234</v>
      </c>
      <c r="T10">
        <v>2743.3592421461067</v>
      </c>
      <c r="U10">
        <v>0</v>
      </c>
      <c r="V10">
        <v>0</v>
      </c>
      <c r="W10">
        <v>0</v>
      </c>
      <c r="X10">
        <v>8807.763905587819</v>
      </c>
      <c r="Y10">
        <v>0</v>
      </c>
      <c r="Z10">
        <v>4278.4307538349558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 s="7">
        <v>46231.668877314813</v>
      </c>
    </row>
    <row r="11" spans="1:35">
      <c r="A11" t="s">
        <v>44</v>
      </c>
      <c r="B11">
        <v>4</v>
      </c>
      <c r="C11">
        <v>4</v>
      </c>
      <c r="D11">
        <v>1</v>
      </c>
      <c r="E11">
        <v>818433.86190000002</v>
      </c>
      <c r="F11">
        <v>818433.86192674923</v>
      </c>
      <c r="G11">
        <v>806805.50847327523</v>
      </c>
      <c r="H11">
        <v>82896.259031221503</v>
      </c>
      <c r="I11">
        <v>0</v>
      </c>
      <c r="J11">
        <v>362088.88652285119</v>
      </c>
      <c r="K11">
        <v>13805.506838286936</v>
      </c>
      <c r="L11">
        <v>0</v>
      </c>
      <c r="M11">
        <v>0</v>
      </c>
      <c r="N11">
        <v>0</v>
      </c>
      <c r="O11">
        <v>0</v>
      </c>
      <c r="P11">
        <v>227259.41643375397</v>
      </c>
      <c r="Q11">
        <v>0</v>
      </c>
      <c r="R11">
        <v>120755.43964716175</v>
      </c>
      <c r="S11">
        <v>11628.353453473992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 s="7">
        <v>46231.668923611112</v>
      </c>
    </row>
    <row r="12" spans="1:35">
      <c r="A12" t="s">
        <v>45</v>
      </c>
      <c r="B12">
        <v>5</v>
      </c>
      <c r="C12">
        <v>5</v>
      </c>
      <c r="D12">
        <v>1</v>
      </c>
      <c r="E12">
        <v>1280820.0360000001</v>
      </c>
      <c r="F12">
        <v>1280820.0348142334</v>
      </c>
      <c r="G12">
        <v>1155318.5949822769</v>
      </c>
      <c r="H12">
        <v>122982.92367635522</v>
      </c>
      <c r="I12">
        <v>0</v>
      </c>
      <c r="J12">
        <v>464775.74943777674</v>
      </c>
      <c r="K12">
        <v>101137.16986011353</v>
      </c>
      <c r="L12">
        <v>9681.9574061614603</v>
      </c>
      <c r="M12">
        <v>9681.9574061614603</v>
      </c>
      <c r="N12">
        <v>48995.494481615686</v>
      </c>
      <c r="O12">
        <v>48995.494481615686</v>
      </c>
      <c r="P12">
        <v>276637.12302655075</v>
      </c>
      <c r="Q12">
        <v>3207.5893323999703</v>
      </c>
      <c r="R12">
        <v>180103.67157531978</v>
      </c>
      <c r="S12">
        <v>69529.009627746593</v>
      </c>
      <c r="T12">
        <v>113.2706402775428</v>
      </c>
      <c r="U12">
        <v>0</v>
      </c>
      <c r="V12">
        <v>0</v>
      </c>
      <c r="W12">
        <v>0</v>
      </c>
      <c r="X12">
        <v>3656.0757499171309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 s="7">
        <v>46231.668958333335</v>
      </c>
    </row>
    <row r="13" spans="1:35">
      <c r="A13" t="s">
        <v>46</v>
      </c>
      <c r="B13">
        <v>6</v>
      </c>
      <c r="C13">
        <v>6</v>
      </c>
      <c r="D13">
        <v>1</v>
      </c>
      <c r="E13">
        <v>2016418.3406</v>
      </c>
      <c r="F13">
        <v>2016418.3407364795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2016418.3407364795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 s="7">
        <v>46231.668993055559</v>
      </c>
    </row>
    <row r="14" spans="1:35">
      <c r="A14" t="s">
        <v>47</v>
      </c>
      <c r="B14">
        <v>7</v>
      </c>
      <c r="C14">
        <v>7</v>
      </c>
      <c r="D14">
        <v>1</v>
      </c>
      <c r="E14">
        <v>5525994.1871999996</v>
      </c>
      <c r="F14">
        <v>5525994.1806290345</v>
      </c>
      <c r="G14">
        <v>3781742.0145952865</v>
      </c>
      <c r="H14">
        <v>2486962.0803570817</v>
      </c>
      <c r="I14">
        <v>0</v>
      </c>
      <c r="J14">
        <v>177051.75867380254</v>
      </c>
      <c r="K14">
        <v>401190.06994617789</v>
      </c>
      <c r="L14">
        <v>118904.64520488716</v>
      </c>
      <c r="M14">
        <v>87831.700898433322</v>
      </c>
      <c r="N14">
        <v>0</v>
      </c>
      <c r="O14">
        <v>0</v>
      </c>
      <c r="P14">
        <v>486158.15253572492</v>
      </c>
      <c r="Q14">
        <v>0</v>
      </c>
      <c r="R14">
        <v>111475.30787761626</v>
      </c>
      <c r="S14">
        <v>1039689.5324737744</v>
      </c>
      <c r="T14">
        <v>204330.61042242107</v>
      </c>
      <c r="U14">
        <v>0</v>
      </c>
      <c r="V14">
        <v>33360.082892393722</v>
      </c>
      <c r="W14">
        <v>0</v>
      </c>
      <c r="X14">
        <v>464303.92377479828</v>
      </c>
      <c r="Y14">
        <v>0</v>
      </c>
      <c r="Z14">
        <v>0</v>
      </c>
      <c r="AA14">
        <v>2568.0164703689152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 s="7">
        <v>46231.669039351851</v>
      </c>
    </row>
    <row r="15" spans="1:35">
      <c r="A15" t="s">
        <v>48</v>
      </c>
      <c r="B15">
        <v>8</v>
      </c>
      <c r="C15">
        <v>8</v>
      </c>
      <c r="D15">
        <v>1</v>
      </c>
      <c r="E15">
        <v>1093951.7767</v>
      </c>
      <c r="F15">
        <v>1093951.7769798792</v>
      </c>
      <c r="G15">
        <v>1093951.7769798792</v>
      </c>
      <c r="H15">
        <v>1093951.7769798792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 s="7">
        <v>46231.669074074074</v>
      </c>
    </row>
    <row r="16" spans="1:35">
      <c r="A16" t="s">
        <v>49</v>
      </c>
      <c r="B16">
        <v>9</v>
      </c>
      <c r="C16">
        <v>9</v>
      </c>
      <c r="D16">
        <v>1</v>
      </c>
      <c r="E16">
        <v>757403.19469999999</v>
      </c>
      <c r="F16">
        <v>757403.19934973435</v>
      </c>
      <c r="G16">
        <v>752128.4322356584</v>
      </c>
      <c r="H16">
        <v>751090.68840759748</v>
      </c>
      <c r="I16">
        <v>0</v>
      </c>
      <c r="J16">
        <v>0</v>
      </c>
      <c r="K16">
        <v>0</v>
      </c>
      <c r="L16">
        <v>1037.7438280610238</v>
      </c>
      <c r="M16">
        <v>43.01621858915982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274.76707407593773</v>
      </c>
      <c r="W16">
        <v>0</v>
      </c>
      <c r="X16">
        <v>0</v>
      </c>
      <c r="Y16">
        <v>0</v>
      </c>
      <c r="Z16">
        <v>0</v>
      </c>
      <c r="AA16">
        <v>5000.0000399999972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 s="7">
        <v>46231.66914351852</v>
      </c>
    </row>
    <row r="17" spans="1:35">
      <c r="A17" t="s">
        <v>50</v>
      </c>
      <c r="B17">
        <v>10</v>
      </c>
      <c r="C17">
        <v>10</v>
      </c>
      <c r="D17">
        <v>1</v>
      </c>
      <c r="E17">
        <v>13448322.135600001</v>
      </c>
      <c r="F17">
        <v>13448322.132843059</v>
      </c>
      <c r="G17">
        <v>13433757.554322701</v>
      </c>
      <c r="H17">
        <v>13393320.169207349</v>
      </c>
      <c r="I17">
        <v>0</v>
      </c>
      <c r="J17">
        <v>0</v>
      </c>
      <c r="K17">
        <v>12601.981421872635</v>
      </c>
      <c r="L17">
        <v>27835.403693477954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2537.1371150429586</v>
      </c>
      <c r="W17">
        <v>0</v>
      </c>
      <c r="X17">
        <v>0</v>
      </c>
      <c r="Y17">
        <v>0</v>
      </c>
      <c r="Z17">
        <v>0</v>
      </c>
      <c r="AA17">
        <v>12027.441405314337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 s="7">
        <v>46231.669178240743</v>
      </c>
    </row>
    <row r="18" spans="1:35">
      <c r="A18" t="s">
        <v>51</v>
      </c>
      <c r="B18">
        <v>11</v>
      </c>
      <c r="C18">
        <v>11</v>
      </c>
      <c r="D18">
        <v>1</v>
      </c>
      <c r="E18">
        <v>3276270.7954000002</v>
      </c>
      <c r="F18">
        <v>3276270.7951804972</v>
      </c>
      <c r="G18">
        <v>3276270.7951804972</v>
      </c>
      <c r="H18">
        <v>596403.35520629212</v>
      </c>
      <c r="I18">
        <v>0</v>
      </c>
      <c r="J18">
        <v>596934.51651264261</v>
      </c>
      <c r="K18">
        <v>442904.23524871084</v>
      </c>
      <c r="L18">
        <v>65221.97189682124</v>
      </c>
      <c r="M18">
        <v>64973.965606880127</v>
      </c>
      <c r="N18">
        <v>0</v>
      </c>
      <c r="O18">
        <v>0</v>
      </c>
      <c r="P18">
        <v>991823.5902480993</v>
      </c>
      <c r="Q18">
        <v>0</v>
      </c>
      <c r="R18">
        <v>582983.12606793013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 s="7">
        <v>46231.669224537036</v>
      </c>
    </row>
    <row r="19" spans="1:35">
      <c r="A19" t="s">
        <v>52</v>
      </c>
      <c r="B19">
        <v>12</v>
      </c>
      <c r="C19">
        <v>12</v>
      </c>
      <c r="D19">
        <v>1</v>
      </c>
      <c r="E19">
        <v>3515844.9342999998</v>
      </c>
      <c r="F19">
        <v>3515844.9347825721</v>
      </c>
      <c r="G19">
        <v>2364593.5933654904</v>
      </c>
      <c r="H19">
        <v>1423618.8816438532</v>
      </c>
      <c r="I19">
        <v>0</v>
      </c>
      <c r="J19">
        <v>159192.41330678514</v>
      </c>
      <c r="K19">
        <v>153004.34475747778</v>
      </c>
      <c r="L19">
        <v>24162.022925371952</v>
      </c>
      <c r="M19">
        <v>14807.618454477089</v>
      </c>
      <c r="N19">
        <v>0</v>
      </c>
      <c r="O19">
        <v>0</v>
      </c>
      <c r="P19">
        <v>444952.61069460859</v>
      </c>
      <c r="Q19">
        <v>0</v>
      </c>
      <c r="R19">
        <v>159663.32003739444</v>
      </c>
      <c r="S19">
        <v>1111808.5261464408</v>
      </c>
      <c r="T19">
        <v>14402.830577642966</v>
      </c>
      <c r="U19">
        <v>0</v>
      </c>
      <c r="V19">
        <v>10000.000000000002</v>
      </c>
      <c r="W19">
        <v>0</v>
      </c>
      <c r="X19">
        <v>12489.675584970235</v>
      </c>
      <c r="Y19">
        <v>0</v>
      </c>
      <c r="Z19">
        <v>0</v>
      </c>
      <c r="AA19">
        <v>2550.3091080275285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 s="7">
        <v>46231.669259259259</v>
      </c>
    </row>
    <row r="20" spans="1:35">
      <c r="A20" t="s">
        <v>53</v>
      </c>
      <c r="B20">
        <v>13</v>
      </c>
      <c r="C20">
        <v>13</v>
      </c>
      <c r="D20">
        <v>1</v>
      </c>
      <c r="E20">
        <v>15581003.1721</v>
      </c>
      <c r="F20">
        <v>15581003.172120208</v>
      </c>
      <c r="G20">
        <v>15519077.841512728</v>
      </c>
      <c r="H20">
        <v>1620202.1703562276</v>
      </c>
      <c r="I20">
        <v>0</v>
      </c>
      <c r="J20">
        <v>12574451.828209881</v>
      </c>
      <c r="K20">
        <v>0</v>
      </c>
      <c r="L20">
        <v>0</v>
      </c>
      <c r="M20">
        <v>0</v>
      </c>
      <c r="N20">
        <v>0</v>
      </c>
      <c r="O20">
        <v>0</v>
      </c>
      <c r="P20">
        <v>422542.85205927159</v>
      </c>
      <c r="Q20">
        <v>0</v>
      </c>
      <c r="R20">
        <v>901880.99088735564</v>
      </c>
      <c r="S20">
        <v>0</v>
      </c>
      <c r="T20">
        <v>0</v>
      </c>
      <c r="U20">
        <v>0</v>
      </c>
      <c r="V20">
        <v>38908.584824630401</v>
      </c>
      <c r="W20">
        <v>0</v>
      </c>
      <c r="X20">
        <v>0</v>
      </c>
      <c r="Y20">
        <v>0</v>
      </c>
      <c r="Z20">
        <v>0</v>
      </c>
      <c r="AA20">
        <v>23016.7457828486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 s="7">
        <v>46231.669293981482</v>
      </c>
    </row>
    <row r="21" spans="1:35">
      <c r="A21" t="s">
        <v>54</v>
      </c>
      <c r="B21">
        <v>14</v>
      </c>
      <c r="C21">
        <v>14</v>
      </c>
      <c r="D21">
        <v>1</v>
      </c>
      <c r="E21">
        <v>26866075.6129</v>
      </c>
      <c r="F21">
        <v>26866075.613012522</v>
      </c>
      <c r="G21">
        <v>26681868.089193054</v>
      </c>
      <c r="H21">
        <v>2742899.2335383873</v>
      </c>
      <c r="I21">
        <v>0</v>
      </c>
      <c r="J21">
        <v>21302652.578426186</v>
      </c>
      <c r="K21">
        <v>0</v>
      </c>
      <c r="L21">
        <v>0</v>
      </c>
      <c r="M21">
        <v>0</v>
      </c>
      <c r="N21">
        <v>0</v>
      </c>
      <c r="O21">
        <v>0</v>
      </c>
      <c r="P21">
        <v>790564.63780323975</v>
      </c>
      <c r="Q21">
        <v>0</v>
      </c>
      <c r="R21">
        <v>1845751.6394252414</v>
      </c>
      <c r="S21">
        <v>0</v>
      </c>
      <c r="T21">
        <v>0</v>
      </c>
      <c r="U21">
        <v>0</v>
      </c>
      <c r="V21">
        <v>139207.5238194729</v>
      </c>
      <c r="W21">
        <v>0</v>
      </c>
      <c r="X21">
        <v>0</v>
      </c>
      <c r="Y21">
        <v>0</v>
      </c>
      <c r="Z21">
        <v>0</v>
      </c>
      <c r="AA21">
        <v>45000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 s="7">
        <v>46231.669340277775</v>
      </c>
    </row>
    <row r="22" spans="1:35">
      <c r="A22" t="s">
        <v>55</v>
      </c>
      <c r="B22">
        <v>15</v>
      </c>
      <c r="C22">
        <v>15</v>
      </c>
      <c r="D22">
        <v>1</v>
      </c>
      <c r="E22">
        <v>3958390.24</v>
      </c>
      <c r="F22">
        <v>3958390.240432776</v>
      </c>
      <c r="G22">
        <v>3820562.2001944459</v>
      </c>
      <c r="H22">
        <v>1964985.0388344522</v>
      </c>
      <c r="I22">
        <v>0</v>
      </c>
      <c r="J22">
        <v>311107.61060381989</v>
      </c>
      <c r="K22">
        <v>248529.4530572723</v>
      </c>
      <c r="L22">
        <v>34179.618333274986</v>
      </c>
      <c r="M22">
        <v>33049.325395016494</v>
      </c>
      <c r="N22">
        <v>0</v>
      </c>
      <c r="O22">
        <v>0</v>
      </c>
      <c r="P22">
        <v>972333.78763661685</v>
      </c>
      <c r="Q22">
        <v>0</v>
      </c>
      <c r="R22">
        <v>289426.69172900973</v>
      </c>
      <c r="S22">
        <v>117134.97712564596</v>
      </c>
      <c r="T22">
        <v>7926.6961841008097</v>
      </c>
      <c r="U22">
        <v>0</v>
      </c>
      <c r="V22">
        <v>0</v>
      </c>
      <c r="W22">
        <v>0</v>
      </c>
      <c r="X22">
        <v>12766.366928585117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 s="7">
        <v>46231.669374999998</v>
      </c>
    </row>
    <row r="23" spans="1:35">
      <c r="A23" t="s">
        <v>56</v>
      </c>
      <c r="B23">
        <v>16</v>
      </c>
      <c r="C23">
        <v>16</v>
      </c>
      <c r="D23">
        <v>1</v>
      </c>
      <c r="E23">
        <v>3524638.5639</v>
      </c>
      <c r="F23">
        <v>3524638.5624861624</v>
      </c>
      <c r="G23">
        <v>1704435.5865921695</v>
      </c>
      <c r="H23">
        <v>64955.912697120119</v>
      </c>
      <c r="I23">
        <v>0</v>
      </c>
      <c r="J23">
        <v>64880.880826414905</v>
      </c>
      <c r="K23">
        <v>0</v>
      </c>
      <c r="L23">
        <v>0</v>
      </c>
      <c r="M23">
        <v>0</v>
      </c>
      <c r="N23">
        <v>0</v>
      </c>
      <c r="O23">
        <v>0</v>
      </c>
      <c r="P23">
        <v>986947.09975862142</v>
      </c>
      <c r="Q23">
        <v>0</v>
      </c>
      <c r="R23">
        <v>587651.69331001269</v>
      </c>
      <c r="S23">
        <v>1147273.6073691379</v>
      </c>
      <c r="T23">
        <v>204112.62452100226</v>
      </c>
      <c r="U23">
        <v>0</v>
      </c>
      <c r="V23">
        <v>0</v>
      </c>
      <c r="W23">
        <v>0</v>
      </c>
      <c r="X23">
        <v>468816.74400385207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 s="7">
        <v>46231.669421296298</v>
      </c>
    </row>
    <row r="24" spans="1:35">
      <c r="A24" t="s">
        <v>57</v>
      </c>
      <c r="B24">
        <v>17</v>
      </c>
      <c r="C24">
        <v>17</v>
      </c>
      <c r="D24">
        <v>1</v>
      </c>
      <c r="E24">
        <v>5017849.9711999996</v>
      </c>
      <c r="F24">
        <v>5017849.9632939845</v>
      </c>
      <c r="G24">
        <v>4098554.8118843338</v>
      </c>
      <c r="H24">
        <v>1947471.574808656</v>
      </c>
      <c r="I24">
        <v>0</v>
      </c>
      <c r="J24">
        <v>395832.65037949465</v>
      </c>
      <c r="K24">
        <v>537826.14606681699</v>
      </c>
      <c r="L24">
        <v>177738.06224973628</v>
      </c>
      <c r="M24">
        <v>166206.66788574378</v>
      </c>
      <c r="N24">
        <v>0</v>
      </c>
      <c r="O24">
        <v>0</v>
      </c>
      <c r="P24">
        <v>804747.18572507834</v>
      </c>
      <c r="Q24">
        <v>0</v>
      </c>
      <c r="R24">
        <v>234939.19265456547</v>
      </c>
      <c r="S24">
        <v>359350.48732689954</v>
      </c>
      <c r="T24">
        <v>226445.82207908845</v>
      </c>
      <c r="U24">
        <v>0</v>
      </c>
      <c r="V24">
        <v>0</v>
      </c>
      <c r="W24">
        <v>0</v>
      </c>
      <c r="X24">
        <v>333498.84200366598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 s="7">
        <v>46231.669456018521</v>
      </c>
    </row>
    <row r="25" spans="1:35">
      <c r="A25" t="s">
        <v>58</v>
      </c>
      <c r="B25">
        <v>327</v>
      </c>
      <c r="C25">
        <v>327</v>
      </c>
      <c r="D25">
        <v>1</v>
      </c>
      <c r="E25">
        <v>1065689.3979</v>
      </c>
      <c r="F25">
        <v>1065689.3982660859</v>
      </c>
      <c r="G25">
        <v>693487.93968900875</v>
      </c>
      <c r="H25">
        <v>70052.506910192533</v>
      </c>
      <c r="I25">
        <v>0</v>
      </c>
      <c r="J25">
        <v>142426.13716497913</v>
      </c>
      <c r="K25">
        <v>127279.25599485422</v>
      </c>
      <c r="L25">
        <v>2279.5821285633033</v>
      </c>
      <c r="M25">
        <v>2279.5821285633033</v>
      </c>
      <c r="N25">
        <v>201248.52934182552</v>
      </c>
      <c r="O25">
        <v>201248.52934182552</v>
      </c>
      <c r="P25">
        <v>236368.13485912385</v>
      </c>
      <c r="Q25">
        <v>47895.335019008548</v>
      </c>
      <c r="R25">
        <v>115082.32263129624</v>
      </c>
      <c r="S25">
        <v>25394.020409521203</v>
      </c>
      <c r="T25">
        <v>17484.364995361182</v>
      </c>
      <c r="U25">
        <v>0</v>
      </c>
      <c r="V25">
        <v>0</v>
      </c>
      <c r="W25">
        <v>0</v>
      </c>
      <c r="X25">
        <v>80179.208811359815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 s="7">
        <v>46231.669502314813</v>
      </c>
    </row>
    <row r="26" spans="1:35">
      <c r="A26" t="s">
        <v>59</v>
      </c>
      <c r="B26">
        <v>331</v>
      </c>
      <c r="C26">
        <v>331</v>
      </c>
      <c r="D26">
        <v>1</v>
      </c>
      <c r="E26">
        <v>2254174.6020999998</v>
      </c>
      <c r="F26">
        <v>2254174.6022160552</v>
      </c>
      <c r="G26">
        <v>1311231.1205823326</v>
      </c>
      <c r="H26">
        <v>145551.33721075591</v>
      </c>
      <c r="I26">
        <v>0</v>
      </c>
      <c r="J26">
        <v>272307.19062321208</v>
      </c>
      <c r="K26">
        <v>267148.14243085752</v>
      </c>
      <c r="L26">
        <v>9034.0256410362981</v>
      </c>
      <c r="M26">
        <v>9034.0256410362981</v>
      </c>
      <c r="N26">
        <v>302907.92113720987</v>
      </c>
      <c r="O26">
        <v>302907.92113720987</v>
      </c>
      <c r="P26">
        <v>406293.92983884033</v>
      </c>
      <c r="Q26">
        <v>454331.84686970303</v>
      </c>
      <c r="R26">
        <v>210896.49483763071</v>
      </c>
      <c r="S26">
        <v>36311.362997462624</v>
      </c>
      <c r="T26">
        <v>27681.874213448609</v>
      </c>
      <c r="U26">
        <v>0</v>
      </c>
      <c r="V26">
        <v>0</v>
      </c>
      <c r="W26">
        <v>0</v>
      </c>
      <c r="X26">
        <v>121710.47641589846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 s="7">
        <v>46231.669537037036</v>
      </c>
    </row>
    <row r="27" spans="1:35">
      <c r="A27" t="s">
        <v>60</v>
      </c>
      <c r="B27">
        <v>18</v>
      </c>
      <c r="C27">
        <v>18</v>
      </c>
      <c r="D27">
        <v>1</v>
      </c>
      <c r="E27">
        <v>4390618.7100999998</v>
      </c>
      <c r="F27">
        <v>4390618.7178822681</v>
      </c>
      <c r="G27">
        <v>3586235.460398816</v>
      </c>
      <c r="H27">
        <v>1704037.6279575718</v>
      </c>
      <c r="I27">
        <v>0</v>
      </c>
      <c r="J27">
        <v>346353.5690820578</v>
      </c>
      <c r="K27">
        <v>470597.87780846481</v>
      </c>
      <c r="L27">
        <v>155520.8044685192</v>
      </c>
      <c r="M27">
        <v>145430.83440002578</v>
      </c>
      <c r="N27">
        <v>0</v>
      </c>
      <c r="O27">
        <v>0</v>
      </c>
      <c r="P27">
        <v>704153.78750944289</v>
      </c>
      <c r="Q27">
        <v>0</v>
      </c>
      <c r="R27">
        <v>205571.79357274485</v>
      </c>
      <c r="S27">
        <v>314431.67641103716</v>
      </c>
      <c r="T27">
        <v>198140.09431920241</v>
      </c>
      <c r="U27">
        <v>0</v>
      </c>
      <c r="V27">
        <v>0</v>
      </c>
      <c r="W27">
        <v>0</v>
      </c>
      <c r="X27">
        <v>291811.48675320781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 s="7">
        <v>46231.669583333336</v>
      </c>
    </row>
    <row r="28" spans="1:35">
      <c r="A28" t="s">
        <v>61</v>
      </c>
      <c r="B28">
        <v>19</v>
      </c>
      <c r="C28">
        <v>19</v>
      </c>
      <c r="D28">
        <v>1</v>
      </c>
      <c r="E28">
        <v>194869.2334</v>
      </c>
      <c r="F28">
        <v>194869.23344314279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131566.83344314279</v>
      </c>
      <c r="O28">
        <v>0</v>
      </c>
      <c r="P28">
        <v>0</v>
      </c>
      <c r="Q28">
        <v>0</v>
      </c>
      <c r="R28">
        <v>0</v>
      </c>
      <c r="S28">
        <v>0</v>
      </c>
      <c r="T28">
        <v>63302.400000000001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 s="7">
        <v>46231.669618055559</v>
      </c>
    </row>
    <row r="29" spans="1:35">
      <c r="A29" t="s">
        <v>62</v>
      </c>
      <c r="B29">
        <v>20</v>
      </c>
      <c r="C29">
        <v>20</v>
      </c>
      <c r="D29">
        <v>1</v>
      </c>
      <c r="E29">
        <v>13851163.7664</v>
      </c>
      <c r="F29">
        <v>13838753.200233979</v>
      </c>
      <c r="G29">
        <v>6249944.2410987336</v>
      </c>
      <c r="H29">
        <v>2267678.8957940824</v>
      </c>
      <c r="I29">
        <v>0</v>
      </c>
      <c r="J29">
        <v>961373.44369926373</v>
      </c>
      <c r="K29">
        <v>1139869.4465876829</v>
      </c>
      <c r="L29">
        <v>955896.79110083776</v>
      </c>
      <c r="M29">
        <v>737356.71143782686</v>
      </c>
      <c r="N29">
        <v>5699875.5476012444</v>
      </c>
      <c r="O29">
        <v>5699875.5476012444</v>
      </c>
      <c r="P29">
        <v>383372.88601221226</v>
      </c>
      <c r="Q29">
        <v>867555.94307552744</v>
      </c>
      <c r="R29">
        <v>541752.77790465148</v>
      </c>
      <c r="S29">
        <v>0</v>
      </c>
      <c r="T29">
        <v>0</v>
      </c>
      <c r="U29">
        <v>0</v>
      </c>
      <c r="V29">
        <v>46858.037502026251</v>
      </c>
      <c r="W29">
        <v>0</v>
      </c>
      <c r="X29">
        <v>8276.3743824028516</v>
      </c>
      <c r="Y29">
        <v>0</v>
      </c>
      <c r="Z29">
        <v>941569.83742206078</v>
      </c>
      <c r="AA29">
        <v>24673.21915197925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 s="7">
        <v>46231.669664351852</v>
      </c>
    </row>
    <row r="30" spans="1:35">
      <c r="A30" t="s">
        <v>63</v>
      </c>
      <c r="B30">
        <v>21</v>
      </c>
      <c r="C30">
        <v>21</v>
      </c>
      <c r="D30">
        <v>1</v>
      </c>
      <c r="E30">
        <v>604647.6067</v>
      </c>
      <c r="F30">
        <v>604647.60590528569</v>
      </c>
      <c r="G30">
        <v>604647.60590528569</v>
      </c>
      <c r="H30">
        <v>184024.95973614592</v>
      </c>
      <c r="I30">
        <v>0</v>
      </c>
      <c r="J30">
        <v>24565.850106829846</v>
      </c>
      <c r="K30">
        <v>209040.52217226967</v>
      </c>
      <c r="L30">
        <v>15376.127882863069</v>
      </c>
      <c r="M30">
        <v>15376.127882863069</v>
      </c>
      <c r="N30">
        <v>0</v>
      </c>
      <c r="O30">
        <v>0</v>
      </c>
      <c r="P30">
        <v>131697.23531059799</v>
      </c>
      <c r="Q30">
        <v>0</v>
      </c>
      <c r="R30">
        <v>39942.910696579798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 s="7">
        <v>46231.669699074075</v>
      </c>
    </row>
    <row r="31" spans="1:35">
      <c r="A31" t="s">
        <v>64</v>
      </c>
      <c r="B31">
        <v>22</v>
      </c>
      <c r="C31">
        <v>22</v>
      </c>
      <c r="D31">
        <v>1</v>
      </c>
      <c r="E31">
        <v>4093152.8533999999</v>
      </c>
      <c r="F31">
        <v>4093152.8529654592</v>
      </c>
      <c r="G31">
        <v>4093152.8529654592</v>
      </c>
      <c r="H31">
        <v>1565624.6999789481</v>
      </c>
      <c r="I31">
        <v>0</v>
      </c>
      <c r="J31">
        <v>318556.20104513207</v>
      </c>
      <c r="K31">
        <v>1016660.5454069891</v>
      </c>
      <c r="L31">
        <v>112814.40537516608</v>
      </c>
      <c r="M31">
        <v>112814.40537516608</v>
      </c>
      <c r="N31">
        <v>0</v>
      </c>
      <c r="O31">
        <v>0</v>
      </c>
      <c r="P31">
        <v>699376.68567677203</v>
      </c>
      <c r="Q31">
        <v>0</v>
      </c>
      <c r="R31">
        <v>380120.31548245298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 s="7">
        <v>46231.669733796298</v>
      </c>
    </row>
    <row r="32" spans="1:35">
      <c r="A32" t="s">
        <v>65</v>
      </c>
      <c r="B32">
        <v>23</v>
      </c>
      <c r="C32">
        <v>23</v>
      </c>
      <c r="D32">
        <v>1</v>
      </c>
      <c r="E32">
        <v>7332831.7554000001</v>
      </c>
      <c r="F32">
        <v>7332831.7503293883</v>
      </c>
      <c r="G32">
        <v>6118158.6987739624</v>
      </c>
      <c r="H32">
        <v>174346.03972042404</v>
      </c>
      <c r="I32">
        <v>0</v>
      </c>
      <c r="J32">
        <v>1008199.7467607122</v>
      </c>
      <c r="K32">
        <v>1985703.798593618</v>
      </c>
      <c r="L32">
        <v>300122.56427459925</v>
      </c>
      <c r="M32">
        <v>300122.56427459925</v>
      </c>
      <c r="N32">
        <v>563350.70939482865</v>
      </c>
      <c r="O32">
        <v>563350.70939482865</v>
      </c>
      <c r="P32">
        <v>2104517.932374795</v>
      </c>
      <c r="Q32">
        <v>596517.85424779169</v>
      </c>
      <c r="R32">
        <v>545268.61704981397</v>
      </c>
      <c r="S32">
        <v>54804.487912809549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 s="7">
        <v>46231.66978009259</v>
      </c>
    </row>
    <row r="33" spans="1:35">
      <c r="A33" t="s">
        <v>66</v>
      </c>
      <c r="B33">
        <v>24</v>
      </c>
      <c r="C33">
        <v>24</v>
      </c>
      <c r="D33">
        <v>1</v>
      </c>
      <c r="E33">
        <v>2946214.2239999999</v>
      </c>
      <c r="F33">
        <v>2946214.221763968</v>
      </c>
      <c r="G33">
        <v>2687003.7561461315</v>
      </c>
      <c r="H33">
        <v>50522.332726911227</v>
      </c>
      <c r="I33">
        <v>0</v>
      </c>
      <c r="J33">
        <v>326436.9164632248</v>
      </c>
      <c r="K33">
        <v>926821.31874562288</v>
      </c>
      <c r="L33">
        <v>99799.398731677342</v>
      </c>
      <c r="M33">
        <v>99799.398731677342</v>
      </c>
      <c r="N33">
        <v>96552.290117729208</v>
      </c>
      <c r="O33">
        <v>96552.290117729208</v>
      </c>
      <c r="P33">
        <v>1131722.96401461</v>
      </c>
      <c r="Q33">
        <v>162658.17550010825</v>
      </c>
      <c r="R33">
        <v>151700.82546408867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 s="7">
        <v>46231.669814814813</v>
      </c>
    </row>
    <row r="34" spans="1:35">
      <c r="A34" t="s">
        <v>67</v>
      </c>
      <c r="B34">
        <v>25</v>
      </c>
      <c r="C34">
        <v>25</v>
      </c>
      <c r="D34">
        <v>1</v>
      </c>
      <c r="E34">
        <v>6941856.2697000001</v>
      </c>
      <c r="F34">
        <v>6941856.2684789933</v>
      </c>
      <c r="G34">
        <v>6936809.1487685665</v>
      </c>
      <c r="H34">
        <v>3628788.9343890618</v>
      </c>
      <c r="I34">
        <v>0</v>
      </c>
      <c r="J34">
        <v>703579.48794732767</v>
      </c>
      <c r="K34">
        <v>766705.38333224168</v>
      </c>
      <c r="L34">
        <v>185428.2208368108</v>
      </c>
      <c r="M34">
        <v>140766.25418053847</v>
      </c>
      <c r="N34">
        <v>0</v>
      </c>
      <c r="O34">
        <v>0</v>
      </c>
      <c r="P34">
        <v>1333062.1783894452</v>
      </c>
      <c r="Q34">
        <v>0</v>
      </c>
      <c r="R34">
        <v>319244.94387366623</v>
      </c>
      <c r="S34">
        <v>0</v>
      </c>
      <c r="T34">
        <v>0</v>
      </c>
      <c r="U34">
        <v>0</v>
      </c>
      <c r="V34">
        <v>5047.1197104272833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 s="7">
        <v>46231.669861111113</v>
      </c>
    </row>
    <row r="35" spans="1:35">
      <c r="A35" t="s">
        <v>68</v>
      </c>
      <c r="B35">
        <v>26</v>
      </c>
      <c r="C35">
        <v>26</v>
      </c>
      <c r="D35">
        <v>1</v>
      </c>
      <c r="E35">
        <v>6806963.0542000001</v>
      </c>
      <c r="F35">
        <v>6783380.1227847226</v>
      </c>
      <c r="G35">
        <v>2987467.1599069452</v>
      </c>
      <c r="H35">
        <v>1095032.9532531924</v>
      </c>
      <c r="I35">
        <v>0</v>
      </c>
      <c r="J35">
        <v>563081.72426989884</v>
      </c>
      <c r="K35">
        <v>373331.90478067077</v>
      </c>
      <c r="L35">
        <v>380859.92911431124</v>
      </c>
      <c r="M35">
        <v>305979.98406595585</v>
      </c>
      <c r="N35">
        <v>2080441.9705462735</v>
      </c>
      <c r="O35">
        <v>2080441.9705462735</v>
      </c>
      <c r="P35">
        <v>289481.41457525821</v>
      </c>
      <c r="Q35">
        <v>1151114.034236796</v>
      </c>
      <c r="R35">
        <v>285679.2339136175</v>
      </c>
      <c r="S35">
        <v>19424.865816320227</v>
      </c>
      <c r="T35">
        <v>5196.1577564856561</v>
      </c>
      <c r="U35">
        <v>0</v>
      </c>
      <c r="V35">
        <v>19089.484399101559</v>
      </c>
      <c r="W35">
        <v>0</v>
      </c>
      <c r="X35">
        <v>60805.977753317806</v>
      </c>
      <c r="Y35">
        <v>0</v>
      </c>
      <c r="Z35">
        <v>429833.6468693699</v>
      </c>
      <c r="AA35">
        <v>10170.843898137095</v>
      </c>
      <c r="AB35">
        <v>0</v>
      </c>
      <c r="AC35">
        <v>0</v>
      </c>
      <c r="AD35">
        <v>13365.895393967567</v>
      </c>
      <c r="AE35">
        <v>0</v>
      </c>
      <c r="AF35">
        <v>0</v>
      </c>
      <c r="AG35">
        <v>13365.895393967567</v>
      </c>
      <c r="AH35">
        <v>13365.895393967567</v>
      </c>
      <c r="AI35" s="7">
        <v>46231.669918981483</v>
      </c>
    </row>
    <row r="36" spans="1:35">
      <c r="A36" t="s">
        <v>69</v>
      </c>
      <c r="B36">
        <v>27</v>
      </c>
      <c r="C36">
        <v>27</v>
      </c>
      <c r="D36">
        <v>1</v>
      </c>
      <c r="E36">
        <v>7854144.6386000002</v>
      </c>
      <c r="F36">
        <v>7846127.2896444397</v>
      </c>
      <c r="G36">
        <v>3879455.264167015</v>
      </c>
      <c r="H36">
        <v>1333915.623707087</v>
      </c>
      <c r="I36">
        <v>0</v>
      </c>
      <c r="J36">
        <v>757174.63192241476</v>
      </c>
      <c r="K36">
        <v>482105.2489549226</v>
      </c>
      <c r="L36">
        <v>526117.34086219361</v>
      </c>
      <c r="M36">
        <v>461209.38926194725</v>
      </c>
      <c r="N36">
        <v>1863911.4976462692</v>
      </c>
      <c r="O36">
        <v>1863911.4976462692</v>
      </c>
      <c r="P36">
        <v>447868.32641817827</v>
      </c>
      <c r="Q36">
        <v>1408508.6878927941</v>
      </c>
      <c r="R36">
        <v>332274.09230222023</v>
      </c>
      <c r="S36">
        <v>57663.263895736709</v>
      </c>
      <c r="T36">
        <v>0</v>
      </c>
      <c r="U36">
        <v>0</v>
      </c>
      <c r="V36">
        <v>17255.95938249963</v>
      </c>
      <c r="W36">
        <v>0</v>
      </c>
      <c r="X36">
        <v>72244.345307646567</v>
      </c>
      <c r="Y36">
        <v>0</v>
      </c>
      <c r="Z36">
        <v>509249.34801339224</v>
      </c>
      <c r="AA36">
        <v>6651.5480069695523</v>
      </c>
      <c r="AB36">
        <v>0</v>
      </c>
      <c r="AC36">
        <v>0</v>
      </c>
      <c r="AD36">
        <v>12270.344192914545</v>
      </c>
      <c r="AE36">
        <v>0</v>
      </c>
      <c r="AF36">
        <v>0</v>
      </c>
      <c r="AG36">
        <v>12270.344192914545</v>
      </c>
      <c r="AH36">
        <v>12270.344192914545</v>
      </c>
      <c r="AI36" s="7">
        <v>46231.669965277775</v>
      </c>
    </row>
    <row r="37" spans="1:35">
      <c r="A37" t="s">
        <v>70</v>
      </c>
      <c r="B37">
        <v>28</v>
      </c>
      <c r="C37">
        <v>28</v>
      </c>
      <c r="D37">
        <v>1</v>
      </c>
      <c r="E37">
        <v>5188076.4798999997</v>
      </c>
      <c r="F37">
        <v>5178311.8303793631</v>
      </c>
      <c r="G37">
        <v>2937307.4150086627</v>
      </c>
      <c r="H37">
        <v>1034071.9191653176</v>
      </c>
      <c r="I37">
        <v>0</v>
      </c>
      <c r="J37">
        <v>655720.40527494834</v>
      </c>
      <c r="K37">
        <v>294697.62414100231</v>
      </c>
      <c r="L37">
        <v>368829.6903444241</v>
      </c>
      <c r="M37">
        <v>309063.16020614299</v>
      </c>
      <c r="N37">
        <v>816775.15124235442</v>
      </c>
      <c r="O37">
        <v>816775.15124235442</v>
      </c>
      <c r="P37">
        <v>406179.03513155848</v>
      </c>
      <c r="Q37">
        <v>1054206.7726772262</v>
      </c>
      <c r="R37">
        <v>177808.74095141067</v>
      </c>
      <c r="S37">
        <v>29870.07119619994</v>
      </c>
      <c r="T37">
        <v>0</v>
      </c>
      <c r="U37">
        <v>0</v>
      </c>
      <c r="V37">
        <v>0</v>
      </c>
      <c r="W37">
        <v>0</v>
      </c>
      <c r="X37">
        <v>26169.522666204553</v>
      </c>
      <c r="Y37">
        <v>0</v>
      </c>
      <c r="Z37">
        <v>299147.81448878348</v>
      </c>
      <c r="AA37">
        <v>1366.0880026481809</v>
      </c>
      <c r="AB37">
        <v>0</v>
      </c>
      <c r="AC37">
        <v>0</v>
      </c>
      <c r="AD37">
        <v>1803.5152369871744</v>
      </c>
      <c r="AE37">
        <v>0</v>
      </c>
      <c r="AF37">
        <v>0</v>
      </c>
      <c r="AG37">
        <v>1803.5152369871744</v>
      </c>
      <c r="AH37">
        <v>1803.5152369871744</v>
      </c>
      <c r="AI37" s="7">
        <v>46231.67</v>
      </c>
    </row>
    <row r="38" spans="1:35">
      <c r="A38" t="s">
        <v>71</v>
      </c>
      <c r="B38">
        <v>29</v>
      </c>
      <c r="C38">
        <v>29</v>
      </c>
      <c r="D38">
        <v>1</v>
      </c>
      <c r="E38">
        <v>6229354.2878</v>
      </c>
      <c r="F38">
        <v>6229354.2933969786</v>
      </c>
      <c r="G38">
        <v>4204650.2551343227</v>
      </c>
      <c r="H38">
        <v>1693453.5333152066</v>
      </c>
      <c r="I38">
        <v>0</v>
      </c>
      <c r="J38">
        <v>432654.23202998011</v>
      </c>
      <c r="K38">
        <v>595565.38206606917</v>
      </c>
      <c r="L38">
        <v>45073.318023067426</v>
      </c>
      <c r="M38">
        <v>45073.318023067426</v>
      </c>
      <c r="N38">
        <v>0</v>
      </c>
      <c r="O38">
        <v>0</v>
      </c>
      <c r="P38">
        <v>1051589.7733825028</v>
      </c>
      <c r="Q38">
        <v>0</v>
      </c>
      <c r="R38">
        <v>386314.01631748956</v>
      </c>
      <c r="S38">
        <v>1561004.583402988</v>
      </c>
      <c r="T38">
        <v>99905.65368215715</v>
      </c>
      <c r="U38">
        <v>0</v>
      </c>
      <c r="V38">
        <v>0</v>
      </c>
      <c r="W38">
        <v>0</v>
      </c>
      <c r="X38">
        <v>363793.80117749417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 s="7">
        <v>46231.670046296298</v>
      </c>
    </row>
    <row r="39" spans="1:35">
      <c r="A39" t="s">
        <v>72</v>
      </c>
      <c r="B39">
        <v>30</v>
      </c>
      <c r="C39">
        <v>30</v>
      </c>
      <c r="D39">
        <v>1</v>
      </c>
      <c r="E39">
        <v>4185344.3585000001</v>
      </c>
      <c r="F39">
        <v>4185344.3580101081</v>
      </c>
      <c r="G39">
        <v>3544115.2661213106</v>
      </c>
      <c r="H39">
        <v>1374574.2766348328</v>
      </c>
      <c r="I39">
        <v>0</v>
      </c>
      <c r="J39">
        <v>405829.76773455716</v>
      </c>
      <c r="K39">
        <v>413721.9962829047</v>
      </c>
      <c r="L39">
        <v>61242.476867531899</v>
      </c>
      <c r="M39">
        <v>31811.592815467866</v>
      </c>
      <c r="N39">
        <v>0</v>
      </c>
      <c r="O39">
        <v>0</v>
      </c>
      <c r="P39">
        <v>893532.79496696836</v>
      </c>
      <c r="Q39">
        <v>0</v>
      </c>
      <c r="R39">
        <v>395213.95363451733</v>
      </c>
      <c r="S39">
        <v>355753.88000947307</v>
      </c>
      <c r="T39">
        <v>81800.397389920996</v>
      </c>
      <c r="U39">
        <v>0</v>
      </c>
      <c r="V39">
        <v>13779.891765677918</v>
      </c>
      <c r="W39">
        <v>0</v>
      </c>
      <c r="X39">
        <v>186262.70666332956</v>
      </c>
      <c r="Y39">
        <v>0</v>
      </c>
      <c r="Z39">
        <v>0</v>
      </c>
      <c r="AA39">
        <v>3632.2160603964976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 s="7">
        <v>46231.670081018521</v>
      </c>
    </row>
    <row r="40" spans="1:35">
      <c r="A40" t="s">
        <v>73</v>
      </c>
      <c r="B40">
        <v>31</v>
      </c>
      <c r="C40">
        <v>31</v>
      </c>
      <c r="D40">
        <v>1</v>
      </c>
      <c r="E40">
        <v>15041261.678200001</v>
      </c>
      <c r="F40">
        <v>15041261.680401044</v>
      </c>
      <c r="G40">
        <v>10856430.157982858</v>
      </c>
      <c r="H40">
        <v>3551852.0390126412</v>
      </c>
      <c r="I40">
        <v>0</v>
      </c>
      <c r="J40">
        <v>2493725.1303568729</v>
      </c>
      <c r="K40">
        <v>1208468.3335520977</v>
      </c>
      <c r="L40">
        <v>1065138.2153640029</v>
      </c>
      <c r="M40">
        <v>942179.91602447105</v>
      </c>
      <c r="N40">
        <v>2194269.0855014017</v>
      </c>
      <c r="O40">
        <v>2194269.0855014017</v>
      </c>
      <c r="P40">
        <v>1445719.0224899058</v>
      </c>
      <c r="Q40">
        <v>1654858.0414365849</v>
      </c>
      <c r="R40">
        <v>1091527.4172073451</v>
      </c>
      <c r="S40">
        <v>168474.74523381094</v>
      </c>
      <c r="T40">
        <v>39265.764577318128</v>
      </c>
      <c r="U40">
        <v>0</v>
      </c>
      <c r="V40">
        <v>13476.601363912039</v>
      </c>
      <c r="W40">
        <v>0</v>
      </c>
      <c r="X40">
        <v>75042.717563077284</v>
      </c>
      <c r="Y40">
        <v>0</v>
      </c>
      <c r="Z40">
        <v>39444.566742075505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 s="7">
        <v>46231.670127314814</v>
      </c>
    </row>
    <row r="41" spans="1:35">
      <c r="A41" t="s">
        <v>74</v>
      </c>
      <c r="B41">
        <v>32</v>
      </c>
      <c r="C41">
        <v>32</v>
      </c>
      <c r="D41">
        <v>1</v>
      </c>
      <c r="E41">
        <v>4644958.0782000003</v>
      </c>
      <c r="F41">
        <v>4644958.0776872663</v>
      </c>
      <c r="G41">
        <v>3792627.3563963105</v>
      </c>
      <c r="H41">
        <v>1346031.5258526783</v>
      </c>
      <c r="I41">
        <v>0</v>
      </c>
      <c r="J41">
        <v>709747.02035271551</v>
      </c>
      <c r="K41">
        <v>439590.09522472497</v>
      </c>
      <c r="L41">
        <v>269879.88599877758</v>
      </c>
      <c r="M41">
        <v>254803.5899220767</v>
      </c>
      <c r="N41">
        <v>256644.65216878604</v>
      </c>
      <c r="O41">
        <v>256644.65216878604</v>
      </c>
      <c r="P41">
        <v>566986.93737527414</v>
      </c>
      <c r="Q41">
        <v>572015.80531498417</v>
      </c>
      <c r="R41">
        <v>460391.89159214037</v>
      </c>
      <c r="S41">
        <v>7534.0944376267735</v>
      </c>
      <c r="T41">
        <v>12500.000499999996</v>
      </c>
      <c r="U41">
        <v>0</v>
      </c>
      <c r="V41">
        <v>0</v>
      </c>
      <c r="W41">
        <v>0</v>
      </c>
      <c r="X41">
        <v>3636.1688695605567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 s="7">
        <v>46231.670173611114</v>
      </c>
    </row>
    <row r="42" spans="1:35">
      <c r="A42" t="s">
        <v>75</v>
      </c>
      <c r="B42">
        <v>33</v>
      </c>
      <c r="C42">
        <v>33</v>
      </c>
      <c r="D42">
        <v>1</v>
      </c>
      <c r="E42">
        <v>2229579.9739000001</v>
      </c>
      <c r="F42">
        <v>2229579.9739050125</v>
      </c>
      <c r="G42">
        <v>1820461.2099568748</v>
      </c>
      <c r="H42">
        <v>646095.16040674015</v>
      </c>
      <c r="I42">
        <v>0</v>
      </c>
      <c r="J42">
        <v>340678.58453204081</v>
      </c>
      <c r="K42">
        <v>211003.2548513416</v>
      </c>
      <c r="L42">
        <v>129542.3508929146</v>
      </c>
      <c r="M42">
        <v>122305.72846251122</v>
      </c>
      <c r="N42">
        <v>123189.4383792258</v>
      </c>
      <c r="O42">
        <v>123189.4383792258</v>
      </c>
      <c r="P42">
        <v>272153.74173345935</v>
      </c>
      <c r="Q42">
        <v>274567.59844912071</v>
      </c>
      <c r="R42">
        <v>220988.11754037833</v>
      </c>
      <c r="S42">
        <v>3616.3654867700084</v>
      </c>
      <c r="T42">
        <v>6000.0004999999983</v>
      </c>
      <c r="U42">
        <v>0</v>
      </c>
      <c r="V42">
        <v>0</v>
      </c>
      <c r="W42">
        <v>0</v>
      </c>
      <c r="X42">
        <v>1745.3611330213766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 s="7">
        <v>46231.670208333337</v>
      </c>
    </row>
    <row r="43" spans="1:35">
      <c r="A43" t="s">
        <v>76</v>
      </c>
      <c r="B43">
        <v>34</v>
      </c>
      <c r="C43">
        <v>34</v>
      </c>
      <c r="D43">
        <v>1</v>
      </c>
      <c r="E43">
        <v>2713805.7423999999</v>
      </c>
      <c r="F43">
        <v>2713805.7425213475</v>
      </c>
      <c r="G43">
        <v>2382144.2170865885</v>
      </c>
      <c r="H43">
        <v>790959.55731311755</v>
      </c>
      <c r="I43">
        <v>0</v>
      </c>
      <c r="J43">
        <v>465686.50168586761</v>
      </c>
      <c r="K43">
        <v>274212.89296810108</v>
      </c>
      <c r="L43">
        <v>172656.35028879062</v>
      </c>
      <c r="M43">
        <v>172656.35028879062</v>
      </c>
      <c r="N43">
        <v>27000</v>
      </c>
      <c r="O43">
        <v>27000</v>
      </c>
      <c r="P43">
        <v>359217.21122660924</v>
      </c>
      <c r="Q43">
        <v>304661.5254347591</v>
      </c>
      <c r="R43">
        <v>319411.70360410149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 s="7">
        <v>46231.670243055552</v>
      </c>
    </row>
    <row r="44" spans="1:35">
      <c r="A44" t="s">
        <v>77</v>
      </c>
      <c r="B44">
        <v>35</v>
      </c>
      <c r="C44">
        <v>35</v>
      </c>
      <c r="D44">
        <v>1</v>
      </c>
      <c r="E44">
        <v>5573949.6929000001</v>
      </c>
      <c r="F44">
        <v>5573949.6932247253</v>
      </c>
      <c r="G44">
        <v>4551152.8276755726</v>
      </c>
      <c r="H44">
        <v>1615237.8310232146</v>
      </c>
      <c r="I44">
        <v>0</v>
      </c>
      <c r="J44">
        <v>851696.42442325864</v>
      </c>
      <c r="K44">
        <v>527508.11426966987</v>
      </c>
      <c r="L44">
        <v>323855.86319853313</v>
      </c>
      <c r="M44">
        <v>305764.30790649203</v>
      </c>
      <c r="N44">
        <v>307973.58260254323</v>
      </c>
      <c r="O44">
        <v>307973.58260254323</v>
      </c>
      <c r="P44">
        <v>680384.32485032897</v>
      </c>
      <c r="Q44">
        <v>686418.96637798124</v>
      </c>
      <c r="R44">
        <v>552470.26991056849</v>
      </c>
      <c r="S44">
        <v>9040.9133251521289</v>
      </c>
      <c r="T44">
        <v>15000.000599999998</v>
      </c>
      <c r="U44">
        <v>0</v>
      </c>
      <c r="V44">
        <v>0</v>
      </c>
      <c r="W44">
        <v>0</v>
      </c>
      <c r="X44">
        <v>4363.4026434726684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 s="7">
        <v>46231.670289351852</v>
      </c>
    </row>
    <row r="45" spans="1:35">
      <c r="A45" t="s">
        <v>78</v>
      </c>
      <c r="B45">
        <v>36</v>
      </c>
      <c r="C45">
        <v>36</v>
      </c>
      <c r="D45">
        <v>1</v>
      </c>
      <c r="E45">
        <v>3158039.1184</v>
      </c>
      <c r="F45">
        <v>3158039.1183726131</v>
      </c>
      <c r="G45">
        <v>2738039.1225726134</v>
      </c>
      <c r="H45">
        <v>884367.53434299084</v>
      </c>
      <c r="I45">
        <v>0</v>
      </c>
      <c r="J45">
        <v>554241.76733751851</v>
      </c>
      <c r="K45">
        <v>308651.21445440286</v>
      </c>
      <c r="L45">
        <v>219999.99780000004</v>
      </c>
      <c r="M45">
        <v>219999.99780000004</v>
      </c>
      <c r="N45">
        <v>39999.999600000003</v>
      </c>
      <c r="O45">
        <v>39999.999600000003</v>
      </c>
      <c r="P45">
        <v>442332.91653657157</v>
      </c>
      <c r="Q45">
        <v>379999.99620000005</v>
      </c>
      <c r="R45">
        <v>328445.69210112857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 s="7">
        <v>46231.670324074075</v>
      </c>
    </row>
    <row r="46" spans="1:35">
      <c r="A46" t="s">
        <v>79</v>
      </c>
      <c r="B46">
        <v>37</v>
      </c>
      <c r="C46">
        <v>37</v>
      </c>
      <c r="D46">
        <v>1</v>
      </c>
      <c r="E46">
        <v>5602898.9748999998</v>
      </c>
      <c r="F46">
        <v>5602898.9734280538</v>
      </c>
      <c r="G46">
        <v>4207786.9815200614</v>
      </c>
      <c r="H46">
        <v>1377007.1002068652</v>
      </c>
      <c r="I46">
        <v>0</v>
      </c>
      <c r="J46">
        <v>945513.41676547495</v>
      </c>
      <c r="K46">
        <v>475731.06362919894</v>
      </c>
      <c r="L46">
        <v>399240.83294453059</v>
      </c>
      <c r="M46">
        <v>359767.33195034211</v>
      </c>
      <c r="N46">
        <v>640812.5909604159</v>
      </c>
      <c r="O46">
        <v>640812.5909604159</v>
      </c>
      <c r="P46">
        <v>575144.42248064291</v>
      </c>
      <c r="Q46">
        <v>646861.20211752143</v>
      </c>
      <c r="R46">
        <v>435150.14549335174</v>
      </c>
      <c r="S46">
        <v>59430.417966361019</v>
      </c>
      <c r="T46">
        <v>15281.326540584645</v>
      </c>
      <c r="U46">
        <v>0</v>
      </c>
      <c r="V46">
        <v>3259.9644672480417</v>
      </c>
      <c r="W46">
        <v>0</v>
      </c>
      <c r="X46">
        <v>21932.518624092972</v>
      </c>
      <c r="Y46">
        <v>0</v>
      </c>
      <c r="Z46">
        <v>7533.9712317603562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 s="7">
        <v>46231.670358796298</v>
      </c>
    </row>
    <row r="47" spans="1:35">
      <c r="A47" t="s">
        <v>80</v>
      </c>
      <c r="B47">
        <v>38</v>
      </c>
      <c r="C47">
        <v>38</v>
      </c>
      <c r="D47">
        <v>1</v>
      </c>
      <c r="E47">
        <v>7431932.4420999996</v>
      </c>
      <c r="F47">
        <v>7431932.4412240069</v>
      </c>
      <c r="G47">
        <v>6068203.3758008694</v>
      </c>
      <c r="H47">
        <v>2153650.3013770129</v>
      </c>
      <c r="I47">
        <v>0</v>
      </c>
      <c r="J47">
        <v>1135595.1587506577</v>
      </c>
      <c r="K47">
        <v>703344.106642192</v>
      </c>
      <c r="L47">
        <v>431807.78953053703</v>
      </c>
      <c r="M47">
        <v>407685.71737575042</v>
      </c>
      <c r="N47">
        <v>410631.41677901481</v>
      </c>
      <c r="O47">
        <v>410631.41677901481</v>
      </c>
      <c r="P47">
        <v>907179.0408337994</v>
      </c>
      <c r="Q47">
        <v>915225.22901433334</v>
      </c>
      <c r="R47">
        <v>736626.97866666992</v>
      </c>
      <c r="S47">
        <v>12054.550316657045</v>
      </c>
      <c r="T47">
        <v>19999.999499999998</v>
      </c>
      <c r="U47">
        <v>0</v>
      </c>
      <c r="V47">
        <v>0</v>
      </c>
      <c r="W47">
        <v>0</v>
      </c>
      <c r="X47">
        <v>5817.869813135344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 s="7">
        <v>46231.670405092591</v>
      </c>
    </row>
    <row r="48" spans="1:35">
      <c r="A48" t="s">
        <v>81</v>
      </c>
      <c r="B48">
        <v>39</v>
      </c>
      <c r="C48">
        <v>39</v>
      </c>
      <c r="D48">
        <v>1</v>
      </c>
      <c r="E48">
        <v>4293090.4436999997</v>
      </c>
      <c r="F48">
        <v>4293090.4439225597</v>
      </c>
      <c r="G48">
        <v>3659828.7728311308</v>
      </c>
      <c r="H48">
        <v>1352551.1279543107</v>
      </c>
      <c r="I48">
        <v>0</v>
      </c>
      <c r="J48">
        <v>642829.8955892768</v>
      </c>
      <c r="K48">
        <v>398763.39212297136</v>
      </c>
      <c r="L48">
        <v>253961.05208600283</v>
      </c>
      <c r="M48">
        <v>253961.05208600283</v>
      </c>
      <c r="N48">
        <v>104786.07692749625</v>
      </c>
      <c r="O48">
        <v>104786.07692749625</v>
      </c>
      <c r="P48">
        <v>502208.47490254976</v>
      </c>
      <c r="Q48">
        <v>516127.43145405286</v>
      </c>
      <c r="R48">
        <v>509514.83017602121</v>
      </c>
      <c r="S48">
        <v>0</v>
      </c>
      <c r="T48">
        <v>12348.162709878086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 s="7">
        <v>46231.670451388891</v>
      </c>
    </row>
    <row r="49" spans="1:35">
      <c r="A49" t="s">
        <v>82</v>
      </c>
      <c r="B49">
        <v>40</v>
      </c>
      <c r="C49">
        <v>40</v>
      </c>
      <c r="D49">
        <v>1</v>
      </c>
      <c r="E49">
        <v>2622811.9197999998</v>
      </c>
      <c r="F49">
        <v>2622811.9197605448</v>
      </c>
      <c r="G49">
        <v>2615416.9084995859</v>
      </c>
      <c r="H49">
        <v>4769.9273396175495</v>
      </c>
      <c r="I49">
        <v>0</v>
      </c>
      <c r="J49">
        <v>0</v>
      </c>
      <c r="K49">
        <v>0</v>
      </c>
      <c r="L49">
        <v>0</v>
      </c>
      <c r="M49">
        <v>0</v>
      </c>
      <c r="N49">
        <v>7395.0112609586004</v>
      </c>
      <c r="O49">
        <v>7395.0112609586004</v>
      </c>
      <c r="P49">
        <v>1005765.2273374767</v>
      </c>
      <c r="Q49">
        <v>0</v>
      </c>
      <c r="R49">
        <v>1604881.7538224927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 s="7">
        <v>46231.670486111114</v>
      </c>
    </row>
    <row r="50" spans="1:35">
      <c r="A50" t="s">
        <v>83</v>
      </c>
      <c r="B50">
        <v>41</v>
      </c>
      <c r="C50">
        <v>41</v>
      </c>
      <c r="D50">
        <v>1</v>
      </c>
      <c r="E50">
        <v>1744975.2597000001</v>
      </c>
      <c r="F50">
        <v>1744975.2600190998</v>
      </c>
      <c r="G50">
        <v>1683617.2807523801</v>
      </c>
      <c r="H50">
        <v>28667.032538299532</v>
      </c>
      <c r="I50">
        <v>0</v>
      </c>
      <c r="J50">
        <v>23059.080391876854</v>
      </c>
      <c r="K50">
        <v>0</v>
      </c>
      <c r="L50">
        <v>0</v>
      </c>
      <c r="M50">
        <v>0</v>
      </c>
      <c r="N50">
        <v>47003.757141320668</v>
      </c>
      <c r="O50">
        <v>47003.757141320668</v>
      </c>
      <c r="P50">
        <v>594004.18488404318</v>
      </c>
      <c r="Q50">
        <v>0</v>
      </c>
      <c r="R50">
        <v>1037886.9829381609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14354.222125399139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 s="7">
        <v>46231.670532407406</v>
      </c>
    </row>
    <row r="51" spans="1:35">
      <c r="A51" t="s">
        <v>84</v>
      </c>
      <c r="B51">
        <v>42</v>
      </c>
      <c r="C51">
        <v>42</v>
      </c>
      <c r="D51">
        <v>1</v>
      </c>
      <c r="E51">
        <v>1802678.3074</v>
      </c>
      <c r="F51">
        <v>1802678.3071893195</v>
      </c>
      <c r="G51">
        <v>1778870.0151228756</v>
      </c>
      <c r="H51">
        <v>13224.792539017762</v>
      </c>
      <c r="I51">
        <v>0</v>
      </c>
      <c r="J51">
        <v>28985.735639958035</v>
      </c>
      <c r="K51">
        <v>0</v>
      </c>
      <c r="L51">
        <v>0</v>
      </c>
      <c r="M51">
        <v>0</v>
      </c>
      <c r="N51">
        <v>2280.5690230506102</v>
      </c>
      <c r="O51">
        <v>2280.5690230506102</v>
      </c>
      <c r="P51">
        <v>278783.34842728719</v>
      </c>
      <c r="Q51">
        <v>0</v>
      </c>
      <c r="R51">
        <v>1457876.1385166124</v>
      </c>
      <c r="S51">
        <v>0</v>
      </c>
      <c r="T51">
        <v>0</v>
      </c>
      <c r="U51">
        <v>0</v>
      </c>
      <c r="V51">
        <v>6254.257396957898</v>
      </c>
      <c r="W51">
        <v>0</v>
      </c>
      <c r="X51">
        <v>0</v>
      </c>
      <c r="Y51">
        <v>0</v>
      </c>
      <c r="Z51">
        <v>15273.465646435368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 s="7">
        <v>46231.670590277776</v>
      </c>
    </row>
    <row r="52" spans="1:35">
      <c r="A52" t="s">
        <v>85</v>
      </c>
      <c r="B52">
        <v>43</v>
      </c>
      <c r="C52">
        <v>43</v>
      </c>
      <c r="D52">
        <v>1</v>
      </c>
      <c r="E52">
        <v>3850543.4948</v>
      </c>
      <c r="F52">
        <v>3849497.8457315918</v>
      </c>
      <c r="G52">
        <v>3719856.1221005637</v>
      </c>
      <c r="H52">
        <v>71511.307356126839</v>
      </c>
      <c r="I52">
        <v>0</v>
      </c>
      <c r="J52">
        <v>224508.31436594992</v>
      </c>
      <c r="K52">
        <v>0</v>
      </c>
      <c r="L52">
        <v>0</v>
      </c>
      <c r="M52">
        <v>0</v>
      </c>
      <c r="N52">
        <v>36376.915424596504</v>
      </c>
      <c r="O52">
        <v>36376.915424596504</v>
      </c>
      <c r="P52">
        <v>627869.1160741403</v>
      </c>
      <c r="Q52">
        <v>0</v>
      </c>
      <c r="R52">
        <v>2795967.3843043456</v>
      </c>
      <c r="S52">
        <v>0</v>
      </c>
      <c r="T52">
        <v>0</v>
      </c>
      <c r="U52">
        <v>0</v>
      </c>
      <c r="V52">
        <v>19184.114370794909</v>
      </c>
      <c r="W52">
        <v>0</v>
      </c>
      <c r="X52">
        <v>0</v>
      </c>
      <c r="Y52">
        <v>0</v>
      </c>
      <c r="Z52">
        <v>74080.693835636368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 s="7">
        <v>46231.670636574076</v>
      </c>
    </row>
    <row r="53" spans="1:35">
      <c r="A53" t="s">
        <v>86</v>
      </c>
      <c r="B53">
        <v>44</v>
      </c>
      <c r="C53">
        <v>44</v>
      </c>
      <c r="D53">
        <v>1</v>
      </c>
      <c r="E53">
        <v>1245997.5606</v>
      </c>
      <c r="F53">
        <v>1245997.5607211634</v>
      </c>
      <c r="G53">
        <v>1239321.7175342091</v>
      </c>
      <c r="H53">
        <v>2522.3052817148259</v>
      </c>
      <c r="I53">
        <v>0</v>
      </c>
      <c r="J53">
        <v>5631.6517470036797</v>
      </c>
      <c r="K53">
        <v>0</v>
      </c>
      <c r="L53">
        <v>0</v>
      </c>
      <c r="M53">
        <v>0</v>
      </c>
      <c r="N53">
        <v>340.57585433677286</v>
      </c>
      <c r="O53">
        <v>340.57585433677286</v>
      </c>
      <c r="P53">
        <v>171337.88109851236</v>
      </c>
      <c r="Q53">
        <v>0</v>
      </c>
      <c r="R53">
        <v>1059829.8794069788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6335.2673326173599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 s="7">
        <v>46231.670694444445</v>
      </c>
    </row>
    <row r="54" spans="1:35">
      <c r="A54" t="s">
        <v>87</v>
      </c>
      <c r="B54">
        <v>45</v>
      </c>
      <c r="C54">
        <v>45</v>
      </c>
      <c r="D54">
        <v>1</v>
      </c>
      <c r="E54">
        <v>2189055.8640000001</v>
      </c>
      <c r="F54">
        <v>2189055.8643650613</v>
      </c>
      <c r="G54">
        <v>2182855.1415615422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298974.17869972636</v>
      </c>
      <c r="Q54">
        <v>0</v>
      </c>
      <c r="R54">
        <v>1883880.9628618157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6200.7228035190728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 s="7">
        <v>46231.670740740738</v>
      </c>
    </row>
    <row r="55" spans="1:35">
      <c r="A55" t="s">
        <v>88</v>
      </c>
      <c r="B55">
        <v>46</v>
      </c>
      <c r="C55">
        <v>46</v>
      </c>
      <c r="D55">
        <v>1</v>
      </c>
      <c r="E55">
        <v>9047883.9945</v>
      </c>
      <c r="F55">
        <v>9027885.8137810174</v>
      </c>
      <c r="G55">
        <v>3654386.895327643</v>
      </c>
      <c r="H55">
        <v>1349919.9214026011</v>
      </c>
      <c r="I55">
        <v>0</v>
      </c>
      <c r="J55">
        <v>744924.37488770508</v>
      </c>
      <c r="K55">
        <v>463377.73332585953</v>
      </c>
      <c r="L55">
        <v>523182.05391865608</v>
      </c>
      <c r="M55">
        <v>404675.61506897514</v>
      </c>
      <c r="N55">
        <v>3325144.8760371809</v>
      </c>
      <c r="O55">
        <v>3325144.8760371809</v>
      </c>
      <c r="P55">
        <v>259669.83379930331</v>
      </c>
      <c r="Q55">
        <v>1389019.779863728</v>
      </c>
      <c r="R55">
        <v>313312.97799351934</v>
      </c>
      <c r="S55">
        <v>35313.822891792908</v>
      </c>
      <c r="T55">
        <v>10499.999400000001</v>
      </c>
      <c r="U55">
        <v>0</v>
      </c>
      <c r="V55">
        <v>23820.558560699497</v>
      </c>
      <c r="W55">
        <v>0</v>
      </c>
      <c r="X55">
        <v>39230.787513258205</v>
      </c>
      <c r="Y55">
        <v>0</v>
      </c>
      <c r="Z55">
        <v>525809.25842202303</v>
      </c>
      <c r="AA55">
        <v>6250.0354964224516</v>
      </c>
      <c r="AB55">
        <v>0</v>
      </c>
      <c r="AC55">
        <v>0</v>
      </c>
      <c r="AD55">
        <v>14065.670093073522</v>
      </c>
      <c r="AE55">
        <v>0</v>
      </c>
      <c r="AF55">
        <v>0</v>
      </c>
      <c r="AG55">
        <v>14065.670093073522</v>
      </c>
      <c r="AH55">
        <v>14065.670093073522</v>
      </c>
      <c r="AI55" s="7">
        <v>46231.670798611114</v>
      </c>
    </row>
    <row r="56" spans="1:35">
      <c r="A56" t="s">
        <v>89</v>
      </c>
      <c r="B56">
        <v>47</v>
      </c>
      <c r="C56">
        <v>47</v>
      </c>
      <c r="D56">
        <v>1</v>
      </c>
      <c r="E56">
        <v>8980502.9171999991</v>
      </c>
      <c r="F56">
        <v>8946595.334644448</v>
      </c>
      <c r="G56">
        <v>3899692.0230423971</v>
      </c>
      <c r="H56">
        <v>1436408.9813887647</v>
      </c>
      <c r="I56">
        <v>0</v>
      </c>
      <c r="J56">
        <v>743447.28427525877</v>
      </c>
      <c r="K56">
        <v>483455.51878024597</v>
      </c>
      <c r="L56">
        <v>493735.10428195941</v>
      </c>
      <c r="M56">
        <v>396048.08882400603</v>
      </c>
      <c r="N56">
        <v>2794713.556711955</v>
      </c>
      <c r="O56">
        <v>2794713.556711955</v>
      </c>
      <c r="P56">
        <v>364572.49034770968</v>
      </c>
      <c r="Q56">
        <v>1505903.572733924</v>
      </c>
      <c r="R56">
        <v>378072.64396846085</v>
      </c>
      <c r="S56">
        <v>21487.394994235998</v>
      </c>
      <c r="T56">
        <v>8313.8524103770505</v>
      </c>
      <c r="U56">
        <v>0</v>
      </c>
      <c r="V56">
        <v>21154.976913921939</v>
      </c>
      <c r="W56">
        <v>0</v>
      </c>
      <c r="X56">
        <v>73889.771907174538</v>
      </c>
      <c r="Y56">
        <v>0</v>
      </c>
      <c r="Z56">
        <v>582193.8546732337</v>
      </c>
      <c r="AA56">
        <v>14131.510884333435</v>
      </c>
      <c r="AB56">
        <v>0</v>
      </c>
      <c r="AC56">
        <v>0</v>
      </c>
      <c r="AD56">
        <v>17624.144149201238</v>
      </c>
      <c r="AE56">
        <v>0</v>
      </c>
      <c r="AF56">
        <v>0</v>
      </c>
      <c r="AG56">
        <v>17624.144149201238</v>
      </c>
      <c r="AH56">
        <v>17624.144149201238</v>
      </c>
      <c r="AI56" s="7">
        <v>46231.670844907407</v>
      </c>
    </row>
    <row r="57" spans="1:35">
      <c r="A57" t="s">
        <v>90</v>
      </c>
      <c r="B57">
        <v>48</v>
      </c>
      <c r="C57">
        <v>48</v>
      </c>
      <c r="D57">
        <v>1</v>
      </c>
      <c r="E57">
        <v>13503087.7795</v>
      </c>
      <c r="F57">
        <v>13474587.8472073</v>
      </c>
      <c r="G57">
        <v>6341140.7552905437</v>
      </c>
      <c r="H57">
        <v>2254117.1980650648</v>
      </c>
      <c r="I57">
        <v>0</v>
      </c>
      <c r="J57">
        <v>1149353.0301901239</v>
      </c>
      <c r="K57">
        <v>842126.25410326151</v>
      </c>
      <c r="L57">
        <v>856732.22780070396</v>
      </c>
      <c r="M57">
        <v>708222.58356804855</v>
      </c>
      <c r="N57">
        <v>3639606.3173156241</v>
      </c>
      <c r="O57">
        <v>3639606.3173156241</v>
      </c>
      <c r="P57">
        <v>691334.9864644747</v>
      </c>
      <c r="Q57">
        <v>2388637.8760499461</v>
      </c>
      <c r="R57">
        <v>547477.058666914</v>
      </c>
      <c r="S57">
        <v>74005.829367734957</v>
      </c>
      <c r="T57">
        <v>0</v>
      </c>
      <c r="U57">
        <v>0</v>
      </c>
      <c r="V57">
        <v>54797.002138492702</v>
      </c>
      <c r="W57">
        <v>0</v>
      </c>
      <c r="X57">
        <v>154999.59866824871</v>
      </c>
      <c r="Y57">
        <v>0</v>
      </c>
      <c r="Z57">
        <v>761775.56845395663</v>
      </c>
      <c r="AA57">
        <v>16049.627491657946</v>
      </c>
      <c r="AB57">
        <v>0</v>
      </c>
      <c r="AC57">
        <v>0</v>
      </c>
      <c r="AD57">
        <v>22807.852022347219</v>
      </c>
      <c r="AE57">
        <v>0</v>
      </c>
      <c r="AF57">
        <v>0</v>
      </c>
      <c r="AG57">
        <v>22807.852022347219</v>
      </c>
      <c r="AH57">
        <v>22807.852022347219</v>
      </c>
      <c r="AI57" s="7">
        <v>46231.670902777776</v>
      </c>
    </row>
    <row r="58" spans="1:35">
      <c r="A58" t="s">
        <v>91</v>
      </c>
      <c r="B58">
        <v>49</v>
      </c>
      <c r="C58">
        <v>49</v>
      </c>
      <c r="D58">
        <v>1</v>
      </c>
      <c r="E58">
        <v>4150461.1836000001</v>
      </c>
      <c r="F58">
        <v>4142649.4643034921</v>
      </c>
      <c r="G58">
        <v>2349845.9320069286</v>
      </c>
      <c r="H58">
        <v>827257.53533225437</v>
      </c>
      <c r="I58">
        <v>0</v>
      </c>
      <c r="J58">
        <v>524576.32421995851</v>
      </c>
      <c r="K58">
        <v>235758.09931280179</v>
      </c>
      <c r="L58">
        <v>295063.75227553933</v>
      </c>
      <c r="M58">
        <v>247250.52816491437</v>
      </c>
      <c r="N58">
        <v>653420.12099388335</v>
      </c>
      <c r="O58">
        <v>653420.12099388335</v>
      </c>
      <c r="P58">
        <v>324943.22810524679</v>
      </c>
      <c r="Q58">
        <v>843365.41814178065</v>
      </c>
      <c r="R58">
        <v>142246.99276112855</v>
      </c>
      <c r="S58">
        <v>23896.056956959954</v>
      </c>
      <c r="T58">
        <v>0</v>
      </c>
      <c r="U58">
        <v>0</v>
      </c>
      <c r="V58">
        <v>0</v>
      </c>
      <c r="W58">
        <v>0</v>
      </c>
      <c r="X58">
        <v>20935.618132963646</v>
      </c>
      <c r="Y58">
        <v>0</v>
      </c>
      <c r="Z58">
        <v>239318.25159102678</v>
      </c>
      <c r="AA58">
        <v>1092.8704021185449</v>
      </c>
      <c r="AB58">
        <v>0</v>
      </c>
      <c r="AC58">
        <v>0</v>
      </c>
      <c r="AD58">
        <v>1442.8121895897395</v>
      </c>
      <c r="AE58">
        <v>0</v>
      </c>
      <c r="AF58">
        <v>0</v>
      </c>
      <c r="AG58">
        <v>1442.8121895897395</v>
      </c>
      <c r="AH58">
        <v>1442.8121895897395</v>
      </c>
      <c r="AI58" s="7">
        <v>46231.670949074076</v>
      </c>
    </row>
    <row r="59" spans="1:35">
      <c r="A59" t="s">
        <v>92</v>
      </c>
      <c r="B59">
        <v>50</v>
      </c>
      <c r="C59">
        <v>50</v>
      </c>
      <c r="D59">
        <v>1</v>
      </c>
      <c r="E59">
        <v>18709380.790600002</v>
      </c>
      <c r="F59">
        <v>18638739.982289433</v>
      </c>
      <c r="G59">
        <v>8124358.2513486007</v>
      </c>
      <c r="H59">
        <v>2992518.6633462915</v>
      </c>
      <c r="I59">
        <v>0</v>
      </c>
      <c r="J59">
        <v>1548848.4841252128</v>
      </c>
      <c r="K59">
        <v>1007198.9813436617</v>
      </c>
      <c r="L59">
        <v>1028614.7841295784</v>
      </c>
      <c r="M59">
        <v>825100.17184841027</v>
      </c>
      <c r="N59">
        <v>5822319.8166594496</v>
      </c>
      <c r="O59">
        <v>5822319.8166594496</v>
      </c>
      <c r="P59">
        <v>759526.00940531201</v>
      </c>
      <c r="Q59">
        <v>3137299.0596655519</v>
      </c>
      <c r="R59">
        <v>787651.32899853832</v>
      </c>
      <c r="S59">
        <v>44765.405521745161</v>
      </c>
      <c r="T59">
        <v>17320.52557782377</v>
      </c>
      <c r="U59">
        <v>0</v>
      </c>
      <c r="V59">
        <v>44072.867865504792</v>
      </c>
      <c r="W59">
        <v>0</v>
      </c>
      <c r="X59">
        <v>153937.02234362121</v>
      </c>
      <c r="Y59">
        <v>0</v>
      </c>
      <c r="Z59">
        <v>1212903.8444961081</v>
      </c>
      <c r="AA59">
        <v>29440.647204644287</v>
      </c>
      <c r="AB59">
        <v>0</v>
      </c>
      <c r="AC59">
        <v>0</v>
      </c>
      <c r="AD59">
        <v>36716.966390031092</v>
      </c>
      <c r="AE59">
        <v>0</v>
      </c>
      <c r="AF59">
        <v>0</v>
      </c>
      <c r="AG59">
        <v>36716.966390031092</v>
      </c>
      <c r="AH59">
        <v>36716.966390031092</v>
      </c>
      <c r="AI59" s="7">
        <v>46231.671006944445</v>
      </c>
    </row>
    <row r="60" spans="1:35">
      <c r="A60" t="s">
        <v>93</v>
      </c>
      <c r="B60">
        <v>51</v>
      </c>
      <c r="C60">
        <v>51</v>
      </c>
      <c r="D60">
        <v>1</v>
      </c>
      <c r="E60">
        <v>12789565.9619</v>
      </c>
      <c r="F60">
        <v>12782386.391710825</v>
      </c>
      <c r="G60">
        <v>6382340.0269287676</v>
      </c>
      <c r="H60">
        <v>2175985.9451948213</v>
      </c>
      <c r="I60">
        <v>0</v>
      </c>
      <c r="J60">
        <v>1271531.6440083056</v>
      </c>
      <c r="K60">
        <v>764183.65230672469</v>
      </c>
      <c r="L60">
        <v>856679.91313027171</v>
      </c>
      <c r="M60">
        <v>760750.77447018283</v>
      </c>
      <c r="N60">
        <v>2938248.995392154</v>
      </c>
      <c r="O60">
        <v>2938248.995392154</v>
      </c>
      <c r="P60">
        <v>759689.0637489974</v>
      </c>
      <c r="Q60">
        <v>2298885.5965634487</v>
      </c>
      <c r="R60">
        <v>554269.8085396461</v>
      </c>
      <c r="S60">
        <v>100162.65306078336</v>
      </c>
      <c r="T60">
        <v>0</v>
      </c>
      <c r="U60">
        <v>0</v>
      </c>
      <c r="V60">
        <v>24143.18583649386</v>
      </c>
      <c r="W60">
        <v>0</v>
      </c>
      <c r="X60">
        <v>111158.30532562244</v>
      </c>
      <c r="Y60">
        <v>0</v>
      </c>
      <c r="Z60">
        <v>862895.77266222262</v>
      </c>
      <c r="AA60">
        <v>8793.2832275502278</v>
      </c>
      <c r="AB60">
        <v>0</v>
      </c>
      <c r="AC60">
        <v>0</v>
      </c>
      <c r="AD60">
        <v>21002.799440398951</v>
      </c>
      <c r="AE60">
        <v>0</v>
      </c>
      <c r="AF60">
        <v>0</v>
      </c>
      <c r="AG60">
        <v>21002.799440398951</v>
      </c>
      <c r="AH60">
        <v>21002.799440398951</v>
      </c>
      <c r="AI60" s="7">
        <v>46231.671053240738</v>
      </c>
    </row>
    <row r="61" spans="1:35">
      <c r="A61" t="s">
        <v>94</v>
      </c>
      <c r="B61">
        <v>52</v>
      </c>
      <c r="C61">
        <v>52</v>
      </c>
      <c r="D61">
        <v>1</v>
      </c>
      <c r="E61">
        <v>7483752.1342000002</v>
      </c>
      <c r="F61">
        <v>7455495.8139838716</v>
      </c>
      <c r="G61">
        <v>3249743.2225455949</v>
      </c>
      <c r="H61">
        <v>1197007.4366103373</v>
      </c>
      <c r="I61">
        <v>0</v>
      </c>
      <c r="J61">
        <v>619539.37878113927</v>
      </c>
      <c r="K61">
        <v>402879.5828683544</v>
      </c>
      <c r="L61">
        <v>411445.90377712913</v>
      </c>
      <c r="M61">
        <v>330040.06081840186</v>
      </c>
      <c r="N61">
        <v>2328927.8707695114</v>
      </c>
      <c r="O61">
        <v>2328927.8707695114</v>
      </c>
      <c r="P61">
        <v>303810.3964706749</v>
      </c>
      <c r="Q61">
        <v>1254919.5937481509</v>
      </c>
      <c r="R61">
        <v>315060.52403796249</v>
      </c>
      <c r="S61">
        <v>17906.161778950165</v>
      </c>
      <c r="T61">
        <v>6928.2100648524611</v>
      </c>
      <c r="U61">
        <v>0</v>
      </c>
      <c r="V61">
        <v>17629.146723102382</v>
      </c>
      <c r="W61">
        <v>0</v>
      </c>
      <c r="X61">
        <v>61574.807459653042</v>
      </c>
      <c r="Y61">
        <v>0</v>
      </c>
      <c r="Z61">
        <v>485161.52615456533</v>
      </c>
      <c r="AA61">
        <v>11776.258599227496</v>
      </c>
      <c r="AB61">
        <v>0</v>
      </c>
      <c r="AC61">
        <v>0</v>
      </c>
      <c r="AD61">
        <v>14686.786203529564</v>
      </c>
      <c r="AE61">
        <v>0</v>
      </c>
      <c r="AF61">
        <v>0</v>
      </c>
      <c r="AG61">
        <v>14686.786203529564</v>
      </c>
      <c r="AH61">
        <v>14686.786203529564</v>
      </c>
      <c r="AI61" s="7">
        <v>46231.671111111114</v>
      </c>
    </row>
    <row r="62" spans="1:35">
      <c r="A62" t="s">
        <v>95</v>
      </c>
      <c r="B62">
        <v>53</v>
      </c>
      <c r="C62">
        <v>53</v>
      </c>
      <c r="D62">
        <v>1</v>
      </c>
      <c r="E62">
        <v>3488063.2538000001</v>
      </c>
      <c r="F62">
        <v>3486105.189406299</v>
      </c>
      <c r="G62">
        <v>1740638.0942184913</v>
      </c>
      <c r="H62">
        <v>593450.67995582207</v>
      </c>
      <c r="I62">
        <v>0</v>
      </c>
      <c r="J62">
        <v>346781.33854146407</v>
      </c>
      <c r="K62">
        <v>208413.71198835841</v>
      </c>
      <c r="L62">
        <v>233639.96356425725</v>
      </c>
      <c r="M62">
        <v>207477.47262945989</v>
      </c>
      <c r="N62">
        <v>801340.59139746218</v>
      </c>
      <c r="O62">
        <v>801340.59139746218</v>
      </c>
      <c r="P62">
        <v>207187.91517583988</v>
      </c>
      <c r="Q62">
        <v>626968.7648644608</v>
      </c>
      <c r="R62">
        <v>151164.48499274944</v>
      </c>
      <c r="S62">
        <v>27317.085708372546</v>
      </c>
      <c r="T62">
        <v>0</v>
      </c>
      <c r="U62">
        <v>0</v>
      </c>
      <c r="V62">
        <v>6584.5048689798632</v>
      </c>
      <c r="W62">
        <v>0</v>
      </c>
      <c r="X62">
        <v>30315.899798847891</v>
      </c>
      <c r="Y62">
        <v>0</v>
      </c>
      <c r="Z62">
        <v>235335.19788959503</v>
      </c>
      <c r="AA62">
        <v>2398.1680221590741</v>
      </c>
      <c r="AB62">
        <v>0</v>
      </c>
      <c r="AC62">
        <v>0</v>
      </c>
      <c r="AD62">
        <v>5728.035898579561</v>
      </c>
      <c r="AE62">
        <v>0</v>
      </c>
      <c r="AF62">
        <v>0</v>
      </c>
      <c r="AG62">
        <v>5728.035898579561</v>
      </c>
      <c r="AH62">
        <v>5728.035898579561</v>
      </c>
      <c r="AI62" s="7">
        <v>46231.671157407407</v>
      </c>
    </row>
    <row r="63" spans="1:35">
      <c r="A63" t="s">
        <v>96</v>
      </c>
      <c r="B63">
        <v>54</v>
      </c>
      <c r="C63">
        <v>54</v>
      </c>
      <c r="D63">
        <v>1</v>
      </c>
      <c r="E63">
        <v>1339432.8589000001</v>
      </c>
      <c r="F63">
        <v>1339432.8588863953</v>
      </c>
      <c r="G63">
        <v>1339432.8588863953</v>
      </c>
      <c r="H63">
        <v>33000</v>
      </c>
      <c r="I63">
        <v>0</v>
      </c>
      <c r="J63">
        <v>194494.27152306444</v>
      </c>
      <c r="K63">
        <v>476338.4273581169</v>
      </c>
      <c r="L63">
        <v>562872.69018603559</v>
      </c>
      <c r="M63">
        <v>540872.69018603559</v>
      </c>
      <c r="N63">
        <v>0</v>
      </c>
      <c r="O63">
        <v>0</v>
      </c>
      <c r="P63">
        <v>72727.469819178106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 s="7">
        <v>46231.671203703707</v>
      </c>
    </row>
    <row r="64" spans="1:35">
      <c r="A64" t="s">
        <v>97</v>
      </c>
      <c r="B64">
        <v>55</v>
      </c>
      <c r="C64">
        <v>55</v>
      </c>
      <c r="D64">
        <v>1</v>
      </c>
      <c r="E64">
        <v>797260.28419999999</v>
      </c>
      <c r="F64">
        <v>797260.28446086438</v>
      </c>
      <c r="G64">
        <v>781951.76550783985</v>
      </c>
      <c r="H64">
        <v>123243.0813035928</v>
      </c>
      <c r="I64">
        <v>0</v>
      </c>
      <c r="J64">
        <v>136268.18913664928</v>
      </c>
      <c r="K64">
        <v>201786.16553400565</v>
      </c>
      <c r="L64">
        <v>257925.59502032207</v>
      </c>
      <c r="M64">
        <v>231146.77338989981</v>
      </c>
      <c r="N64">
        <v>0</v>
      </c>
      <c r="O64">
        <v>0</v>
      </c>
      <c r="P64">
        <v>56850.685237223217</v>
      </c>
      <c r="Q64">
        <v>0</v>
      </c>
      <c r="R64">
        <v>5878.049276046504</v>
      </c>
      <c r="S64">
        <v>0</v>
      </c>
      <c r="T64">
        <v>0</v>
      </c>
      <c r="U64">
        <v>0</v>
      </c>
      <c r="V64">
        <v>15308.518953024426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 s="7">
        <v>46231.671249999999</v>
      </c>
    </row>
    <row r="65" spans="1:35">
      <c r="A65" t="s">
        <v>98</v>
      </c>
      <c r="B65">
        <v>56</v>
      </c>
      <c r="C65">
        <v>56</v>
      </c>
      <c r="D65">
        <v>1</v>
      </c>
      <c r="E65">
        <v>2583517.1384999999</v>
      </c>
      <c r="F65">
        <v>2583517.1381515749</v>
      </c>
      <c r="G65">
        <v>2583517.1381515749</v>
      </c>
      <c r="H65">
        <v>457816.39656493376</v>
      </c>
      <c r="I65">
        <v>0</v>
      </c>
      <c r="J65">
        <v>368847.0696326748</v>
      </c>
      <c r="K65">
        <v>663117.32531715755</v>
      </c>
      <c r="L65">
        <v>775693.03733074758</v>
      </c>
      <c r="M65">
        <v>747621.90431462298</v>
      </c>
      <c r="N65">
        <v>0</v>
      </c>
      <c r="O65">
        <v>0</v>
      </c>
      <c r="P65">
        <v>317199.78581395972</v>
      </c>
      <c r="Q65">
        <v>0</v>
      </c>
      <c r="R65">
        <v>843.52349210358818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 s="7">
        <v>46231.671296296299</v>
      </c>
    </row>
    <row r="66" spans="1:35">
      <c r="A66" t="s">
        <v>99</v>
      </c>
      <c r="B66">
        <v>57</v>
      </c>
      <c r="C66">
        <v>57</v>
      </c>
      <c r="D66">
        <v>1</v>
      </c>
      <c r="E66">
        <v>2838865.2788</v>
      </c>
      <c r="F66">
        <v>2838865.2795873471</v>
      </c>
      <c r="G66">
        <v>2838865.2795873471</v>
      </c>
      <c r="H66">
        <v>255417.04817893816</v>
      </c>
      <c r="I66">
        <v>0</v>
      </c>
      <c r="J66">
        <v>487592.56371534069</v>
      </c>
      <c r="K66">
        <v>894260.51874853589</v>
      </c>
      <c r="L66">
        <v>1042929.8456780092</v>
      </c>
      <c r="M66">
        <v>965408.12563198945</v>
      </c>
      <c r="N66">
        <v>0</v>
      </c>
      <c r="O66">
        <v>0</v>
      </c>
      <c r="P66">
        <v>158405.75757664588</v>
      </c>
      <c r="Q66">
        <v>0</v>
      </c>
      <c r="R66">
        <v>259.54568987802747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 s="7">
        <v>46231.671342592592</v>
      </c>
    </row>
    <row r="67" spans="1:35">
      <c r="A67" t="s">
        <v>100</v>
      </c>
      <c r="B67">
        <v>58</v>
      </c>
      <c r="C67">
        <v>58</v>
      </c>
      <c r="D67">
        <v>1</v>
      </c>
      <c r="E67">
        <v>2511649.6096999999</v>
      </c>
      <c r="F67">
        <v>2511649.6100833691</v>
      </c>
      <c r="G67">
        <v>2465724.0532242963</v>
      </c>
      <c r="H67">
        <v>376357.89455282764</v>
      </c>
      <c r="I67">
        <v>0</v>
      </c>
      <c r="J67">
        <v>441668.60673383664</v>
      </c>
      <c r="K67">
        <v>639500.84164765745</v>
      </c>
      <c r="L67">
        <v>819171.20965148124</v>
      </c>
      <c r="M67">
        <v>736181.26494479657</v>
      </c>
      <c r="N67">
        <v>0</v>
      </c>
      <c r="O67">
        <v>0</v>
      </c>
      <c r="P67">
        <v>171391.35281035418</v>
      </c>
      <c r="Q67">
        <v>0</v>
      </c>
      <c r="R67">
        <v>17634.14782813951</v>
      </c>
      <c r="S67">
        <v>0</v>
      </c>
      <c r="T67">
        <v>0</v>
      </c>
      <c r="U67">
        <v>0</v>
      </c>
      <c r="V67">
        <v>45925.55685907328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 s="7">
        <v>46231.671388888892</v>
      </c>
    </row>
    <row r="68" spans="1:35">
      <c r="A68" t="s">
        <v>101</v>
      </c>
      <c r="B68">
        <v>59</v>
      </c>
      <c r="C68">
        <v>59</v>
      </c>
      <c r="D68">
        <v>1</v>
      </c>
      <c r="E68">
        <v>3067986.7365000001</v>
      </c>
      <c r="F68">
        <v>3067986.7356530991</v>
      </c>
      <c r="G68">
        <v>3067986.7356530991</v>
      </c>
      <c r="H68">
        <v>66920.499126295283</v>
      </c>
      <c r="I68">
        <v>0</v>
      </c>
      <c r="J68">
        <v>0</v>
      </c>
      <c r="K68">
        <v>1414689.6566514333</v>
      </c>
      <c r="L68">
        <v>1586376.5798753696</v>
      </c>
      <c r="M68">
        <v>1524200.2865237577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 s="7">
        <v>46231.671458333331</v>
      </c>
    </row>
    <row r="69" spans="1:35">
      <c r="A69" t="s">
        <v>102</v>
      </c>
      <c r="B69">
        <v>60</v>
      </c>
      <c r="C69">
        <v>60</v>
      </c>
      <c r="D69">
        <v>1</v>
      </c>
      <c r="E69">
        <v>800000</v>
      </c>
      <c r="F69">
        <v>800000</v>
      </c>
      <c r="G69">
        <v>790000</v>
      </c>
      <c r="H69">
        <v>40000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680000</v>
      </c>
      <c r="Q69">
        <v>0</v>
      </c>
      <c r="R69">
        <v>70000</v>
      </c>
      <c r="S69">
        <v>0</v>
      </c>
      <c r="T69">
        <v>0</v>
      </c>
      <c r="U69">
        <v>0</v>
      </c>
      <c r="V69">
        <v>10000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 s="7">
        <v>46231.671516203707</v>
      </c>
    </row>
    <row r="70" spans="1:35">
      <c r="A70" t="s">
        <v>103</v>
      </c>
      <c r="B70">
        <v>61</v>
      </c>
      <c r="C70">
        <v>61</v>
      </c>
      <c r="D70">
        <v>1</v>
      </c>
      <c r="E70">
        <v>2415545.1979</v>
      </c>
      <c r="F70">
        <v>2415545.1975950017</v>
      </c>
      <c r="G70">
        <v>521778.18485999986</v>
      </c>
      <c r="H70">
        <v>319025.02139500011</v>
      </c>
      <c r="I70">
        <v>0</v>
      </c>
      <c r="J70">
        <v>22799.512755</v>
      </c>
      <c r="K70">
        <v>72826.056979999994</v>
      </c>
      <c r="L70">
        <v>100636.21441499999</v>
      </c>
      <c r="M70">
        <v>60433.658174999997</v>
      </c>
      <c r="N70">
        <v>0</v>
      </c>
      <c r="O70">
        <v>0</v>
      </c>
      <c r="P70">
        <v>0</v>
      </c>
      <c r="Q70">
        <v>0</v>
      </c>
      <c r="R70">
        <v>6491.3793150000001</v>
      </c>
      <c r="S70">
        <v>0</v>
      </c>
      <c r="T70">
        <v>0</v>
      </c>
      <c r="U70">
        <v>0</v>
      </c>
      <c r="V70">
        <v>1740854.1084050008</v>
      </c>
      <c r="W70">
        <v>0</v>
      </c>
      <c r="X70">
        <v>0</v>
      </c>
      <c r="Y70">
        <v>0</v>
      </c>
      <c r="Z70">
        <v>0</v>
      </c>
      <c r="AA70">
        <v>152912.90432999999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 s="7">
        <v>46231.671574074076</v>
      </c>
    </row>
    <row r="71" spans="1:35">
      <c r="A71" t="s">
        <v>104</v>
      </c>
      <c r="B71">
        <v>62</v>
      </c>
      <c r="C71">
        <v>62</v>
      </c>
      <c r="D71">
        <v>1</v>
      </c>
      <c r="E71">
        <v>3515750</v>
      </c>
      <c r="F71">
        <v>3515750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3515750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 s="7">
        <v>46231.671620370369</v>
      </c>
    </row>
    <row r="72" spans="1:35">
      <c r="A72" t="s">
        <v>105</v>
      </c>
      <c r="B72">
        <v>63</v>
      </c>
      <c r="C72">
        <v>63</v>
      </c>
      <c r="D72">
        <v>1</v>
      </c>
      <c r="E72">
        <v>962978.16189999995</v>
      </c>
      <c r="F72">
        <v>962978.16164087411</v>
      </c>
      <c r="G72">
        <v>962978.16164087411</v>
      </c>
      <c r="H72">
        <v>38278.700962101437</v>
      </c>
      <c r="I72">
        <v>0</v>
      </c>
      <c r="J72">
        <v>52657.177750660572</v>
      </c>
      <c r="K72">
        <v>0</v>
      </c>
      <c r="L72">
        <v>0</v>
      </c>
      <c r="M72">
        <v>0</v>
      </c>
      <c r="N72">
        <v>0</v>
      </c>
      <c r="O72">
        <v>0</v>
      </c>
      <c r="P72">
        <v>771168.98323133646</v>
      </c>
      <c r="Q72">
        <v>0</v>
      </c>
      <c r="R72">
        <v>100873.29969677606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 s="7">
        <v>46231.671666666669</v>
      </c>
    </row>
    <row r="73" spans="1:35">
      <c r="A73" t="s">
        <v>106</v>
      </c>
      <c r="B73">
        <v>64</v>
      </c>
      <c r="C73">
        <v>64</v>
      </c>
      <c r="D73">
        <v>1</v>
      </c>
      <c r="E73">
        <v>4255205.5685000001</v>
      </c>
      <c r="F73">
        <v>4255205.5684170267</v>
      </c>
      <c r="G73">
        <v>3870669.9935995764</v>
      </c>
      <c r="H73">
        <v>80000</v>
      </c>
      <c r="I73">
        <v>0</v>
      </c>
      <c r="J73">
        <v>497957.48689099483</v>
      </c>
      <c r="K73">
        <v>1355025.8067154447</v>
      </c>
      <c r="L73">
        <v>139531.1915838893</v>
      </c>
      <c r="M73">
        <v>139531.1915838893</v>
      </c>
      <c r="N73">
        <v>133267.31281029334</v>
      </c>
      <c r="O73">
        <v>133267.31281029334</v>
      </c>
      <c r="P73">
        <v>1587821.1684503022</v>
      </c>
      <c r="Q73">
        <v>251268.26200715636</v>
      </c>
      <c r="R73">
        <v>210334.33995894445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 s="7">
        <v>46231.671724537038</v>
      </c>
    </row>
    <row r="74" spans="1:35">
      <c r="A74" t="s">
        <v>107</v>
      </c>
      <c r="B74">
        <v>65</v>
      </c>
      <c r="C74">
        <v>65</v>
      </c>
      <c r="D74">
        <v>1</v>
      </c>
      <c r="E74">
        <v>1039829.4016</v>
      </c>
      <c r="F74">
        <v>1039829.3989505556</v>
      </c>
      <c r="G74">
        <v>945903.10388883576</v>
      </c>
      <c r="H74">
        <v>19999.999500000002</v>
      </c>
      <c r="I74">
        <v>0</v>
      </c>
      <c r="J74">
        <v>119588.85691124039</v>
      </c>
      <c r="K74">
        <v>329613.94980692188</v>
      </c>
      <c r="L74">
        <v>33906.237469121945</v>
      </c>
      <c r="M74">
        <v>33906.237469121945</v>
      </c>
      <c r="N74">
        <v>32653.461745722103</v>
      </c>
      <c r="O74">
        <v>32653.461745722103</v>
      </c>
      <c r="P74">
        <v>390727.19351143419</v>
      </c>
      <c r="Q74">
        <v>61272.833315997676</v>
      </c>
      <c r="R74">
        <v>52066.866690117175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 s="7">
        <v>46231.671770833331</v>
      </c>
    </row>
    <row r="75" spans="1:35">
      <c r="A75" t="s">
        <v>108</v>
      </c>
      <c r="B75">
        <v>66</v>
      </c>
      <c r="C75">
        <v>66</v>
      </c>
      <c r="D75">
        <v>1</v>
      </c>
      <c r="E75">
        <v>22239670.1226</v>
      </c>
      <c r="F75">
        <v>22239670.122252494</v>
      </c>
      <c r="G75">
        <v>5535392.4561811928</v>
      </c>
      <c r="H75">
        <v>509267.39172147296</v>
      </c>
      <c r="I75">
        <v>0</v>
      </c>
      <c r="J75">
        <v>1227585.0177668864</v>
      </c>
      <c r="K75">
        <v>1608717.6164646447</v>
      </c>
      <c r="L75">
        <v>958215.63294121623</v>
      </c>
      <c r="M75">
        <v>796599.75538798969</v>
      </c>
      <c r="N75">
        <v>10234989.828944802</v>
      </c>
      <c r="O75">
        <v>10234989.828944802</v>
      </c>
      <c r="P75">
        <v>799584.66462700849</v>
      </c>
      <c r="Q75">
        <v>4107839.5037253546</v>
      </c>
      <c r="R75">
        <v>432022.13265996875</v>
      </c>
      <c r="S75">
        <v>116579.0170070677</v>
      </c>
      <c r="T75">
        <v>0</v>
      </c>
      <c r="U75">
        <v>0</v>
      </c>
      <c r="V75">
        <v>25158.730580946951</v>
      </c>
      <c r="W75">
        <v>0</v>
      </c>
      <c r="X75">
        <v>22476.2628410697</v>
      </c>
      <c r="Y75">
        <v>0</v>
      </c>
      <c r="Z75">
        <v>2181657.4150673812</v>
      </c>
      <c r="AA75">
        <v>15576.907904694324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 s="7">
        <v>46231.671817129631</v>
      </c>
    </row>
    <row r="76" spans="1:35">
      <c r="A76" t="s">
        <v>109</v>
      </c>
      <c r="B76">
        <v>67</v>
      </c>
      <c r="C76">
        <v>67</v>
      </c>
      <c r="D76">
        <v>1</v>
      </c>
      <c r="E76">
        <v>750854.1862</v>
      </c>
      <c r="F76">
        <v>750854.18610575912</v>
      </c>
      <c r="G76">
        <v>696273.62019571802</v>
      </c>
      <c r="H76">
        <v>10000</v>
      </c>
      <c r="I76">
        <v>0</v>
      </c>
      <c r="J76">
        <v>74799.031589649196</v>
      </c>
      <c r="K76">
        <v>229429.49542814895</v>
      </c>
      <c r="L76">
        <v>30000</v>
      </c>
      <c r="M76">
        <v>30000</v>
      </c>
      <c r="N76">
        <v>21659.295296170618</v>
      </c>
      <c r="O76">
        <v>21659.295296170618</v>
      </c>
      <c r="P76">
        <v>312045.09317791992</v>
      </c>
      <c r="Q76">
        <v>32921.270613870431</v>
      </c>
      <c r="R76">
        <v>40000.000000000007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 s="7">
        <v>46231.671875</v>
      </c>
    </row>
    <row r="77" spans="1:35">
      <c r="A77" t="s">
        <v>110</v>
      </c>
      <c r="B77">
        <v>68</v>
      </c>
      <c r="C77">
        <v>68</v>
      </c>
      <c r="D77">
        <v>1</v>
      </c>
      <c r="E77">
        <v>2079658.878</v>
      </c>
      <c r="F77">
        <v>2079658.8758883183</v>
      </c>
      <c r="G77">
        <v>1891806.2787204059</v>
      </c>
      <c r="H77">
        <v>40000.000500000002</v>
      </c>
      <c r="I77">
        <v>0</v>
      </c>
      <c r="J77">
        <v>239177.7227916453</v>
      </c>
      <c r="K77">
        <v>659227.92433489056</v>
      </c>
      <c r="L77">
        <v>67812.477481211754</v>
      </c>
      <c r="M77">
        <v>67812.477481211754</v>
      </c>
      <c r="N77">
        <v>65306.925940453897</v>
      </c>
      <c r="O77">
        <v>65306.925940453897</v>
      </c>
      <c r="P77">
        <v>781454.41632740851</v>
      </c>
      <c r="Q77">
        <v>122545.67122745795</v>
      </c>
      <c r="R77">
        <v>104133.73728524944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 s="7">
        <v>46231.6719212963</v>
      </c>
    </row>
    <row r="78" spans="1:35">
      <c r="A78" t="s">
        <v>111</v>
      </c>
      <c r="B78">
        <v>69</v>
      </c>
      <c r="C78">
        <v>69</v>
      </c>
      <c r="D78">
        <v>1</v>
      </c>
      <c r="E78">
        <v>26189657.8851</v>
      </c>
      <c r="F78">
        <v>26189657.884766642</v>
      </c>
      <c r="G78">
        <v>6750773.2997007621</v>
      </c>
      <c r="H78">
        <v>589958.21879079554</v>
      </c>
      <c r="I78">
        <v>0</v>
      </c>
      <c r="J78">
        <v>1453832.2189834579</v>
      </c>
      <c r="K78">
        <v>2005378.9205231178</v>
      </c>
      <c r="L78">
        <v>1162667.6979038394</v>
      </c>
      <c r="M78">
        <v>974115.84075840889</v>
      </c>
      <c r="N78">
        <v>11882122.038055627</v>
      </c>
      <c r="O78">
        <v>11882122.038055627</v>
      </c>
      <c r="P78">
        <v>1034910.4220629244</v>
      </c>
      <c r="Q78">
        <v>4818553.5995082902</v>
      </c>
      <c r="R78">
        <v>504025.82143663027</v>
      </c>
      <c r="S78">
        <v>136008.85317491231</v>
      </c>
      <c r="T78">
        <v>0</v>
      </c>
      <c r="U78">
        <v>0</v>
      </c>
      <c r="V78">
        <v>29351.852344438114</v>
      </c>
      <c r="W78">
        <v>0</v>
      </c>
      <c r="X78">
        <v>26222.306647914644</v>
      </c>
      <c r="Y78">
        <v>0</v>
      </c>
      <c r="Z78">
        <v>2528452.8761125365</v>
      </c>
      <c r="AA78">
        <v>18173.059222143376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 s="7">
        <v>46231.671967592592</v>
      </c>
    </row>
    <row r="79" spans="1:35">
      <c r="A79" t="s">
        <v>112</v>
      </c>
      <c r="B79">
        <v>70</v>
      </c>
      <c r="C79">
        <v>70</v>
      </c>
      <c r="D79">
        <v>1</v>
      </c>
      <c r="E79">
        <v>40807937.203199998</v>
      </c>
      <c r="F79">
        <v>40807937.200278476</v>
      </c>
      <c r="G79">
        <v>9568067.2537766844</v>
      </c>
      <c r="H79">
        <v>969223.91742479138</v>
      </c>
      <c r="I79">
        <v>0</v>
      </c>
      <c r="J79">
        <v>2242692.1594112106</v>
      </c>
      <c r="K79">
        <v>2604223.3042848771</v>
      </c>
      <c r="L79">
        <v>1779405.984069254</v>
      </c>
      <c r="M79">
        <v>1489549.2332063951</v>
      </c>
      <c r="N79">
        <v>19998726.443307262</v>
      </c>
      <c r="O79">
        <v>19998726.443307262</v>
      </c>
      <c r="P79">
        <v>1178703.7357226678</v>
      </c>
      <c r="Q79">
        <v>7312780.4195168838</v>
      </c>
      <c r="R79">
        <v>793818.1528638819</v>
      </c>
      <c r="S79">
        <v>186344.80825849492</v>
      </c>
      <c r="T79">
        <v>16621.7257739419</v>
      </c>
      <c r="U79">
        <v>0</v>
      </c>
      <c r="V79">
        <v>122843.25538452232</v>
      </c>
      <c r="W79">
        <v>0</v>
      </c>
      <c r="X79">
        <v>29090.990735277152</v>
      </c>
      <c r="Y79">
        <v>0</v>
      </c>
      <c r="Z79">
        <v>3529626.3303320319</v>
      </c>
      <c r="AA79">
        <v>43835.973193318547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 s="7">
        <v>46231.672013888892</v>
      </c>
    </row>
    <row r="80" spans="1:35">
      <c r="A80" t="s">
        <v>113</v>
      </c>
      <c r="B80">
        <v>71</v>
      </c>
      <c r="C80">
        <v>71</v>
      </c>
      <c r="D80">
        <v>1</v>
      </c>
      <c r="E80">
        <v>1179695.4062999999</v>
      </c>
      <c r="F80">
        <v>1179695.4034764171</v>
      </c>
      <c r="G80">
        <v>1119162.2874924983</v>
      </c>
      <c r="H80">
        <v>17499.999751533127</v>
      </c>
      <c r="I80">
        <v>0</v>
      </c>
      <c r="J80">
        <v>105249.89202472549</v>
      </c>
      <c r="K80">
        <v>353345.91710257676</v>
      </c>
      <c r="L80">
        <v>50597.32702900211</v>
      </c>
      <c r="M80">
        <v>50597.32702900211</v>
      </c>
      <c r="N80">
        <v>16374.383666642001</v>
      </c>
      <c r="O80">
        <v>16374.383666642001</v>
      </c>
      <c r="P80">
        <v>522469.1525785281</v>
      </c>
      <c r="Q80">
        <v>44158.732317276706</v>
      </c>
      <c r="R80">
        <v>69999.999006132493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 s="7">
        <v>46231.672060185185</v>
      </c>
    </row>
    <row r="81" spans="1:35">
      <c r="A81" t="s">
        <v>114</v>
      </c>
      <c r="B81">
        <v>72</v>
      </c>
      <c r="C81">
        <v>72</v>
      </c>
      <c r="D81">
        <v>1</v>
      </c>
      <c r="E81">
        <v>982151.24829999998</v>
      </c>
      <c r="F81">
        <v>982151.25024318462</v>
      </c>
      <c r="G81">
        <v>895747.76170390507</v>
      </c>
      <c r="H81">
        <v>16840.777575637068</v>
      </c>
      <c r="I81">
        <v>0</v>
      </c>
      <c r="J81">
        <v>108863.56274336886</v>
      </c>
      <c r="K81">
        <v>309119.98158057209</v>
      </c>
      <c r="L81">
        <v>33266.466243892464</v>
      </c>
      <c r="M81">
        <v>33266.466243892464</v>
      </c>
      <c r="N81">
        <v>32184.096705909724</v>
      </c>
      <c r="O81">
        <v>32184.096705909724</v>
      </c>
      <c r="P81">
        <v>377090.03173907183</v>
      </c>
      <c r="Q81">
        <v>54219.391833369409</v>
      </c>
      <c r="R81">
        <v>50566.941821362889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 s="7">
        <v>46231.672118055554</v>
      </c>
    </row>
    <row r="82" spans="1:35">
      <c r="A82" t="s">
        <v>115</v>
      </c>
      <c r="B82">
        <v>73</v>
      </c>
      <c r="C82">
        <v>73</v>
      </c>
      <c r="D82">
        <v>1</v>
      </c>
      <c r="E82">
        <v>1179695.4062999999</v>
      </c>
      <c r="F82">
        <v>1179695.4034764171</v>
      </c>
      <c r="G82">
        <v>1119162.2874924983</v>
      </c>
      <c r="H82">
        <v>17499.999751533127</v>
      </c>
      <c r="I82">
        <v>0</v>
      </c>
      <c r="J82">
        <v>105249.89202472549</v>
      </c>
      <c r="K82">
        <v>353345.91710257676</v>
      </c>
      <c r="L82">
        <v>50597.32702900211</v>
      </c>
      <c r="M82">
        <v>50597.32702900211</v>
      </c>
      <c r="N82">
        <v>16374.383666642001</v>
      </c>
      <c r="O82">
        <v>16374.383666642001</v>
      </c>
      <c r="P82">
        <v>522469.1525785281</v>
      </c>
      <c r="Q82">
        <v>44158.732317276706</v>
      </c>
      <c r="R82">
        <v>69999.999006132493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 s="7">
        <v>46231.672175925924</v>
      </c>
    </row>
    <row r="83" spans="1:35">
      <c r="A83" t="s">
        <v>116</v>
      </c>
      <c r="B83">
        <v>74</v>
      </c>
      <c r="C83">
        <v>74</v>
      </c>
      <c r="D83">
        <v>1</v>
      </c>
      <c r="E83">
        <v>2946453.7529000002</v>
      </c>
      <c r="F83">
        <v>2946453.7507295506</v>
      </c>
      <c r="G83">
        <v>2687243.2851117146</v>
      </c>
      <c r="H83">
        <v>50522.33272691122</v>
      </c>
      <c r="I83">
        <v>0</v>
      </c>
      <c r="J83">
        <v>326590.68823010661</v>
      </c>
      <c r="K83">
        <v>927359.94474171696</v>
      </c>
      <c r="L83">
        <v>99799.3987316774</v>
      </c>
      <c r="M83">
        <v>99799.3987316774</v>
      </c>
      <c r="N83">
        <v>96552.290117729193</v>
      </c>
      <c r="O83">
        <v>96552.290117729193</v>
      </c>
      <c r="P83">
        <v>1131270.0952172175</v>
      </c>
      <c r="Q83">
        <v>162658.17550010825</v>
      </c>
      <c r="R83">
        <v>151700.82546408867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 s="7">
        <v>46231.672233796293</v>
      </c>
    </row>
    <row r="84" spans="1:35">
      <c r="A84" t="s">
        <v>117</v>
      </c>
      <c r="B84">
        <v>75</v>
      </c>
      <c r="C84">
        <v>75</v>
      </c>
      <c r="D84">
        <v>1</v>
      </c>
      <c r="E84">
        <v>579427.98540000001</v>
      </c>
      <c r="F84">
        <v>579427.98477212142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336988.60641343979</v>
      </c>
      <c r="T84">
        <v>69958.189829304771</v>
      </c>
      <c r="U84">
        <v>0</v>
      </c>
      <c r="V84">
        <v>0</v>
      </c>
      <c r="W84">
        <v>0</v>
      </c>
      <c r="X84">
        <v>172481.18852937693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 s="7">
        <v>46231.672291666669</v>
      </c>
    </row>
    <row r="85" spans="1:35">
      <c r="A85" t="s">
        <v>118</v>
      </c>
      <c r="B85">
        <v>76</v>
      </c>
      <c r="C85">
        <v>76</v>
      </c>
      <c r="D85">
        <v>1</v>
      </c>
      <c r="E85">
        <v>797201.96710000001</v>
      </c>
      <c r="F85">
        <v>797201.96669210948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589881.5115930523</v>
      </c>
      <c r="T85">
        <v>57507.683529186572</v>
      </c>
      <c r="U85">
        <v>0</v>
      </c>
      <c r="V85">
        <v>0</v>
      </c>
      <c r="W85">
        <v>0</v>
      </c>
      <c r="X85">
        <v>149812.77156987053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 s="7">
        <v>46231.672349537039</v>
      </c>
    </row>
    <row r="86" spans="1:35">
      <c r="A86" t="s">
        <v>119</v>
      </c>
      <c r="B86">
        <v>77</v>
      </c>
      <c r="C86">
        <v>77</v>
      </c>
      <c r="D86">
        <v>1</v>
      </c>
      <c r="E86">
        <v>3823343.3997</v>
      </c>
      <c r="F86">
        <v>3823343.396691822</v>
      </c>
      <c r="G86">
        <v>3471124.4289265433</v>
      </c>
      <c r="H86">
        <v>2405161.9754345808</v>
      </c>
      <c r="I86">
        <v>0</v>
      </c>
      <c r="J86">
        <v>185404.69781576932</v>
      </c>
      <c r="K86">
        <v>359332.5194462224</v>
      </c>
      <c r="L86">
        <v>153781.50358479851</v>
      </c>
      <c r="M86">
        <v>128476.16614668019</v>
      </c>
      <c r="N86">
        <v>0</v>
      </c>
      <c r="O86">
        <v>0</v>
      </c>
      <c r="P86">
        <v>262519.13034896</v>
      </c>
      <c r="Q86">
        <v>0</v>
      </c>
      <c r="R86">
        <v>104924.60229621165</v>
      </c>
      <c r="S86">
        <v>318032.04653897847</v>
      </c>
      <c r="T86">
        <v>2270.9458576259281</v>
      </c>
      <c r="U86">
        <v>0</v>
      </c>
      <c r="V86">
        <v>22954.303173923709</v>
      </c>
      <c r="W86">
        <v>0</v>
      </c>
      <c r="X86">
        <v>2913.718848261185</v>
      </c>
      <c r="Y86">
        <v>0</v>
      </c>
      <c r="Z86">
        <v>0</v>
      </c>
      <c r="AA86">
        <v>6047.9533464705273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 s="7">
        <v>46231.672407407408</v>
      </c>
    </row>
    <row r="87" spans="1:35">
      <c r="A87" t="s">
        <v>120</v>
      </c>
      <c r="B87">
        <v>78</v>
      </c>
      <c r="C87">
        <v>78</v>
      </c>
      <c r="D87">
        <v>1</v>
      </c>
      <c r="E87">
        <v>3024183.0151</v>
      </c>
      <c r="F87">
        <v>3024183.0370699787</v>
      </c>
      <c r="G87">
        <v>2730276.5074777533</v>
      </c>
      <c r="H87">
        <v>1781339.8164484242</v>
      </c>
      <c r="I87">
        <v>0</v>
      </c>
      <c r="J87">
        <v>191382.61617163493</v>
      </c>
      <c r="K87">
        <v>314251.62882644543</v>
      </c>
      <c r="L87">
        <v>157989.04933599677</v>
      </c>
      <c r="M87">
        <v>124958.25282250902</v>
      </c>
      <c r="N87">
        <v>0</v>
      </c>
      <c r="O87">
        <v>0</v>
      </c>
      <c r="P87">
        <v>193404.2569779153</v>
      </c>
      <c r="Q87">
        <v>0</v>
      </c>
      <c r="R87">
        <v>91909.139717321494</v>
      </c>
      <c r="S87">
        <v>256850.15210575148</v>
      </c>
      <c r="T87">
        <v>3593.3395065534582</v>
      </c>
      <c r="U87">
        <v>0</v>
      </c>
      <c r="V87">
        <v>15939.526680895644</v>
      </c>
      <c r="W87">
        <v>0</v>
      </c>
      <c r="X87">
        <v>14975.559254061234</v>
      </c>
      <c r="Y87">
        <v>0</v>
      </c>
      <c r="Z87">
        <v>0</v>
      </c>
      <c r="AA87">
        <v>2547.9520449582806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 s="7">
        <v>46231.672465277778</v>
      </c>
    </row>
    <row r="88" spans="1:35">
      <c r="A88" t="s">
        <v>121</v>
      </c>
      <c r="B88">
        <v>79</v>
      </c>
      <c r="C88">
        <v>79</v>
      </c>
      <c r="D88">
        <v>1</v>
      </c>
      <c r="E88">
        <v>973537.92729999998</v>
      </c>
      <c r="F88">
        <v>973537.92852522549</v>
      </c>
      <c r="G88">
        <v>692880.77040113718</v>
      </c>
      <c r="H88">
        <v>98167.829129221864</v>
      </c>
      <c r="I88">
        <v>0</v>
      </c>
      <c r="J88">
        <v>89145.555018369123</v>
      </c>
      <c r="K88">
        <v>135644.67596407016</v>
      </c>
      <c r="L88">
        <v>2806.4529830391621</v>
      </c>
      <c r="M88">
        <v>1741.7345216774038</v>
      </c>
      <c r="N88">
        <v>0</v>
      </c>
      <c r="O88">
        <v>0</v>
      </c>
      <c r="P88">
        <v>247334.72594942874</v>
      </c>
      <c r="Q88">
        <v>0</v>
      </c>
      <c r="R88">
        <v>119781.53135700829</v>
      </c>
      <c r="S88">
        <v>202467.33562727892</v>
      </c>
      <c r="T88">
        <v>19219.677698518266</v>
      </c>
      <c r="U88">
        <v>0</v>
      </c>
      <c r="V88">
        <v>0</v>
      </c>
      <c r="W88">
        <v>0</v>
      </c>
      <c r="X88">
        <v>58970.14479829152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 s="7">
        <v>46231.672523148147</v>
      </c>
    </row>
    <row r="89" spans="1:35">
      <c r="A89" t="s">
        <v>122</v>
      </c>
      <c r="B89">
        <v>80</v>
      </c>
      <c r="C89">
        <v>80</v>
      </c>
      <c r="D89">
        <v>1</v>
      </c>
      <c r="E89">
        <v>966830.90139999997</v>
      </c>
      <c r="F89">
        <v>966830.9029328787</v>
      </c>
      <c r="G89">
        <v>538363.86075170676</v>
      </c>
      <c r="H89">
        <v>47477.402715053693</v>
      </c>
      <c r="I89">
        <v>0</v>
      </c>
      <c r="J89">
        <v>110949.33148908011</v>
      </c>
      <c r="K89">
        <v>79727.738521351115</v>
      </c>
      <c r="L89">
        <v>0</v>
      </c>
      <c r="M89">
        <v>0</v>
      </c>
      <c r="N89">
        <v>298068.30244629167</v>
      </c>
      <c r="O89">
        <v>298068.30244629167</v>
      </c>
      <c r="P89">
        <v>238543.02073155795</v>
      </c>
      <c r="Q89">
        <v>16835.220223444408</v>
      </c>
      <c r="R89">
        <v>61666.367294663774</v>
      </c>
      <c r="S89">
        <v>0</v>
      </c>
      <c r="T89">
        <v>19192.596401577935</v>
      </c>
      <c r="U89">
        <v>0</v>
      </c>
      <c r="V89">
        <v>0</v>
      </c>
      <c r="W89">
        <v>0</v>
      </c>
      <c r="X89">
        <v>94370.923109857948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 s="7">
        <v>46231.672569444447</v>
      </c>
    </row>
    <row r="90" spans="1:35">
      <c r="A90" t="s">
        <v>123</v>
      </c>
      <c r="B90">
        <v>81</v>
      </c>
      <c r="C90">
        <v>81</v>
      </c>
      <c r="D90">
        <v>1</v>
      </c>
      <c r="E90">
        <v>1208538.6507000001</v>
      </c>
      <c r="F90">
        <v>1208538.6498155245</v>
      </c>
      <c r="G90">
        <v>672954.83771634335</v>
      </c>
      <c r="H90">
        <v>59346.754432385336</v>
      </c>
      <c r="I90">
        <v>0</v>
      </c>
      <c r="J90">
        <v>138686.66678836689</v>
      </c>
      <c r="K90">
        <v>99659.674895733231</v>
      </c>
      <c r="L90">
        <v>0</v>
      </c>
      <c r="M90">
        <v>0</v>
      </c>
      <c r="N90">
        <v>372585.38457810908</v>
      </c>
      <c r="O90">
        <v>372585.38457810908</v>
      </c>
      <c r="P90">
        <v>298178.78113257635</v>
      </c>
      <c r="Q90">
        <v>21044.025647575967</v>
      </c>
      <c r="R90">
        <v>77082.960467281548</v>
      </c>
      <c r="S90">
        <v>0</v>
      </c>
      <c r="T90">
        <v>23990.745921810478</v>
      </c>
      <c r="U90">
        <v>0</v>
      </c>
      <c r="V90">
        <v>0</v>
      </c>
      <c r="W90">
        <v>0</v>
      </c>
      <c r="X90">
        <v>117963.65595168645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 s="7">
        <v>46231.67260416667</v>
      </c>
    </row>
    <row r="91" spans="1:35">
      <c r="A91" t="s">
        <v>124</v>
      </c>
      <c r="B91">
        <v>82</v>
      </c>
      <c r="C91">
        <v>82</v>
      </c>
      <c r="D91">
        <v>1</v>
      </c>
      <c r="E91">
        <v>1845150.0385</v>
      </c>
      <c r="F91">
        <v>1845150.0408307789</v>
      </c>
      <c r="G91">
        <v>683694.58494777093</v>
      </c>
      <c r="H91">
        <v>68079.552206332213</v>
      </c>
      <c r="I91">
        <v>0</v>
      </c>
      <c r="J91">
        <v>139390.84761946925</v>
      </c>
      <c r="K91">
        <v>125519.65915414198</v>
      </c>
      <c r="L91">
        <v>2279.5821285633015</v>
      </c>
      <c r="M91">
        <v>2279.5821285633015</v>
      </c>
      <c r="N91">
        <v>992674.15883066086</v>
      </c>
      <c r="O91">
        <v>992674.15883066086</v>
      </c>
      <c r="P91">
        <v>233342.62120796833</v>
      </c>
      <c r="Q91">
        <v>45723.702836101242</v>
      </c>
      <c r="R91">
        <v>115082.32263129624</v>
      </c>
      <c r="S91">
        <v>25394.020409521207</v>
      </c>
      <c r="T91">
        <v>17484.364995361178</v>
      </c>
      <c r="U91">
        <v>0</v>
      </c>
      <c r="V91">
        <v>0</v>
      </c>
      <c r="W91">
        <v>0</v>
      </c>
      <c r="X91">
        <v>80179.208811359815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 s="7">
        <v>46231.672650462962</v>
      </c>
    </row>
    <row r="92" spans="1:35">
      <c r="A92" t="s">
        <v>125</v>
      </c>
      <c r="B92">
        <v>83</v>
      </c>
      <c r="C92">
        <v>83</v>
      </c>
      <c r="D92">
        <v>1</v>
      </c>
      <c r="E92">
        <v>4494025.4387999997</v>
      </c>
      <c r="F92">
        <v>4494025.4389544223</v>
      </c>
      <c r="G92">
        <v>2250238.6060147192</v>
      </c>
      <c r="H92">
        <v>173627.05480029888</v>
      </c>
      <c r="I92">
        <v>0</v>
      </c>
      <c r="J92">
        <v>444059.97051960841</v>
      </c>
      <c r="K92">
        <v>500439.76735696086</v>
      </c>
      <c r="L92">
        <v>0</v>
      </c>
      <c r="M92">
        <v>0</v>
      </c>
      <c r="N92">
        <v>1200419.0010278323</v>
      </c>
      <c r="O92">
        <v>1200419.0010278323</v>
      </c>
      <c r="P92">
        <v>827470.80002744542</v>
      </c>
      <c r="Q92">
        <v>696186.85468655941</v>
      </c>
      <c r="R92">
        <v>304641.01331040543</v>
      </c>
      <c r="S92">
        <v>11201.119163712478</v>
      </c>
      <c r="T92">
        <v>60000</v>
      </c>
      <c r="U92">
        <v>0</v>
      </c>
      <c r="V92">
        <v>0</v>
      </c>
      <c r="W92">
        <v>0</v>
      </c>
      <c r="X92">
        <v>275979.85806159832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 s="7">
        <v>46231.672696759262</v>
      </c>
    </row>
    <row r="93" spans="1:35">
      <c r="A93" t="s">
        <v>126</v>
      </c>
      <c r="B93">
        <v>84</v>
      </c>
      <c r="C93">
        <v>84</v>
      </c>
      <c r="D93">
        <v>1</v>
      </c>
      <c r="E93">
        <v>3433268.8933000001</v>
      </c>
      <c r="F93">
        <v>3433268.8933354067</v>
      </c>
      <c r="G93">
        <v>1294716.7495251256</v>
      </c>
      <c r="H93">
        <v>140974.75351945599</v>
      </c>
      <c r="I93">
        <v>0</v>
      </c>
      <c r="J93">
        <v>267645.26884192368</v>
      </c>
      <c r="K93">
        <v>264496.95339651726</v>
      </c>
      <c r="L93">
        <v>9034.0256410362908</v>
      </c>
      <c r="M93">
        <v>9034.0256410362908</v>
      </c>
      <c r="N93">
        <v>1501763.0621609469</v>
      </c>
      <c r="O93">
        <v>1501763.0621609469</v>
      </c>
      <c r="P93">
        <v>401669.25328856171</v>
      </c>
      <c r="Q93">
        <v>451085.36802252609</v>
      </c>
      <c r="R93">
        <v>210896.49483763071</v>
      </c>
      <c r="S93">
        <v>36311.362997462624</v>
      </c>
      <c r="T93">
        <v>27681.874213448602</v>
      </c>
      <c r="U93">
        <v>0</v>
      </c>
      <c r="V93">
        <v>0</v>
      </c>
      <c r="W93">
        <v>0</v>
      </c>
      <c r="X93">
        <v>121710.47641589846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 s="7">
        <v>46231.672731481478</v>
      </c>
    </row>
    <row r="94" spans="1:35">
      <c r="A94" t="s">
        <v>127</v>
      </c>
      <c r="B94">
        <v>85</v>
      </c>
      <c r="C94">
        <v>85</v>
      </c>
      <c r="D94">
        <v>1</v>
      </c>
      <c r="E94">
        <v>1464987.2631999999</v>
      </c>
      <c r="F94">
        <v>1464987.2630665828</v>
      </c>
      <c r="G94">
        <v>876134.97153335763</v>
      </c>
      <c r="H94">
        <v>552990.99782234454</v>
      </c>
      <c r="I94">
        <v>0</v>
      </c>
      <c r="J94">
        <v>23256.222397428395</v>
      </c>
      <c r="K94">
        <v>50585.447552674021</v>
      </c>
      <c r="L94">
        <v>11433.830827975991</v>
      </c>
      <c r="M94">
        <v>10378.583022623303</v>
      </c>
      <c r="N94">
        <v>0</v>
      </c>
      <c r="O94">
        <v>0</v>
      </c>
      <c r="P94">
        <v>195858.03434909275</v>
      </c>
      <c r="Q94">
        <v>0</v>
      </c>
      <c r="R94">
        <v>42010.438583842057</v>
      </c>
      <c r="S94">
        <v>410887.79462050792</v>
      </c>
      <c r="T94">
        <v>63653.914737662912</v>
      </c>
      <c r="U94">
        <v>0</v>
      </c>
      <c r="V94">
        <v>6881.1498045204889</v>
      </c>
      <c r="W94">
        <v>0</v>
      </c>
      <c r="X94">
        <v>107429.43237053356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 s="7">
        <v>46231.672766203701</v>
      </c>
    </row>
    <row r="95" spans="1:35">
      <c r="A95" t="s">
        <v>128</v>
      </c>
      <c r="B95">
        <v>86</v>
      </c>
      <c r="C95">
        <v>86</v>
      </c>
      <c r="D95">
        <v>1</v>
      </c>
      <c r="E95">
        <v>4032229.9281000001</v>
      </c>
      <c r="F95">
        <v>4032229.9212921564</v>
      </c>
      <c r="G95">
        <v>2709938.9480657186</v>
      </c>
      <c r="H95">
        <v>1616424.789857443</v>
      </c>
      <c r="I95">
        <v>0</v>
      </c>
      <c r="J95">
        <v>99182.712008066956</v>
      </c>
      <c r="K95">
        <v>304988.01302518439</v>
      </c>
      <c r="L95">
        <v>51599.951064929715</v>
      </c>
      <c r="M95">
        <v>43714.302138711413</v>
      </c>
      <c r="N95">
        <v>0</v>
      </c>
      <c r="O95">
        <v>0</v>
      </c>
      <c r="P95">
        <v>497968.30137830274</v>
      </c>
      <c r="Q95">
        <v>0</v>
      </c>
      <c r="R95">
        <v>139775.1807317842</v>
      </c>
      <c r="S95">
        <v>898429.59847375925</v>
      </c>
      <c r="T95">
        <v>112530.76257137158</v>
      </c>
      <c r="U95">
        <v>0</v>
      </c>
      <c r="V95">
        <v>35843.715567570551</v>
      </c>
      <c r="W95">
        <v>0</v>
      </c>
      <c r="X95">
        <v>275486.8966137261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 s="7">
        <v>46231.672800925924</v>
      </c>
    </row>
    <row r="96" spans="1:35">
      <c r="A96" t="s">
        <v>129</v>
      </c>
      <c r="B96">
        <v>87</v>
      </c>
      <c r="C96">
        <v>87</v>
      </c>
      <c r="D96">
        <v>1</v>
      </c>
      <c r="E96">
        <v>3112805.7719999999</v>
      </c>
      <c r="F96">
        <v>3112805.7677502353</v>
      </c>
      <c r="G96">
        <v>1926930.8012148868</v>
      </c>
      <c r="H96">
        <v>1190970.0737223967</v>
      </c>
      <c r="I96">
        <v>0</v>
      </c>
      <c r="J96">
        <v>53030.425708110241</v>
      </c>
      <c r="K96">
        <v>199077.81928542329</v>
      </c>
      <c r="L96">
        <v>7713.1780720584329</v>
      </c>
      <c r="M96">
        <v>7713.1780720584329</v>
      </c>
      <c r="N96">
        <v>0</v>
      </c>
      <c r="O96">
        <v>0</v>
      </c>
      <c r="P96">
        <v>396849.15504139202</v>
      </c>
      <c r="Q96">
        <v>0</v>
      </c>
      <c r="R96">
        <v>79290.149385504905</v>
      </c>
      <c r="S96">
        <v>852455.18215471634</v>
      </c>
      <c r="T96">
        <v>124075.06396102249</v>
      </c>
      <c r="U96">
        <v>0</v>
      </c>
      <c r="V96">
        <v>5110.9030622893479</v>
      </c>
      <c r="W96">
        <v>0</v>
      </c>
      <c r="X96">
        <v>204233.81735731318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 s="7">
        <v>46231.672847222224</v>
      </c>
    </row>
    <row r="97" spans="1:35">
      <c r="A97" t="s">
        <v>130</v>
      </c>
      <c r="B97">
        <v>88</v>
      </c>
      <c r="C97">
        <v>88</v>
      </c>
      <c r="D97">
        <v>1</v>
      </c>
      <c r="E97">
        <v>4329453.3214999996</v>
      </c>
      <c r="F97">
        <v>4329453.3226390118</v>
      </c>
      <c r="G97">
        <v>2902741.1072187871</v>
      </c>
      <c r="H97">
        <v>1715742.9531716241</v>
      </c>
      <c r="I97">
        <v>0</v>
      </c>
      <c r="J97">
        <v>122050.10128640202</v>
      </c>
      <c r="K97">
        <v>350966.33561966574</v>
      </c>
      <c r="L97">
        <v>57593.505991408216</v>
      </c>
      <c r="M97">
        <v>49788.848774366306</v>
      </c>
      <c r="N97">
        <v>0</v>
      </c>
      <c r="O97">
        <v>0</v>
      </c>
      <c r="P97">
        <v>507762.20356686314</v>
      </c>
      <c r="Q97">
        <v>0</v>
      </c>
      <c r="R97">
        <v>148626.00758283384</v>
      </c>
      <c r="S97">
        <v>1002545.9820020527</v>
      </c>
      <c r="T97">
        <v>130109.29261755233</v>
      </c>
      <c r="U97">
        <v>0</v>
      </c>
      <c r="V97">
        <v>29077.186151503171</v>
      </c>
      <c r="W97">
        <v>0</v>
      </c>
      <c r="X97">
        <v>264979.7546491347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 s="7">
        <v>46231.672881944447</v>
      </c>
    </row>
    <row r="98" spans="1:35">
      <c r="A98" t="s">
        <v>131</v>
      </c>
      <c r="B98">
        <v>89</v>
      </c>
      <c r="C98">
        <v>89</v>
      </c>
      <c r="D98">
        <v>1</v>
      </c>
      <c r="E98">
        <v>1464987.2631999999</v>
      </c>
      <c r="F98">
        <v>1464987.2630665828</v>
      </c>
      <c r="G98">
        <v>876134.97153335763</v>
      </c>
      <c r="H98">
        <v>552990.99782234454</v>
      </c>
      <c r="I98">
        <v>0</v>
      </c>
      <c r="J98">
        <v>23256.222397428395</v>
      </c>
      <c r="K98">
        <v>50585.447552674021</v>
      </c>
      <c r="L98">
        <v>11433.830827975991</v>
      </c>
      <c r="M98">
        <v>10378.583022623303</v>
      </c>
      <c r="N98">
        <v>0</v>
      </c>
      <c r="O98">
        <v>0</v>
      </c>
      <c r="P98">
        <v>195858.03434909275</v>
      </c>
      <c r="Q98">
        <v>0</v>
      </c>
      <c r="R98">
        <v>42010.438583842057</v>
      </c>
      <c r="S98">
        <v>410887.79462050792</v>
      </c>
      <c r="T98">
        <v>63653.914737662912</v>
      </c>
      <c r="U98">
        <v>0</v>
      </c>
      <c r="V98">
        <v>6881.1498045204889</v>
      </c>
      <c r="W98">
        <v>0</v>
      </c>
      <c r="X98">
        <v>107429.43237053356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 s="7">
        <v>46231.67291666667</v>
      </c>
    </row>
    <row r="99" spans="1:35">
      <c r="A99" t="s">
        <v>132</v>
      </c>
      <c r="B99">
        <v>90</v>
      </c>
      <c r="C99">
        <v>90</v>
      </c>
      <c r="D99">
        <v>1</v>
      </c>
      <c r="E99">
        <v>4032229.9281000001</v>
      </c>
      <c r="F99">
        <v>4032229.9212921564</v>
      </c>
      <c r="G99">
        <v>2709938.9480657186</v>
      </c>
      <c r="H99">
        <v>1616424.789857443</v>
      </c>
      <c r="I99">
        <v>0</v>
      </c>
      <c r="J99">
        <v>99182.712008066956</v>
      </c>
      <c r="K99">
        <v>304988.01302518439</v>
      </c>
      <c r="L99">
        <v>51599.951064929715</v>
      </c>
      <c r="M99">
        <v>43714.302138711413</v>
      </c>
      <c r="N99">
        <v>0</v>
      </c>
      <c r="O99">
        <v>0</v>
      </c>
      <c r="P99">
        <v>497968.30137830274</v>
      </c>
      <c r="Q99">
        <v>0</v>
      </c>
      <c r="R99">
        <v>139775.1807317842</v>
      </c>
      <c r="S99">
        <v>898429.59847375925</v>
      </c>
      <c r="T99">
        <v>112530.76257137158</v>
      </c>
      <c r="U99">
        <v>0</v>
      </c>
      <c r="V99">
        <v>35843.715567570551</v>
      </c>
      <c r="W99">
        <v>0</v>
      </c>
      <c r="X99">
        <v>275486.8966137261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 s="7">
        <v>46231.672962962963</v>
      </c>
    </row>
    <row r="100" spans="1:35">
      <c r="A100" t="s">
        <v>133</v>
      </c>
      <c r="B100">
        <v>91</v>
      </c>
      <c r="C100">
        <v>91</v>
      </c>
      <c r="D100">
        <v>1</v>
      </c>
      <c r="E100">
        <v>3112805.7719999999</v>
      </c>
      <c r="F100">
        <v>3112805.7677502353</v>
      </c>
      <c r="G100">
        <v>1926930.8012148868</v>
      </c>
      <c r="H100">
        <v>1190970.0737223967</v>
      </c>
      <c r="I100">
        <v>0</v>
      </c>
      <c r="J100">
        <v>53030.425708110241</v>
      </c>
      <c r="K100">
        <v>199077.81928542329</v>
      </c>
      <c r="L100">
        <v>7713.1780720584329</v>
      </c>
      <c r="M100">
        <v>7713.1780720584329</v>
      </c>
      <c r="N100">
        <v>0</v>
      </c>
      <c r="O100">
        <v>0</v>
      </c>
      <c r="P100">
        <v>396849.15504139202</v>
      </c>
      <c r="Q100">
        <v>0</v>
      </c>
      <c r="R100">
        <v>79290.149385504905</v>
      </c>
      <c r="S100">
        <v>852455.18215471634</v>
      </c>
      <c r="T100">
        <v>124075.06396102249</v>
      </c>
      <c r="U100">
        <v>0</v>
      </c>
      <c r="V100">
        <v>5110.9030622893479</v>
      </c>
      <c r="W100">
        <v>0</v>
      </c>
      <c r="X100">
        <v>204233.81735731318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 s="7">
        <v>46231.673020833332</v>
      </c>
    </row>
    <row r="101" spans="1:35">
      <c r="A101" t="s">
        <v>134</v>
      </c>
      <c r="B101">
        <v>92</v>
      </c>
      <c r="C101">
        <v>92</v>
      </c>
      <c r="D101">
        <v>1</v>
      </c>
      <c r="E101">
        <v>4329453.3214999996</v>
      </c>
      <c r="F101">
        <v>4329453.3226390118</v>
      </c>
      <c r="G101">
        <v>2902741.1072187871</v>
      </c>
      <c r="H101">
        <v>1715742.9531716241</v>
      </c>
      <c r="I101">
        <v>0</v>
      </c>
      <c r="J101">
        <v>122050.10128640202</v>
      </c>
      <c r="K101">
        <v>350966.33561966574</v>
      </c>
      <c r="L101">
        <v>57593.505991408216</v>
      </c>
      <c r="M101">
        <v>49788.848774366306</v>
      </c>
      <c r="N101">
        <v>0</v>
      </c>
      <c r="O101">
        <v>0</v>
      </c>
      <c r="P101">
        <v>507762.20356686314</v>
      </c>
      <c r="Q101">
        <v>0</v>
      </c>
      <c r="R101">
        <v>148626.00758283384</v>
      </c>
      <c r="S101">
        <v>1002545.9820020527</v>
      </c>
      <c r="T101">
        <v>130109.29261755233</v>
      </c>
      <c r="U101">
        <v>0</v>
      </c>
      <c r="V101">
        <v>29077.186151503171</v>
      </c>
      <c r="W101">
        <v>0</v>
      </c>
      <c r="X101">
        <v>264979.7546491347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 s="7">
        <v>46231.673067129632</v>
      </c>
    </row>
    <row r="102" spans="1:35">
      <c r="A102" t="s">
        <v>135</v>
      </c>
      <c r="B102">
        <v>93</v>
      </c>
      <c r="C102">
        <v>93</v>
      </c>
      <c r="D102">
        <v>1</v>
      </c>
      <c r="E102">
        <v>1516723.1695999999</v>
      </c>
      <c r="F102">
        <v>1516723.1734199394</v>
      </c>
      <c r="G102">
        <v>952789.62804959377</v>
      </c>
      <c r="H102">
        <v>583437.18964131991</v>
      </c>
      <c r="I102">
        <v>0</v>
      </c>
      <c r="J102">
        <v>28882.173446108776</v>
      </c>
      <c r="K102">
        <v>105779.67854905842</v>
      </c>
      <c r="L102">
        <v>4779.0930029634092</v>
      </c>
      <c r="M102">
        <v>4779.0930029634092</v>
      </c>
      <c r="N102">
        <v>0</v>
      </c>
      <c r="O102">
        <v>0</v>
      </c>
      <c r="P102">
        <v>190382.6780798118</v>
      </c>
      <c r="Q102">
        <v>0</v>
      </c>
      <c r="R102">
        <v>39528.815330331337</v>
      </c>
      <c r="S102">
        <v>398395.84723324334</v>
      </c>
      <c r="T102">
        <v>58218.983604914189</v>
      </c>
      <c r="U102">
        <v>0</v>
      </c>
      <c r="V102">
        <v>3030.7163832173173</v>
      </c>
      <c r="W102">
        <v>0</v>
      </c>
      <c r="X102">
        <v>104287.99814897066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 s="7">
        <v>46231.673125000001</v>
      </c>
    </row>
    <row r="103" spans="1:35">
      <c r="A103" t="s">
        <v>136</v>
      </c>
      <c r="B103">
        <v>94</v>
      </c>
      <c r="C103">
        <v>94</v>
      </c>
      <c r="D103">
        <v>1</v>
      </c>
      <c r="E103">
        <v>3016531.2423</v>
      </c>
      <c r="F103">
        <v>3016531.2373322602</v>
      </c>
      <c r="G103">
        <v>1922348.9711614735</v>
      </c>
      <c r="H103">
        <v>1175934.8381818985</v>
      </c>
      <c r="I103">
        <v>0</v>
      </c>
      <c r="J103">
        <v>60288.020209876522</v>
      </c>
      <c r="K103">
        <v>224753.19322239823</v>
      </c>
      <c r="L103">
        <v>11594.232197326284</v>
      </c>
      <c r="M103">
        <v>11594.232197326284</v>
      </c>
      <c r="N103">
        <v>0</v>
      </c>
      <c r="O103">
        <v>0</v>
      </c>
      <c r="P103">
        <v>367274.86197725579</v>
      </c>
      <c r="Q103">
        <v>0</v>
      </c>
      <c r="R103">
        <v>82503.825372718478</v>
      </c>
      <c r="S103">
        <v>768389.02041449188</v>
      </c>
      <c r="T103">
        <v>109300.35667666902</v>
      </c>
      <c r="U103">
        <v>0</v>
      </c>
      <c r="V103">
        <v>8844.4893383387425</v>
      </c>
      <c r="W103">
        <v>0</v>
      </c>
      <c r="X103">
        <v>207648.3997412794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 s="7">
        <v>46231.673171296294</v>
      </c>
    </row>
    <row r="104" spans="1:35">
      <c r="A104" t="s">
        <v>137</v>
      </c>
      <c r="B104">
        <v>95</v>
      </c>
      <c r="C104">
        <v>95</v>
      </c>
      <c r="D104">
        <v>1</v>
      </c>
      <c r="E104">
        <v>13115199.161800001</v>
      </c>
      <c r="F104">
        <v>13115199.161115566</v>
      </c>
      <c r="G104">
        <v>9188157.0570833199</v>
      </c>
      <c r="H104">
        <v>4540804.7589868763</v>
      </c>
      <c r="I104">
        <v>0</v>
      </c>
      <c r="J104">
        <v>704202.43044756795</v>
      </c>
      <c r="K104">
        <v>1407933.5498497603</v>
      </c>
      <c r="L104">
        <v>379229.69922397629</v>
      </c>
      <c r="M104">
        <v>274763.82020349253</v>
      </c>
      <c r="N104">
        <v>0</v>
      </c>
      <c r="O104">
        <v>0</v>
      </c>
      <c r="P104">
        <v>1503259.0486896737</v>
      </c>
      <c r="Q104">
        <v>0</v>
      </c>
      <c r="R104">
        <v>652727.56988546799</v>
      </c>
      <c r="S104">
        <v>2421527.4234417803</v>
      </c>
      <c r="T104">
        <v>328665.54766070453</v>
      </c>
      <c r="U104">
        <v>0</v>
      </c>
      <c r="V104">
        <v>293963.66215031012</v>
      </c>
      <c r="W104">
        <v>0</v>
      </c>
      <c r="X104">
        <v>882885.47077946051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 s="7">
        <v>46231.673217592594</v>
      </c>
    </row>
    <row r="105" spans="1:35">
      <c r="A105" t="s">
        <v>138</v>
      </c>
      <c r="B105">
        <v>96</v>
      </c>
      <c r="C105">
        <v>96</v>
      </c>
      <c r="D105">
        <v>1</v>
      </c>
      <c r="E105">
        <v>2181119.159</v>
      </c>
      <c r="F105">
        <v>2181119.1631861031</v>
      </c>
      <c r="G105">
        <v>1359303.1512844344</v>
      </c>
      <c r="H105">
        <v>679849.0865160519</v>
      </c>
      <c r="I105">
        <v>0</v>
      </c>
      <c r="J105">
        <v>58232.065196795847</v>
      </c>
      <c r="K105">
        <v>201272.02289298223</v>
      </c>
      <c r="L105">
        <v>41745.715115428713</v>
      </c>
      <c r="M105">
        <v>26706.690335054041</v>
      </c>
      <c r="N105">
        <v>0</v>
      </c>
      <c r="O105">
        <v>0</v>
      </c>
      <c r="P105">
        <v>293416.0706441364</v>
      </c>
      <c r="Q105">
        <v>0</v>
      </c>
      <c r="R105">
        <v>84788.190919035886</v>
      </c>
      <c r="S105">
        <v>499279.57242072583</v>
      </c>
      <c r="T105">
        <v>77164.254036669256</v>
      </c>
      <c r="U105">
        <v>0</v>
      </c>
      <c r="V105">
        <v>29374.551100093544</v>
      </c>
      <c r="W105">
        <v>0</v>
      </c>
      <c r="X105">
        <v>208085.97081996262</v>
      </c>
      <c r="Y105">
        <v>0</v>
      </c>
      <c r="Z105">
        <v>0</v>
      </c>
      <c r="AA105">
        <v>6303.310605062883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 s="7">
        <v>46231.673263888886</v>
      </c>
    </row>
    <row r="106" spans="1:35">
      <c r="A106" t="s">
        <v>139</v>
      </c>
      <c r="B106">
        <v>97</v>
      </c>
      <c r="C106">
        <v>97</v>
      </c>
      <c r="D106">
        <v>1</v>
      </c>
      <c r="E106">
        <v>1830484.2753999999</v>
      </c>
      <c r="F106">
        <v>1830484.2806846141</v>
      </c>
      <c r="G106">
        <v>1102622.864483627</v>
      </c>
      <c r="H106">
        <v>562002.22944183322</v>
      </c>
      <c r="I106">
        <v>0</v>
      </c>
      <c r="J106">
        <v>63986.463795082513</v>
      </c>
      <c r="K106">
        <v>158560.91436648121</v>
      </c>
      <c r="L106">
        <v>10685.118981502023</v>
      </c>
      <c r="M106">
        <v>5653.6111436236661</v>
      </c>
      <c r="N106">
        <v>0</v>
      </c>
      <c r="O106">
        <v>0</v>
      </c>
      <c r="P106">
        <v>232785.86150074753</v>
      </c>
      <c r="Q106">
        <v>0</v>
      </c>
      <c r="R106">
        <v>74602.276397979454</v>
      </c>
      <c r="S106">
        <v>490833.982796086</v>
      </c>
      <c r="T106">
        <v>77237.533364167961</v>
      </c>
      <c r="U106">
        <v>0</v>
      </c>
      <c r="V106">
        <v>9000.0001279999997</v>
      </c>
      <c r="W106">
        <v>0</v>
      </c>
      <c r="X106">
        <v>149845.65314837493</v>
      </c>
      <c r="Y106">
        <v>0</v>
      </c>
      <c r="Z106">
        <v>0</v>
      </c>
      <c r="AA106">
        <v>944.24676435573065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 s="7">
        <v>46231.673310185186</v>
      </c>
    </row>
    <row r="107" spans="1:35">
      <c r="A107" t="s">
        <v>140</v>
      </c>
      <c r="B107">
        <v>98</v>
      </c>
      <c r="C107">
        <v>98</v>
      </c>
      <c r="D107">
        <v>1</v>
      </c>
      <c r="E107">
        <v>1846813.3894</v>
      </c>
      <c r="F107">
        <v>1846813.3889519481</v>
      </c>
      <c r="G107">
        <v>1754005.5077021869</v>
      </c>
      <c r="H107">
        <v>991908.80792096152</v>
      </c>
      <c r="I107">
        <v>0</v>
      </c>
      <c r="J107">
        <v>47589.564286257351</v>
      </c>
      <c r="K107">
        <v>282322.77394422342</v>
      </c>
      <c r="L107">
        <v>49081.110536497166</v>
      </c>
      <c r="M107">
        <v>29998.203883772636</v>
      </c>
      <c r="N107">
        <v>7493.9939563704611</v>
      </c>
      <c r="O107">
        <v>7493.9939563704611</v>
      </c>
      <c r="P107">
        <v>327163.39239886391</v>
      </c>
      <c r="Q107">
        <v>279.43571950713635</v>
      </c>
      <c r="R107">
        <v>55939.858615382531</v>
      </c>
      <c r="S107">
        <v>51761.1763555422</v>
      </c>
      <c r="T107">
        <v>0</v>
      </c>
      <c r="U107">
        <v>0</v>
      </c>
      <c r="V107">
        <v>0</v>
      </c>
      <c r="W107">
        <v>0</v>
      </c>
      <c r="X107">
        <v>33273.275218341791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 s="7">
        <v>46231.673356481479</v>
      </c>
    </row>
    <row r="108" spans="1:35">
      <c r="A108" t="s">
        <v>141</v>
      </c>
      <c r="B108">
        <v>99</v>
      </c>
      <c r="C108">
        <v>99</v>
      </c>
      <c r="D108">
        <v>1</v>
      </c>
      <c r="E108">
        <v>1227987.3348999999</v>
      </c>
      <c r="F108">
        <v>1227987.3358508623</v>
      </c>
      <c r="G108">
        <v>1218246.5146120861</v>
      </c>
      <c r="H108">
        <v>711320.21899982286</v>
      </c>
      <c r="I108">
        <v>0</v>
      </c>
      <c r="J108">
        <v>5730.8543616395064</v>
      </c>
      <c r="K108">
        <v>130077.84182079634</v>
      </c>
      <c r="L108">
        <v>0</v>
      </c>
      <c r="M108">
        <v>0</v>
      </c>
      <c r="N108">
        <v>0</v>
      </c>
      <c r="O108">
        <v>0</v>
      </c>
      <c r="P108">
        <v>328602.29106979771</v>
      </c>
      <c r="Q108">
        <v>0</v>
      </c>
      <c r="R108">
        <v>42515.308360029703</v>
      </c>
      <c r="S108">
        <v>791.90975539246119</v>
      </c>
      <c r="T108">
        <v>0</v>
      </c>
      <c r="U108">
        <v>0</v>
      </c>
      <c r="V108">
        <v>0</v>
      </c>
      <c r="W108">
        <v>0</v>
      </c>
      <c r="X108">
        <v>8948.9114833837084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 s="7">
        <v>46231.673414351855</v>
      </c>
    </row>
    <row r="109" spans="1:35">
      <c r="A109" t="s">
        <v>142</v>
      </c>
      <c r="B109">
        <v>100</v>
      </c>
      <c r="C109">
        <v>100</v>
      </c>
      <c r="D109">
        <v>1</v>
      </c>
      <c r="E109">
        <v>8463428.6692999993</v>
      </c>
      <c r="F109">
        <v>8463428.6643912513</v>
      </c>
      <c r="G109">
        <v>8463428.6643912513</v>
      </c>
      <c r="H109">
        <v>4984017.7687142538</v>
      </c>
      <c r="I109">
        <v>0</v>
      </c>
      <c r="J109">
        <v>0</v>
      </c>
      <c r="K109">
        <v>174526.31245961238</v>
      </c>
      <c r="L109">
        <v>3304884.5832173424</v>
      </c>
      <c r="M109">
        <v>3238353.9412387107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 s="7">
        <v>46231.673449074071</v>
      </c>
    </row>
    <row r="110" spans="1:35">
      <c r="A110" t="s">
        <v>143</v>
      </c>
      <c r="B110">
        <v>101</v>
      </c>
      <c r="C110">
        <v>101</v>
      </c>
      <c r="D110">
        <v>1</v>
      </c>
      <c r="E110">
        <v>4317648.2834000001</v>
      </c>
      <c r="F110">
        <v>4317648.2828543186</v>
      </c>
      <c r="G110">
        <v>3018022.7335542273</v>
      </c>
      <c r="H110">
        <v>1596775.4804753333</v>
      </c>
      <c r="I110">
        <v>0</v>
      </c>
      <c r="J110">
        <v>280330.59098415606</v>
      </c>
      <c r="K110">
        <v>314192.79595467047</v>
      </c>
      <c r="L110">
        <v>84466.807793785119</v>
      </c>
      <c r="M110">
        <v>68049.868121605701</v>
      </c>
      <c r="N110">
        <v>0</v>
      </c>
      <c r="O110">
        <v>0</v>
      </c>
      <c r="P110">
        <v>544575.12001850456</v>
      </c>
      <c r="Q110">
        <v>0</v>
      </c>
      <c r="R110">
        <v>197681.93832777638</v>
      </c>
      <c r="S110">
        <v>918784.84791276837</v>
      </c>
      <c r="T110">
        <v>81083.741862676528</v>
      </c>
      <c r="U110">
        <v>0</v>
      </c>
      <c r="V110">
        <v>58178.948018905496</v>
      </c>
      <c r="W110">
        <v>0</v>
      </c>
      <c r="X110">
        <v>241578.01150574198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 s="7">
        <v>46231.673483796294</v>
      </c>
    </row>
    <row r="111" spans="1:35">
      <c r="A111" t="s">
        <v>144</v>
      </c>
      <c r="B111">
        <v>102</v>
      </c>
      <c r="C111">
        <v>102</v>
      </c>
      <c r="D111">
        <v>1</v>
      </c>
      <c r="E111">
        <v>1830289.7361999999</v>
      </c>
      <c r="F111">
        <v>1830289.7381525519</v>
      </c>
      <c r="G111">
        <v>1797814.483894913</v>
      </c>
      <c r="H111">
        <v>136509.40288505983</v>
      </c>
      <c r="I111">
        <v>0</v>
      </c>
      <c r="J111">
        <v>444076.6379482359</v>
      </c>
      <c r="K111">
        <v>516334.5835523383</v>
      </c>
      <c r="L111">
        <v>529872.90827836562</v>
      </c>
      <c r="M111">
        <v>381998.04535841086</v>
      </c>
      <c r="N111">
        <v>0</v>
      </c>
      <c r="O111">
        <v>0</v>
      </c>
      <c r="P111">
        <v>126200.64869463081</v>
      </c>
      <c r="Q111">
        <v>0</v>
      </c>
      <c r="R111">
        <v>44820.302536283263</v>
      </c>
      <c r="S111">
        <v>0</v>
      </c>
      <c r="T111">
        <v>0</v>
      </c>
      <c r="U111">
        <v>0</v>
      </c>
      <c r="V111">
        <v>25031.173301809536</v>
      </c>
      <c r="W111">
        <v>0</v>
      </c>
      <c r="X111">
        <v>0</v>
      </c>
      <c r="Y111">
        <v>0</v>
      </c>
      <c r="Z111">
        <v>0</v>
      </c>
      <c r="AA111">
        <v>7444.0809558293522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 s="7">
        <v>46231.673518518517</v>
      </c>
    </row>
    <row r="112" spans="1:35">
      <c r="A112" t="s">
        <v>145</v>
      </c>
      <c r="B112">
        <v>103</v>
      </c>
      <c r="C112">
        <v>103</v>
      </c>
      <c r="D112">
        <v>1</v>
      </c>
      <c r="E112">
        <v>1908787.1061</v>
      </c>
      <c r="F112">
        <v>1908787.1078311231</v>
      </c>
      <c r="G112">
        <v>1896287.107911123</v>
      </c>
      <c r="H112">
        <v>84379.13190174388</v>
      </c>
      <c r="I112">
        <v>0</v>
      </c>
      <c r="J112">
        <v>49339.997629499128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1415290.5268552932</v>
      </c>
      <c r="Q112">
        <v>0</v>
      </c>
      <c r="R112">
        <v>347277.45152458496</v>
      </c>
      <c r="S112">
        <v>0</v>
      </c>
      <c r="T112">
        <v>0</v>
      </c>
      <c r="U112">
        <v>0</v>
      </c>
      <c r="V112">
        <v>12499.999919999997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 s="7">
        <v>46231.673564814817</v>
      </c>
    </row>
    <row r="113" spans="1:35">
      <c r="A113" t="s">
        <v>146</v>
      </c>
      <c r="B113">
        <v>104</v>
      </c>
      <c r="C113">
        <v>104</v>
      </c>
      <c r="D113">
        <v>1</v>
      </c>
      <c r="E113">
        <v>667823.87930000003</v>
      </c>
      <c r="F113">
        <v>667823.87955210253</v>
      </c>
      <c r="G113">
        <v>92824.659514862869</v>
      </c>
      <c r="H113">
        <v>17640.326246537854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75184.333268325019</v>
      </c>
      <c r="Q113">
        <v>0</v>
      </c>
      <c r="R113">
        <v>0</v>
      </c>
      <c r="S113">
        <v>544974.87305291952</v>
      </c>
      <c r="T113">
        <v>10753.788746361422</v>
      </c>
      <c r="U113">
        <v>0</v>
      </c>
      <c r="V113">
        <v>0</v>
      </c>
      <c r="W113">
        <v>0</v>
      </c>
      <c r="X113">
        <v>4121.1089128967051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 s="7">
        <v>46231.673611111109</v>
      </c>
    </row>
    <row r="114" spans="1:35">
      <c r="A114" t="s">
        <v>147</v>
      </c>
      <c r="B114">
        <v>105</v>
      </c>
      <c r="C114">
        <v>105</v>
      </c>
      <c r="D114">
        <v>1</v>
      </c>
      <c r="E114">
        <v>1595284.2588</v>
      </c>
      <c r="F114">
        <v>1595284.2582717801</v>
      </c>
      <c r="G114">
        <v>1595284.2582717801</v>
      </c>
      <c r="H114">
        <v>1595284.2582717801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 s="7">
        <v>46231.673645833333</v>
      </c>
    </row>
    <row r="115" spans="1:35">
      <c r="A115" t="s">
        <v>148</v>
      </c>
      <c r="B115">
        <v>106</v>
      </c>
      <c r="C115">
        <v>106</v>
      </c>
      <c r="D115">
        <v>1</v>
      </c>
      <c r="E115">
        <v>1640685.0022</v>
      </c>
      <c r="F115">
        <v>1640685.0021273564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1640685.0021273564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 s="7">
        <v>46231.673692129632</v>
      </c>
    </row>
    <row r="116" spans="1:35">
      <c r="A116" t="s">
        <v>149</v>
      </c>
      <c r="B116">
        <v>107</v>
      </c>
      <c r="C116">
        <v>107</v>
      </c>
      <c r="D116">
        <v>1</v>
      </c>
      <c r="E116">
        <v>1494119.5552000001</v>
      </c>
      <c r="F116">
        <v>1494119.5557433108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1494119.5557433108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 s="7">
        <v>46231.673738425925</v>
      </c>
    </row>
    <row r="117" spans="1:35">
      <c r="A117" t="s">
        <v>150</v>
      </c>
      <c r="B117">
        <v>108</v>
      </c>
      <c r="C117">
        <v>108</v>
      </c>
      <c r="D117">
        <v>1</v>
      </c>
      <c r="E117">
        <v>3739456.7601999999</v>
      </c>
      <c r="F117">
        <v>3739456.760205619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3739456.760205619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 s="7">
        <v>46231.673807870371</v>
      </c>
    </row>
    <row r="118" spans="1:35">
      <c r="A118" t="s">
        <v>151</v>
      </c>
      <c r="B118">
        <v>109</v>
      </c>
      <c r="C118">
        <v>109</v>
      </c>
      <c r="D118">
        <v>1</v>
      </c>
      <c r="E118">
        <v>3167432.1842</v>
      </c>
      <c r="F118">
        <v>3167432.1840356039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3167432.1840356039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 s="7">
        <v>46231.673854166664</v>
      </c>
    </row>
    <row r="119" spans="1:35">
      <c r="A119" t="s">
        <v>152</v>
      </c>
      <c r="B119">
        <v>110</v>
      </c>
      <c r="C119">
        <v>110</v>
      </c>
      <c r="D119">
        <v>1</v>
      </c>
      <c r="E119">
        <v>2807712.6401</v>
      </c>
      <c r="F119">
        <v>2807712.6405965583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2807712.6405965583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 s="7">
        <v>46231.673900462964</v>
      </c>
    </row>
    <row r="120" spans="1:35">
      <c r="A120" t="s">
        <v>153</v>
      </c>
      <c r="B120">
        <v>111</v>
      </c>
      <c r="C120">
        <v>111</v>
      </c>
      <c r="D120">
        <v>1</v>
      </c>
      <c r="E120">
        <v>1938793.4282</v>
      </c>
      <c r="F120">
        <v>1938793.4280051652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1938793.4280051652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 s="7">
        <v>46231.673935185187</v>
      </c>
    </row>
    <row r="121" spans="1:35">
      <c r="A121" t="s">
        <v>154</v>
      </c>
      <c r="B121">
        <v>112</v>
      </c>
      <c r="C121">
        <v>112</v>
      </c>
      <c r="D121">
        <v>1</v>
      </c>
      <c r="E121">
        <v>4014875.2963</v>
      </c>
      <c r="F121">
        <v>4014875.2900274154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4014875.2900274154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 s="7">
        <v>46231.673993055556</v>
      </c>
    </row>
    <row r="122" spans="1:35">
      <c r="A122" t="s">
        <v>155</v>
      </c>
      <c r="B122">
        <v>113</v>
      </c>
      <c r="C122">
        <v>113</v>
      </c>
      <c r="D122">
        <v>1</v>
      </c>
      <c r="E122">
        <v>6045350.1776999999</v>
      </c>
      <c r="F122">
        <v>6045350.1649913406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6045350.1649913406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 s="7">
        <v>46231.674039351848</v>
      </c>
    </row>
    <row r="123" spans="1:35">
      <c r="A123" t="s">
        <v>156</v>
      </c>
      <c r="B123">
        <v>114</v>
      </c>
      <c r="C123">
        <v>114</v>
      </c>
      <c r="D123">
        <v>1</v>
      </c>
      <c r="E123">
        <v>2942424.8089999999</v>
      </c>
      <c r="F123">
        <v>2942424.8090718053</v>
      </c>
      <c r="G123">
        <v>2599469.0255527259</v>
      </c>
      <c r="H123">
        <v>1631565.0461623592</v>
      </c>
      <c r="I123">
        <v>0</v>
      </c>
      <c r="J123">
        <v>54423.938064516376</v>
      </c>
      <c r="K123">
        <v>236649.69133425335</v>
      </c>
      <c r="L123">
        <v>533734.23183753993</v>
      </c>
      <c r="M123">
        <v>511084.42663040495</v>
      </c>
      <c r="N123">
        <v>0</v>
      </c>
      <c r="O123">
        <v>0</v>
      </c>
      <c r="P123">
        <v>119787.25767360198</v>
      </c>
      <c r="Q123">
        <v>0</v>
      </c>
      <c r="R123">
        <v>23308.860480454932</v>
      </c>
      <c r="S123">
        <v>238830.89228232039</v>
      </c>
      <c r="T123">
        <v>44671.183372402382</v>
      </c>
      <c r="U123">
        <v>0</v>
      </c>
      <c r="V123">
        <v>1738.2314198860324</v>
      </c>
      <c r="W123">
        <v>0</v>
      </c>
      <c r="X123">
        <v>55431.892102936326</v>
      </c>
      <c r="Y123">
        <v>0</v>
      </c>
      <c r="Z123">
        <v>0</v>
      </c>
      <c r="AA123">
        <v>2283.5843415337167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 s="7">
        <v>46231.674085648148</v>
      </c>
    </row>
    <row r="124" spans="1:35">
      <c r="A124" t="s">
        <v>157</v>
      </c>
      <c r="B124">
        <v>115</v>
      </c>
      <c r="C124">
        <v>115</v>
      </c>
      <c r="D124">
        <v>1</v>
      </c>
      <c r="E124">
        <v>3055499.7738000001</v>
      </c>
      <c r="F124">
        <v>3055499.7736215591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3055499.7736215591</v>
      </c>
      <c r="AD124">
        <v>0</v>
      </c>
      <c r="AE124">
        <v>0</v>
      </c>
      <c r="AF124">
        <v>0</v>
      </c>
      <c r="AG124">
        <v>0</v>
      </c>
      <c r="AH124">
        <v>0</v>
      </c>
      <c r="AI124" s="7">
        <v>46231.674143518518</v>
      </c>
    </row>
    <row r="125" spans="1:35">
      <c r="A125" t="s">
        <v>158</v>
      </c>
      <c r="B125">
        <v>116</v>
      </c>
      <c r="C125">
        <v>116</v>
      </c>
      <c r="D125">
        <v>1</v>
      </c>
      <c r="E125">
        <v>4429250</v>
      </c>
      <c r="F125">
        <v>4429250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4429250</v>
      </c>
      <c r="AD125">
        <v>0</v>
      </c>
      <c r="AE125">
        <v>0</v>
      </c>
      <c r="AF125">
        <v>0</v>
      </c>
      <c r="AG125">
        <v>0</v>
      </c>
      <c r="AH125">
        <v>0</v>
      </c>
      <c r="AI125" s="7">
        <v>46231.674178240741</v>
      </c>
    </row>
    <row r="126" spans="1:35">
      <c r="A126" t="s">
        <v>159</v>
      </c>
      <c r="B126">
        <v>117</v>
      </c>
      <c r="C126">
        <v>117</v>
      </c>
      <c r="D126">
        <v>1</v>
      </c>
      <c r="E126">
        <v>7281605.1233999999</v>
      </c>
      <c r="F126">
        <v>7281605.1226829998</v>
      </c>
      <c r="G126">
        <v>1392276.875304</v>
      </c>
      <c r="H126">
        <v>456235.12528900005</v>
      </c>
      <c r="I126">
        <v>0</v>
      </c>
      <c r="J126">
        <v>12500</v>
      </c>
      <c r="K126">
        <v>648541.74964199995</v>
      </c>
      <c r="L126">
        <v>275000.00037299999</v>
      </c>
      <c r="M126">
        <v>225000.00037299999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978442.24871700001</v>
      </c>
      <c r="W126">
        <v>0</v>
      </c>
      <c r="X126">
        <v>0</v>
      </c>
      <c r="Y126">
        <v>0</v>
      </c>
      <c r="Z126">
        <v>0</v>
      </c>
      <c r="AA126">
        <v>4910885.9986619977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 s="7">
        <v>46231.674212962964</v>
      </c>
    </row>
    <row r="127" spans="1:35">
      <c r="A127" t="s">
        <v>160</v>
      </c>
      <c r="B127">
        <v>118</v>
      </c>
      <c r="C127">
        <v>118</v>
      </c>
      <c r="D127">
        <v>1</v>
      </c>
      <c r="E127">
        <v>7149750.9190999996</v>
      </c>
      <c r="F127">
        <v>7149750.9189339979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27083.332767</v>
      </c>
      <c r="W127">
        <v>0</v>
      </c>
      <c r="X127">
        <v>0</v>
      </c>
      <c r="Y127">
        <v>0</v>
      </c>
      <c r="Z127">
        <v>0</v>
      </c>
      <c r="AA127">
        <v>7122667.5861669965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 s="7">
        <v>46231.674259259256</v>
      </c>
    </row>
    <row r="128" spans="1:35">
      <c r="A128" t="s">
        <v>161</v>
      </c>
      <c r="B128">
        <v>119</v>
      </c>
      <c r="C128">
        <v>119</v>
      </c>
      <c r="D128">
        <v>1</v>
      </c>
      <c r="E128">
        <v>1488734.4609000001</v>
      </c>
      <c r="F128">
        <v>1488734.462441951</v>
      </c>
      <c r="G128">
        <v>1488734.462441951</v>
      </c>
      <c r="H128">
        <v>56000.000055999997</v>
      </c>
      <c r="I128">
        <v>0</v>
      </c>
      <c r="J128">
        <v>40000.000039999999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909074.18064993399</v>
      </c>
      <c r="Q128">
        <v>0</v>
      </c>
      <c r="R128">
        <v>483660.28169601725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 s="7">
        <v>46231.674293981479</v>
      </c>
    </row>
    <row r="129" spans="1:35">
      <c r="A129" t="s">
        <v>162</v>
      </c>
      <c r="B129">
        <v>120</v>
      </c>
      <c r="C129">
        <v>120</v>
      </c>
      <c r="D129">
        <v>1</v>
      </c>
      <c r="E129">
        <v>3294392.9495999999</v>
      </c>
      <c r="F129">
        <v>3294392.9502254892</v>
      </c>
      <c r="G129">
        <v>3275445.9843649683</v>
      </c>
      <c r="H129">
        <v>122934.87187795647</v>
      </c>
      <c r="I129">
        <v>0</v>
      </c>
      <c r="J129">
        <v>0</v>
      </c>
      <c r="K129">
        <v>1831442.7060492833</v>
      </c>
      <c r="L129">
        <v>1321068.4064377281</v>
      </c>
      <c r="M129">
        <v>929512.95361516403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11616.203777162946</v>
      </c>
      <c r="W129">
        <v>0</v>
      </c>
      <c r="X129">
        <v>0</v>
      </c>
      <c r="Y129">
        <v>0</v>
      </c>
      <c r="Z129">
        <v>0</v>
      </c>
      <c r="AA129">
        <v>7330.7620833579313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 s="7">
        <v>46231.674328703702</v>
      </c>
    </row>
    <row r="130" spans="1:35">
      <c r="A130" t="s">
        <v>163</v>
      </c>
      <c r="B130">
        <v>121</v>
      </c>
      <c r="C130">
        <v>121</v>
      </c>
      <c r="D130">
        <v>1</v>
      </c>
      <c r="E130">
        <v>6712971.0536000002</v>
      </c>
      <c r="F130">
        <v>6712971.0536771649</v>
      </c>
      <c r="G130">
        <v>4862399.7064399682</v>
      </c>
      <c r="H130">
        <v>310762.64067740733</v>
      </c>
      <c r="I130">
        <v>0</v>
      </c>
      <c r="J130">
        <v>2163383.3297758973</v>
      </c>
      <c r="K130">
        <v>0</v>
      </c>
      <c r="L130">
        <v>15089.40815978184</v>
      </c>
      <c r="M130">
        <v>15089.40815978184</v>
      </c>
      <c r="N130">
        <v>0</v>
      </c>
      <c r="O130">
        <v>0</v>
      </c>
      <c r="P130">
        <v>1528067.6893282302</v>
      </c>
      <c r="Q130">
        <v>0</v>
      </c>
      <c r="R130">
        <v>845096.63849865145</v>
      </c>
      <c r="S130">
        <v>1098030.2769246919</v>
      </c>
      <c r="T130">
        <v>207530.5896410814</v>
      </c>
      <c r="U130">
        <v>0</v>
      </c>
      <c r="V130">
        <v>0</v>
      </c>
      <c r="W130">
        <v>0</v>
      </c>
      <c r="X130">
        <v>545010.48067142186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 s="7">
        <v>46231.674375000002</v>
      </c>
    </row>
    <row r="131" spans="1:35">
      <c r="A131" t="s">
        <v>164</v>
      </c>
      <c r="B131">
        <v>122</v>
      </c>
      <c r="C131">
        <v>122</v>
      </c>
      <c r="D131">
        <v>1</v>
      </c>
      <c r="E131">
        <v>1893883.6431</v>
      </c>
      <c r="F131">
        <v>1893883.6429908862</v>
      </c>
      <c r="G131">
        <v>1868309.1660374699</v>
      </c>
      <c r="H131">
        <v>1868309.1660374699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25574.476953415851</v>
      </c>
      <c r="O131">
        <v>25574.476953415851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 s="7">
        <v>46231.674409722225</v>
      </c>
    </row>
    <row r="132" spans="1:35">
      <c r="A132" t="s">
        <v>165</v>
      </c>
      <c r="B132">
        <v>123</v>
      </c>
      <c r="C132">
        <v>123</v>
      </c>
      <c r="D132">
        <v>1</v>
      </c>
      <c r="E132">
        <v>10699974.796599999</v>
      </c>
      <c r="F132">
        <v>10699974.796501014</v>
      </c>
      <c r="G132">
        <v>10616479.987275228</v>
      </c>
      <c r="H132">
        <v>1097520.2931945031</v>
      </c>
      <c r="I132">
        <v>0</v>
      </c>
      <c r="J132">
        <v>8851792.4228942338</v>
      </c>
      <c r="K132">
        <v>0</v>
      </c>
      <c r="L132">
        <v>9235.621243720836</v>
      </c>
      <c r="M132">
        <v>9235.621243720836</v>
      </c>
      <c r="N132">
        <v>0</v>
      </c>
      <c r="O132">
        <v>0</v>
      </c>
      <c r="P132">
        <v>237569.2994102099</v>
      </c>
      <c r="Q132">
        <v>0</v>
      </c>
      <c r="R132">
        <v>420362.35053255822</v>
      </c>
      <c r="S132">
        <v>0</v>
      </c>
      <c r="T132">
        <v>0</v>
      </c>
      <c r="U132">
        <v>0</v>
      </c>
      <c r="V132">
        <v>68994.809225787758</v>
      </c>
      <c r="W132">
        <v>0</v>
      </c>
      <c r="X132">
        <v>0</v>
      </c>
      <c r="Y132">
        <v>0</v>
      </c>
      <c r="Z132">
        <v>0</v>
      </c>
      <c r="AA132">
        <v>14500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 s="7">
        <v>46231.674456018518</v>
      </c>
    </row>
    <row r="133" spans="1:35">
      <c r="A133" t="s">
        <v>166</v>
      </c>
      <c r="B133">
        <v>124</v>
      </c>
      <c r="C133">
        <v>124</v>
      </c>
      <c r="D133">
        <v>1</v>
      </c>
      <c r="E133">
        <v>360260.174</v>
      </c>
      <c r="F133">
        <v>360260.1739379933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270260.1739379933</v>
      </c>
      <c r="T133">
        <v>22500</v>
      </c>
      <c r="U133">
        <v>0</v>
      </c>
      <c r="V133">
        <v>0</v>
      </c>
      <c r="W133">
        <v>0</v>
      </c>
      <c r="X133">
        <v>67500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 s="7">
        <v>46231.674490740741</v>
      </c>
    </row>
    <row r="134" spans="1:35">
      <c r="A134" t="s">
        <v>167</v>
      </c>
      <c r="B134">
        <v>125</v>
      </c>
      <c r="C134">
        <v>125</v>
      </c>
      <c r="D134">
        <v>1</v>
      </c>
      <c r="E134">
        <v>1836863.2814</v>
      </c>
      <c r="F134">
        <v>1836863.2813329238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1513813.5581920405</v>
      </c>
      <c r="T134">
        <v>52500</v>
      </c>
      <c r="U134">
        <v>0</v>
      </c>
      <c r="V134">
        <v>0</v>
      </c>
      <c r="W134">
        <v>0</v>
      </c>
      <c r="X134">
        <v>270549.72314088308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 s="7">
        <v>46231.67454861111</v>
      </c>
    </row>
    <row r="135" spans="1:35">
      <c r="A135" t="s">
        <v>168</v>
      </c>
      <c r="B135">
        <v>126</v>
      </c>
      <c r="C135">
        <v>126</v>
      </c>
      <c r="D135">
        <v>1</v>
      </c>
      <c r="E135">
        <v>1064468.0190999999</v>
      </c>
      <c r="F135">
        <v>1064468.017366509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803162.46095226705</v>
      </c>
      <c r="T135">
        <v>52500.000149999993</v>
      </c>
      <c r="U135">
        <v>0</v>
      </c>
      <c r="V135">
        <v>0</v>
      </c>
      <c r="W135">
        <v>0</v>
      </c>
      <c r="X135">
        <v>208805.55626424219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 s="7">
        <v>46231.674618055556</v>
      </c>
    </row>
    <row r="136" spans="1:35">
      <c r="A136" t="s">
        <v>169</v>
      </c>
      <c r="B136">
        <v>127</v>
      </c>
      <c r="C136">
        <v>127</v>
      </c>
      <c r="D136">
        <v>1</v>
      </c>
      <c r="E136">
        <v>2779185.3560000001</v>
      </c>
      <c r="F136">
        <v>2779185.3558880389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2090420.2930157578</v>
      </c>
      <c r="T136">
        <v>163735.1971682469</v>
      </c>
      <c r="U136">
        <v>0</v>
      </c>
      <c r="V136">
        <v>0</v>
      </c>
      <c r="W136">
        <v>0</v>
      </c>
      <c r="X136">
        <v>525029.86570403515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 s="7">
        <v>46231.67465277778</v>
      </c>
    </row>
    <row r="137" spans="1:35">
      <c r="A137" t="s">
        <v>170</v>
      </c>
      <c r="B137">
        <v>128</v>
      </c>
      <c r="C137">
        <v>128</v>
      </c>
      <c r="D137">
        <v>1</v>
      </c>
      <c r="E137">
        <v>2564808.6469999999</v>
      </c>
      <c r="F137">
        <v>2564808.647190975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2074685.858018016</v>
      </c>
      <c r="T137">
        <v>107118.84933534478</v>
      </c>
      <c r="U137">
        <v>0</v>
      </c>
      <c r="V137">
        <v>0</v>
      </c>
      <c r="W137">
        <v>0</v>
      </c>
      <c r="X137">
        <v>383003.93983761419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 s="7">
        <v>46231.674699074072</v>
      </c>
    </row>
    <row r="138" spans="1:35">
      <c r="A138" t="s">
        <v>171</v>
      </c>
      <c r="B138">
        <v>129</v>
      </c>
      <c r="C138">
        <v>129</v>
      </c>
      <c r="D138">
        <v>1</v>
      </c>
      <c r="E138">
        <v>4434351.7560000001</v>
      </c>
      <c r="F138">
        <v>4434351.7613854939</v>
      </c>
      <c r="G138">
        <v>0</v>
      </c>
      <c r="H138">
        <v>0</v>
      </c>
      <c r="I138">
        <v>5150.1386772970745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4429201.6227081968</v>
      </c>
      <c r="AH138">
        <v>4429201.6227081968</v>
      </c>
      <c r="AI138" s="7">
        <v>46231.674733796295</v>
      </c>
    </row>
    <row r="139" spans="1:35">
      <c r="A139" t="s">
        <v>172</v>
      </c>
      <c r="B139">
        <v>130</v>
      </c>
      <c r="C139">
        <v>130</v>
      </c>
      <c r="D139">
        <v>1</v>
      </c>
      <c r="E139">
        <v>733507.5</v>
      </c>
      <c r="F139">
        <v>733507.5</v>
      </c>
      <c r="G139">
        <v>62475</v>
      </c>
      <c r="H139">
        <v>25245</v>
      </c>
      <c r="I139">
        <v>0</v>
      </c>
      <c r="J139">
        <v>14790</v>
      </c>
      <c r="K139">
        <v>8415</v>
      </c>
      <c r="L139">
        <v>0</v>
      </c>
      <c r="M139">
        <v>0</v>
      </c>
      <c r="N139">
        <v>0</v>
      </c>
      <c r="O139">
        <v>0</v>
      </c>
      <c r="P139">
        <v>8415</v>
      </c>
      <c r="Q139">
        <v>0</v>
      </c>
      <c r="R139">
        <v>5610</v>
      </c>
      <c r="S139">
        <v>0</v>
      </c>
      <c r="T139">
        <v>107652.5</v>
      </c>
      <c r="U139">
        <v>0</v>
      </c>
      <c r="V139">
        <v>560575</v>
      </c>
      <c r="W139">
        <v>0</v>
      </c>
      <c r="X139">
        <v>0</v>
      </c>
      <c r="Y139">
        <v>0</v>
      </c>
      <c r="Z139">
        <v>0</v>
      </c>
      <c r="AA139">
        <v>2805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 s="7">
        <v>46231.674791666665</v>
      </c>
    </row>
    <row r="140" spans="1:35">
      <c r="A140" t="s">
        <v>173</v>
      </c>
      <c r="B140">
        <v>131</v>
      </c>
      <c r="C140">
        <v>131</v>
      </c>
      <c r="D140">
        <v>1</v>
      </c>
      <c r="E140">
        <v>1950200.8633000001</v>
      </c>
      <c r="F140">
        <v>1950200.8635297604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864223.54877999995</v>
      </c>
      <c r="U140">
        <v>505891.02021615993</v>
      </c>
      <c r="V140">
        <v>0</v>
      </c>
      <c r="W140">
        <v>580086.29453360033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 s="7">
        <v>46231.674826388888</v>
      </c>
    </row>
    <row r="141" spans="1:35">
      <c r="A141" t="s">
        <v>174</v>
      </c>
      <c r="B141">
        <v>132</v>
      </c>
      <c r="C141">
        <v>132</v>
      </c>
      <c r="D141">
        <v>1</v>
      </c>
      <c r="E141">
        <v>1717058.8938</v>
      </c>
      <c r="F141">
        <v>1717058.8936162719</v>
      </c>
      <c r="G141">
        <v>1717058.8936162719</v>
      </c>
      <c r="H141">
        <v>1618857.4909182314</v>
      </c>
      <c r="I141">
        <v>0</v>
      </c>
      <c r="J141">
        <v>98201.402698040649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 s="7">
        <v>46231.674872685187</v>
      </c>
    </row>
    <row r="142" spans="1:35">
      <c r="A142" t="s">
        <v>175</v>
      </c>
      <c r="B142">
        <v>133</v>
      </c>
      <c r="C142">
        <v>133</v>
      </c>
      <c r="D142">
        <v>1</v>
      </c>
      <c r="E142">
        <v>1373017.4513000001</v>
      </c>
      <c r="F142">
        <v>1373017.4564079568</v>
      </c>
      <c r="G142">
        <v>1373017.4564079568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1373017.4564079568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 s="7">
        <v>46231.674930555557</v>
      </c>
    </row>
    <row r="143" spans="1:35">
      <c r="A143" t="s">
        <v>176</v>
      </c>
      <c r="B143">
        <v>134</v>
      </c>
      <c r="C143">
        <v>134</v>
      </c>
      <c r="D143">
        <v>1</v>
      </c>
      <c r="E143">
        <v>1954055.0432</v>
      </c>
      <c r="F143">
        <v>1954055.0431500305</v>
      </c>
      <c r="G143">
        <v>1942055.0431500305</v>
      </c>
      <c r="H143">
        <v>66509.419820909505</v>
      </c>
      <c r="I143">
        <v>0</v>
      </c>
      <c r="J143">
        <v>48000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1225993.7777201778</v>
      </c>
      <c r="Q143">
        <v>0</v>
      </c>
      <c r="R143">
        <v>601551.84560894314</v>
      </c>
      <c r="S143">
        <v>0</v>
      </c>
      <c r="T143">
        <v>0</v>
      </c>
      <c r="U143">
        <v>0</v>
      </c>
      <c r="V143">
        <v>12000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 s="7">
        <v>46231.674976851849</v>
      </c>
    </row>
    <row r="144" spans="1:35">
      <c r="A144" t="s">
        <v>177</v>
      </c>
      <c r="B144">
        <v>135</v>
      </c>
      <c r="C144">
        <v>135</v>
      </c>
      <c r="D144">
        <v>1</v>
      </c>
      <c r="E144">
        <v>2909585.6518999999</v>
      </c>
      <c r="F144">
        <v>2909585.6517591672</v>
      </c>
      <c r="G144">
        <v>2898085.6517591672</v>
      </c>
      <c r="H144">
        <v>57500</v>
      </c>
      <c r="I144">
        <v>0</v>
      </c>
      <c r="J144">
        <v>36312.042963176813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2404561.9616604806</v>
      </c>
      <c r="Q144">
        <v>0</v>
      </c>
      <c r="R144">
        <v>399711.64713550988</v>
      </c>
      <c r="S144">
        <v>0</v>
      </c>
      <c r="T144">
        <v>0</v>
      </c>
      <c r="U144">
        <v>0</v>
      </c>
      <c r="V144">
        <v>11500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 s="7">
        <v>46231.675023148149</v>
      </c>
    </row>
    <row r="145" spans="1:35">
      <c r="A145" t="s">
        <v>178</v>
      </c>
      <c r="B145">
        <v>136</v>
      </c>
      <c r="C145">
        <v>136</v>
      </c>
      <c r="D145">
        <v>1</v>
      </c>
      <c r="E145">
        <v>909264.02850000001</v>
      </c>
      <c r="F145">
        <v>909264.02840576938</v>
      </c>
      <c r="G145">
        <v>909264.02840576938</v>
      </c>
      <c r="H145">
        <v>854828.451479877</v>
      </c>
      <c r="I145">
        <v>0</v>
      </c>
      <c r="J145">
        <v>54435.576925892281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 s="7">
        <v>46231.675069444442</v>
      </c>
    </row>
    <row r="146" spans="1:35">
      <c r="A146" t="s">
        <v>179</v>
      </c>
      <c r="B146">
        <v>137</v>
      </c>
      <c r="C146">
        <v>137</v>
      </c>
      <c r="D146">
        <v>1</v>
      </c>
      <c r="E146">
        <v>1063489.5456999999</v>
      </c>
      <c r="F146">
        <v>1063489.5534636755</v>
      </c>
      <c r="G146">
        <v>1063489.5534636755</v>
      </c>
      <c r="H146">
        <v>999554.67432535742</v>
      </c>
      <c r="I146">
        <v>0</v>
      </c>
      <c r="J146">
        <v>63934.879138318611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 s="7">
        <v>46231.675162037034</v>
      </c>
    </row>
    <row r="147" spans="1:35">
      <c r="A147" t="s">
        <v>180</v>
      </c>
      <c r="B147">
        <v>138</v>
      </c>
      <c r="C147">
        <v>138</v>
      </c>
      <c r="D147">
        <v>1</v>
      </c>
      <c r="E147">
        <v>4209079.8841000004</v>
      </c>
      <c r="F147">
        <v>4209079.884294142</v>
      </c>
      <c r="G147">
        <v>4198223.2818927495</v>
      </c>
      <c r="H147">
        <v>291124.48642298294</v>
      </c>
      <c r="I147">
        <v>0</v>
      </c>
      <c r="J147">
        <v>3828633.8431548639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31199.503622011423</v>
      </c>
      <c r="Q147">
        <v>0</v>
      </c>
      <c r="R147">
        <v>47265.448692892613</v>
      </c>
      <c r="S147">
        <v>0</v>
      </c>
      <c r="T147">
        <v>0</v>
      </c>
      <c r="U147">
        <v>0</v>
      </c>
      <c r="V147">
        <v>10856.602401392458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 s="7">
        <v>46231.675208333334</v>
      </c>
    </row>
    <row r="148" spans="1:35">
      <c r="A148" t="s">
        <v>181</v>
      </c>
      <c r="B148">
        <v>139</v>
      </c>
      <c r="C148">
        <v>139</v>
      </c>
      <c r="D148">
        <v>1</v>
      </c>
      <c r="E148">
        <v>7901082.0360000003</v>
      </c>
      <c r="F148">
        <v>7901082.0352566177</v>
      </c>
      <c r="G148">
        <v>7871975.8788282592</v>
      </c>
      <c r="H148">
        <v>630785.5425317788</v>
      </c>
      <c r="I148">
        <v>0</v>
      </c>
      <c r="J148">
        <v>6998604.4763550889</v>
      </c>
      <c r="K148">
        <v>0</v>
      </c>
      <c r="L148">
        <v>8099.0745232501331</v>
      </c>
      <c r="M148">
        <v>8099.0745232501331</v>
      </c>
      <c r="N148">
        <v>0</v>
      </c>
      <c r="O148">
        <v>0</v>
      </c>
      <c r="P148">
        <v>122930.27138262172</v>
      </c>
      <c r="Q148">
        <v>0</v>
      </c>
      <c r="R148">
        <v>111556.51403551913</v>
      </c>
      <c r="S148">
        <v>0</v>
      </c>
      <c r="T148">
        <v>0</v>
      </c>
      <c r="U148">
        <v>0</v>
      </c>
      <c r="V148">
        <v>29106.15642835831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 s="7">
        <v>46231.675254629627</v>
      </c>
    </row>
    <row r="149" spans="1:35">
      <c r="A149" t="s">
        <v>182</v>
      </c>
      <c r="B149">
        <v>140</v>
      </c>
      <c r="C149">
        <v>140</v>
      </c>
      <c r="D149">
        <v>1</v>
      </c>
      <c r="E149">
        <v>1296185.3976</v>
      </c>
      <c r="F149">
        <v>1296185.3976206405</v>
      </c>
      <c r="G149">
        <v>1291185.3976206405</v>
      </c>
      <c r="H149">
        <v>1291185.3976206405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4999.9999999999982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 s="7">
        <v>46231.675300925926</v>
      </c>
    </row>
    <row r="150" spans="1:35">
      <c r="A150" t="s">
        <v>183</v>
      </c>
      <c r="B150">
        <v>141</v>
      </c>
      <c r="C150">
        <v>141</v>
      </c>
      <c r="D150">
        <v>1</v>
      </c>
      <c r="E150">
        <v>30416660.5889</v>
      </c>
      <c r="F150">
        <v>30416660.588807501</v>
      </c>
      <c r="G150">
        <v>30233193.202777844</v>
      </c>
      <c r="H150">
        <v>3126207.1830468928</v>
      </c>
      <c r="I150">
        <v>0</v>
      </c>
      <c r="J150">
        <v>24366224.183224402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874166.37013124768</v>
      </c>
      <c r="Q150">
        <v>0</v>
      </c>
      <c r="R150">
        <v>1866595.4663752948</v>
      </c>
      <c r="S150">
        <v>0</v>
      </c>
      <c r="T150">
        <v>0</v>
      </c>
      <c r="U150">
        <v>0</v>
      </c>
      <c r="V150">
        <v>123467.386029655</v>
      </c>
      <c r="W150">
        <v>0</v>
      </c>
      <c r="X150">
        <v>0</v>
      </c>
      <c r="Y150">
        <v>0</v>
      </c>
      <c r="Z150">
        <v>0</v>
      </c>
      <c r="AA150">
        <v>59999.999999999985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 s="7">
        <v>46231.675358796296</v>
      </c>
    </row>
    <row r="151" spans="1:35">
      <c r="A151" t="s">
        <v>184</v>
      </c>
      <c r="B151">
        <v>142</v>
      </c>
      <c r="C151">
        <v>142</v>
      </c>
      <c r="D151">
        <v>1</v>
      </c>
      <c r="E151">
        <v>2955588.9035</v>
      </c>
      <c r="F151">
        <v>2955588.9030567934</v>
      </c>
      <c r="G151">
        <v>2955588.9030567934</v>
      </c>
      <c r="H151">
        <v>116055.21991500849</v>
      </c>
      <c r="I151">
        <v>0</v>
      </c>
      <c r="J151">
        <v>0</v>
      </c>
      <c r="K151">
        <v>18180.42930321888</v>
      </c>
      <c r="L151">
        <v>2821353.2538385666</v>
      </c>
      <c r="M151">
        <v>2607414.3002955876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 s="7">
        <v>46231.675405092596</v>
      </c>
    </row>
    <row r="152" spans="1:35">
      <c r="A152" t="s">
        <v>185</v>
      </c>
      <c r="B152">
        <v>143</v>
      </c>
      <c r="C152">
        <v>143</v>
      </c>
      <c r="D152">
        <v>1</v>
      </c>
      <c r="E152">
        <v>2681419.1549999998</v>
      </c>
      <c r="F152">
        <v>2681419.1488353056</v>
      </c>
      <c r="G152">
        <v>2680615.2393504721</v>
      </c>
      <c r="H152">
        <v>120109.43029111445</v>
      </c>
      <c r="I152">
        <v>0</v>
      </c>
      <c r="J152">
        <v>0</v>
      </c>
      <c r="K152">
        <v>17964.611185161222</v>
      </c>
      <c r="L152">
        <v>2542541.1978741987</v>
      </c>
      <c r="M152">
        <v>2346072.7686818987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670.97067026613377</v>
      </c>
      <c r="W152">
        <v>0</v>
      </c>
      <c r="X152">
        <v>0</v>
      </c>
      <c r="Y152">
        <v>0</v>
      </c>
      <c r="Z152">
        <v>0</v>
      </c>
      <c r="AA152">
        <v>132.93881456724725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 s="7">
        <v>46231.675451388888</v>
      </c>
    </row>
    <row r="153" spans="1:35">
      <c r="A153" t="s">
        <v>186</v>
      </c>
      <c r="B153">
        <v>144</v>
      </c>
      <c r="C153">
        <v>144</v>
      </c>
      <c r="D153">
        <v>1</v>
      </c>
      <c r="E153">
        <v>1465567.656</v>
      </c>
      <c r="F153">
        <v>1465567.658359796</v>
      </c>
      <c r="G153">
        <v>1465567.658359796</v>
      </c>
      <c r="H153">
        <v>1465567.658359796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 s="7">
        <v>46231.675497685188</v>
      </c>
    </row>
    <row r="154" spans="1:35">
      <c r="A154" t="s">
        <v>187</v>
      </c>
      <c r="B154">
        <v>145</v>
      </c>
      <c r="C154">
        <v>145</v>
      </c>
      <c r="D154">
        <v>1</v>
      </c>
      <c r="E154">
        <v>1735717.6181000001</v>
      </c>
      <c r="F154">
        <v>1735717.6179075169</v>
      </c>
      <c r="G154">
        <v>1735717.6179075169</v>
      </c>
      <c r="H154">
        <v>1735717.6179075169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 s="7">
        <v>46231.675555555557</v>
      </c>
    </row>
    <row r="155" spans="1:35">
      <c r="A155" t="s">
        <v>188</v>
      </c>
      <c r="B155">
        <v>146</v>
      </c>
      <c r="C155">
        <v>146</v>
      </c>
      <c r="D155">
        <v>1</v>
      </c>
      <c r="E155">
        <v>3634375.3572999998</v>
      </c>
      <c r="F155">
        <v>3634375.3572914675</v>
      </c>
      <c r="G155">
        <v>3634375.3572914675</v>
      </c>
      <c r="H155">
        <v>3634375.3572914675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 s="7">
        <v>46231.67560185185</v>
      </c>
    </row>
    <row r="156" spans="1:35">
      <c r="A156" t="s">
        <v>189</v>
      </c>
      <c r="B156">
        <v>147</v>
      </c>
      <c r="C156">
        <v>147</v>
      </c>
      <c r="D156">
        <v>1</v>
      </c>
      <c r="E156">
        <v>2092387.5911999999</v>
      </c>
      <c r="F156">
        <v>2092387.5911506549</v>
      </c>
      <c r="G156">
        <v>2092387.5911506549</v>
      </c>
      <c r="H156">
        <v>2092387.5911506549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 s="7">
        <v>46231.675636574073</v>
      </c>
    </row>
    <row r="157" spans="1:35">
      <c r="A157" t="s">
        <v>190</v>
      </c>
      <c r="B157">
        <v>148</v>
      </c>
      <c r="C157">
        <v>148</v>
      </c>
      <c r="D157">
        <v>1</v>
      </c>
      <c r="E157">
        <v>2703511.4026000001</v>
      </c>
      <c r="F157">
        <v>2703511.4024352715</v>
      </c>
      <c r="G157">
        <v>2703511.4024352715</v>
      </c>
      <c r="H157">
        <v>2702107.0645293542</v>
      </c>
      <c r="I157">
        <v>0</v>
      </c>
      <c r="J157">
        <v>1404.3379059171318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 s="7">
        <v>46231.675694444442</v>
      </c>
    </row>
    <row r="158" spans="1:35">
      <c r="A158" t="s">
        <v>191</v>
      </c>
      <c r="B158">
        <v>149</v>
      </c>
      <c r="C158">
        <v>149</v>
      </c>
      <c r="D158">
        <v>1</v>
      </c>
      <c r="E158">
        <v>592510.33979999996</v>
      </c>
      <c r="F158">
        <v>592510.33974089485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592510.33974089485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 s="7">
        <v>46231.675729166665</v>
      </c>
    </row>
    <row r="159" spans="1:35">
      <c r="A159" t="s">
        <v>192</v>
      </c>
      <c r="B159">
        <v>150</v>
      </c>
      <c r="C159">
        <v>150</v>
      </c>
      <c r="D159">
        <v>1</v>
      </c>
      <c r="E159">
        <v>2309835.8533000001</v>
      </c>
      <c r="F159">
        <v>2309835.8532599979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2309835.8532599979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 s="7">
        <v>46231.675763888888</v>
      </c>
    </row>
    <row r="160" spans="1:35">
      <c r="A160" t="s">
        <v>193</v>
      </c>
      <c r="B160">
        <v>151</v>
      </c>
      <c r="C160">
        <v>151</v>
      </c>
      <c r="D160">
        <v>1</v>
      </c>
      <c r="E160">
        <v>1182903.2023</v>
      </c>
      <c r="F160">
        <v>1182903.2023744159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1182903.2023744159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 s="7">
        <v>46231.675798611112</v>
      </c>
    </row>
    <row r="161" spans="1:35">
      <c r="A161" t="s">
        <v>194</v>
      </c>
      <c r="B161">
        <v>152</v>
      </c>
      <c r="C161">
        <v>152</v>
      </c>
      <c r="D161">
        <v>1</v>
      </c>
      <c r="E161">
        <v>734927.08530000004</v>
      </c>
      <c r="F161">
        <v>734927.08527041157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734927.08527041157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 s="7">
        <v>46231.675844907404</v>
      </c>
    </row>
    <row r="162" spans="1:35">
      <c r="A162" t="s">
        <v>195</v>
      </c>
      <c r="B162">
        <v>153</v>
      </c>
      <c r="C162">
        <v>153</v>
      </c>
      <c r="D162">
        <v>1</v>
      </c>
      <c r="E162">
        <v>4014683.1589000002</v>
      </c>
      <c r="F162">
        <v>4014683.159001457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4014683.159001457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 s="7">
        <v>46231.675891203704</v>
      </c>
    </row>
    <row r="163" spans="1:35">
      <c r="A163" t="s">
        <v>196</v>
      </c>
      <c r="B163">
        <v>154</v>
      </c>
      <c r="C163">
        <v>154</v>
      </c>
      <c r="D163">
        <v>1</v>
      </c>
      <c r="E163">
        <v>2778589.1804</v>
      </c>
      <c r="F163">
        <v>2778589.1805980788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2778589.1805980788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 s="7">
        <v>46231.675925925927</v>
      </c>
    </row>
    <row r="164" spans="1:35">
      <c r="A164" t="s">
        <v>197</v>
      </c>
      <c r="B164">
        <v>155</v>
      </c>
      <c r="C164">
        <v>155</v>
      </c>
      <c r="D164">
        <v>1</v>
      </c>
      <c r="E164">
        <v>5881965.4759</v>
      </c>
      <c r="F164">
        <v>5881965.4758987483</v>
      </c>
      <c r="G164">
        <v>3990365.2103544273</v>
      </c>
      <c r="H164">
        <v>2658447.8506139093</v>
      </c>
      <c r="I164">
        <v>0</v>
      </c>
      <c r="J164">
        <v>165154.21835010996</v>
      </c>
      <c r="K164">
        <v>413044.2389153348</v>
      </c>
      <c r="L164">
        <v>85630.183805160763</v>
      </c>
      <c r="M164">
        <v>71456.059274504689</v>
      </c>
      <c r="N164">
        <v>0</v>
      </c>
      <c r="O164">
        <v>0</v>
      </c>
      <c r="P164">
        <v>564457.07737585017</v>
      </c>
      <c r="Q164">
        <v>0</v>
      </c>
      <c r="R164">
        <v>103631.64129406134</v>
      </c>
      <c r="S164">
        <v>1116440.373111214</v>
      </c>
      <c r="T164">
        <v>430402.28649735299</v>
      </c>
      <c r="U164">
        <v>0</v>
      </c>
      <c r="V164">
        <v>92018.002155663271</v>
      </c>
      <c r="W164">
        <v>0</v>
      </c>
      <c r="X164">
        <v>250785.74403939047</v>
      </c>
      <c r="Y164">
        <v>0</v>
      </c>
      <c r="Z164">
        <v>0</v>
      </c>
      <c r="AA164">
        <v>1953.8597407011691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 s="7">
        <v>46231.67597222222</v>
      </c>
    </row>
    <row r="165" spans="1:35">
      <c r="A165" t="s">
        <v>198</v>
      </c>
      <c r="B165">
        <v>156</v>
      </c>
      <c r="C165">
        <v>156</v>
      </c>
      <c r="D165">
        <v>1</v>
      </c>
      <c r="E165">
        <v>2161106.9841999998</v>
      </c>
      <c r="F165">
        <v>2161106.9900124045</v>
      </c>
      <c r="G165">
        <v>0</v>
      </c>
      <c r="H165">
        <v>0</v>
      </c>
      <c r="I165">
        <v>2069004.7046071654</v>
      </c>
      <c r="J165">
        <v>0</v>
      </c>
      <c r="K165">
        <v>0</v>
      </c>
      <c r="L165">
        <v>0</v>
      </c>
      <c r="M165">
        <v>0</v>
      </c>
      <c r="N165">
        <v>92102.285405239207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 s="7">
        <v>46231.676006944443</v>
      </c>
    </row>
    <row r="166" spans="1:35">
      <c r="A166" t="s">
        <v>199</v>
      </c>
      <c r="B166">
        <v>157</v>
      </c>
      <c r="C166">
        <v>157</v>
      </c>
      <c r="D166">
        <v>1</v>
      </c>
      <c r="E166">
        <v>3875643.0454000002</v>
      </c>
      <c r="F166">
        <v>3875643.0255076415</v>
      </c>
      <c r="G166">
        <v>0</v>
      </c>
      <c r="H166">
        <v>0</v>
      </c>
      <c r="I166">
        <v>3875643.0255076415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 s="7">
        <v>46231.676053240742</v>
      </c>
    </row>
    <row r="167" spans="1:35">
      <c r="A167" t="s">
        <v>200</v>
      </c>
      <c r="B167">
        <v>158</v>
      </c>
      <c r="C167">
        <v>158</v>
      </c>
      <c r="D167">
        <v>1</v>
      </c>
      <c r="E167">
        <v>5402722.9908999996</v>
      </c>
      <c r="F167">
        <v>5402722.9841755172</v>
      </c>
      <c r="G167">
        <v>0</v>
      </c>
      <c r="H167">
        <v>0</v>
      </c>
      <c r="I167">
        <v>5402722.9841755172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 s="7">
        <v>46231.676122685189</v>
      </c>
    </row>
    <row r="168" spans="1:35">
      <c r="A168" t="s">
        <v>201</v>
      </c>
      <c r="B168">
        <v>159</v>
      </c>
      <c r="C168">
        <v>159</v>
      </c>
      <c r="D168">
        <v>1</v>
      </c>
      <c r="E168">
        <v>2251379.5784999998</v>
      </c>
      <c r="F168">
        <v>2251379.5783956293</v>
      </c>
      <c r="G168">
        <v>0</v>
      </c>
      <c r="H168">
        <v>0</v>
      </c>
      <c r="I168">
        <v>2251379.5783956293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 s="7">
        <v>46231.676157407404</v>
      </c>
    </row>
    <row r="169" spans="1:35">
      <c r="A169" t="s">
        <v>202</v>
      </c>
      <c r="B169">
        <v>160</v>
      </c>
      <c r="C169">
        <v>160</v>
      </c>
      <c r="D169">
        <v>1</v>
      </c>
      <c r="E169">
        <v>5081917.1063000001</v>
      </c>
      <c r="F169">
        <v>5081917.1091265129</v>
      </c>
      <c r="G169">
        <v>5057790.7796302773</v>
      </c>
      <c r="H169">
        <v>27557.532701694894</v>
      </c>
      <c r="I169">
        <v>0</v>
      </c>
      <c r="J169">
        <v>0</v>
      </c>
      <c r="K169">
        <v>5027231.4555107011</v>
      </c>
      <c r="L169">
        <v>3001.7914178820515</v>
      </c>
      <c r="M169">
        <v>3001.7914178820515</v>
      </c>
      <c r="N169">
        <v>23555.577381081755</v>
      </c>
      <c r="O169">
        <v>23555.577381081755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570.75211515486342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 s="7">
        <v>46231.676215277781</v>
      </c>
    </row>
    <row r="170" spans="1:35">
      <c r="A170" t="s">
        <v>203</v>
      </c>
      <c r="B170">
        <v>161</v>
      </c>
      <c r="C170">
        <v>161</v>
      </c>
      <c r="D170">
        <v>1</v>
      </c>
      <c r="E170">
        <v>7023680.0717000002</v>
      </c>
      <c r="F170">
        <v>7023680.0718957065</v>
      </c>
      <c r="G170">
        <v>6978957.7795461118</v>
      </c>
      <c r="H170">
        <v>100000</v>
      </c>
      <c r="I170">
        <v>0</v>
      </c>
      <c r="J170">
        <v>0</v>
      </c>
      <c r="K170">
        <v>6840506.7547170632</v>
      </c>
      <c r="L170">
        <v>38451.024829049129</v>
      </c>
      <c r="M170">
        <v>38451.024829049129</v>
      </c>
      <c r="N170">
        <v>4722.2923495956984</v>
      </c>
      <c r="O170">
        <v>4722.2923495956984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20000</v>
      </c>
      <c r="W170">
        <v>0</v>
      </c>
      <c r="X170">
        <v>0</v>
      </c>
      <c r="Y170">
        <v>0</v>
      </c>
      <c r="Z170">
        <v>0</v>
      </c>
      <c r="AA170">
        <v>20000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 s="7">
        <v>46231.676261574074</v>
      </c>
    </row>
    <row r="171" spans="1:35">
      <c r="A171" t="s">
        <v>204</v>
      </c>
      <c r="B171">
        <v>162</v>
      </c>
      <c r="C171">
        <v>162</v>
      </c>
      <c r="D171">
        <v>1</v>
      </c>
      <c r="E171">
        <v>4900798.0595000004</v>
      </c>
      <c r="F171">
        <v>4900798.059502691</v>
      </c>
      <c r="G171">
        <v>4820581.6781635024</v>
      </c>
      <c r="H171">
        <v>64608.779869628765</v>
      </c>
      <c r="I171">
        <v>0</v>
      </c>
      <c r="J171">
        <v>0</v>
      </c>
      <c r="K171">
        <v>4741441.5186413238</v>
      </c>
      <c r="L171">
        <v>14531.379652549542</v>
      </c>
      <c r="M171">
        <v>14531.379652549542</v>
      </c>
      <c r="N171">
        <v>37844.52828512952</v>
      </c>
      <c r="O171">
        <v>37844.52828512952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23141.816178038916</v>
      </c>
      <c r="W171">
        <v>0</v>
      </c>
      <c r="X171">
        <v>0</v>
      </c>
      <c r="Y171">
        <v>0</v>
      </c>
      <c r="Z171">
        <v>0</v>
      </c>
      <c r="AA171">
        <v>19230.036876020647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 s="7">
        <v>46231.676307870373</v>
      </c>
    </row>
    <row r="172" spans="1:35">
      <c r="A172" t="s">
        <v>205</v>
      </c>
      <c r="B172">
        <v>163</v>
      </c>
      <c r="C172">
        <v>163</v>
      </c>
      <c r="D172">
        <v>1</v>
      </c>
      <c r="E172">
        <v>10170624.859300001</v>
      </c>
      <c r="F172">
        <v>10170624.859649384</v>
      </c>
      <c r="G172">
        <v>7865661.8069329318</v>
      </c>
      <c r="H172">
        <v>73542.238796741105</v>
      </c>
      <c r="I172">
        <v>0</v>
      </c>
      <c r="J172">
        <v>0</v>
      </c>
      <c r="K172">
        <v>7777024.3795839297</v>
      </c>
      <c r="L172">
        <v>15095.188552261969</v>
      </c>
      <c r="M172">
        <v>15095.188552261969</v>
      </c>
      <c r="N172">
        <v>2259411.5497908834</v>
      </c>
      <c r="O172">
        <v>2259411.5497908834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43115.53327988855</v>
      </c>
      <c r="W172">
        <v>0</v>
      </c>
      <c r="X172">
        <v>0</v>
      </c>
      <c r="Y172">
        <v>0</v>
      </c>
      <c r="Z172">
        <v>0</v>
      </c>
      <c r="AA172">
        <v>2435.9696456784122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 s="7">
        <v>46231.676354166666</v>
      </c>
    </row>
    <row r="173" spans="1:35">
      <c r="A173" t="s">
        <v>206</v>
      </c>
      <c r="B173">
        <v>164</v>
      </c>
      <c r="C173">
        <v>164</v>
      </c>
      <c r="D173">
        <v>1</v>
      </c>
      <c r="E173">
        <v>3381077.9794000001</v>
      </c>
      <c r="F173">
        <v>3381077.9795582811</v>
      </c>
      <c r="G173">
        <v>3381077.9795582811</v>
      </c>
      <c r="H173">
        <v>3381077.9795582811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 s="7">
        <v>46231.676400462966</v>
      </c>
    </row>
    <row r="174" spans="1:35">
      <c r="A174" t="s">
        <v>207</v>
      </c>
      <c r="B174">
        <v>165</v>
      </c>
      <c r="C174">
        <v>165</v>
      </c>
      <c r="D174">
        <v>1</v>
      </c>
      <c r="E174">
        <v>2290647.4487000001</v>
      </c>
      <c r="F174">
        <v>2290647.4480329831</v>
      </c>
      <c r="G174">
        <v>2290647.4480329831</v>
      </c>
      <c r="H174">
        <v>2290647.4480329831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 s="7">
        <v>46231.676446759258</v>
      </c>
    </row>
    <row r="175" spans="1:35">
      <c r="A175" t="s">
        <v>208</v>
      </c>
      <c r="B175">
        <v>166</v>
      </c>
      <c r="C175">
        <v>166</v>
      </c>
      <c r="D175">
        <v>1</v>
      </c>
      <c r="E175">
        <v>2290647.5957999998</v>
      </c>
      <c r="F175">
        <v>2290647.5950930254</v>
      </c>
      <c r="G175">
        <v>2290647.5950930254</v>
      </c>
      <c r="H175">
        <v>2290647.5950930254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 s="7">
        <v>46231.676504629628</v>
      </c>
    </row>
    <row r="176" spans="1:35">
      <c r="A176" t="s">
        <v>209</v>
      </c>
      <c r="B176">
        <v>167</v>
      </c>
      <c r="C176">
        <v>167</v>
      </c>
      <c r="D176">
        <v>1</v>
      </c>
      <c r="E176">
        <v>8405484.9702000003</v>
      </c>
      <c r="F176">
        <v>8405484.970273193</v>
      </c>
      <c r="G176">
        <v>6534974.6888965918</v>
      </c>
      <c r="H176">
        <v>1808620.3216751202</v>
      </c>
      <c r="I176">
        <v>0</v>
      </c>
      <c r="J176">
        <v>950801.07761783409</v>
      </c>
      <c r="K176">
        <v>1393358.5857011848</v>
      </c>
      <c r="L176">
        <v>645735.71880011517</v>
      </c>
      <c r="M176">
        <v>541070.35241239262</v>
      </c>
      <c r="N176">
        <v>0</v>
      </c>
      <c r="O176">
        <v>0</v>
      </c>
      <c r="P176">
        <v>1347720.0226263637</v>
      </c>
      <c r="Q176">
        <v>0</v>
      </c>
      <c r="R176">
        <v>388738.96247597353</v>
      </c>
      <c r="S176">
        <v>952010.84765610483</v>
      </c>
      <c r="T176">
        <v>187090.46874264555</v>
      </c>
      <c r="U176">
        <v>0</v>
      </c>
      <c r="V176">
        <v>169955.14471730162</v>
      </c>
      <c r="W176">
        <v>0</v>
      </c>
      <c r="X176">
        <v>561453.82026055036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 s="7">
        <v>46231.676550925928</v>
      </c>
    </row>
    <row r="177" spans="1:35">
      <c r="A177" t="s">
        <v>210</v>
      </c>
      <c r="B177">
        <v>168</v>
      </c>
      <c r="C177">
        <v>168</v>
      </c>
      <c r="D177">
        <v>1</v>
      </c>
      <c r="E177">
        <v>1961984.9341</v>
      </c>
      <c r="F177">
        <v>1961984.9336621186</v>
      </c>
      <c r="G177">
        <v>1961984.9336621186</v>
      </c>
      <c r="H177">
        <v>35988.158642429138</v>
      </c>
      <c r="I177">
        <v>0</v>
      </c>
      <c r="J177">
        <v>0</v>
      </c>
      <c r="K177">
        <v>892621.41059462354</v>
      </c>
      <c r="L177">
        <v>1033375.3644250687</v>
      </c>
      <c r="M177">
        <v>989855.1823103748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 s="7">
        <v>46231.67659722222</v>
      </c>
    </row>
    <row r="178" spans="1:35">
      <c r="A178" t="s">
        <v>211</v>
      </c>
      <c r="B178">
        <v>169</v>
      </c>
      <c r="C178">
        <v>169</v>
      </c>
      <c r="D178">
        <v>1</v>
      </c>
      <c r="E178">
        <v>854111.01320000004</v>
      </c>
      <c r="F178">
        <v>854111.00886239239</v>
      </c>
      <c r="G178">
        <v>854111.00886239239</v>
      </c>
      <c r="H178">
        <v>854111.00886239239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 s="7">
        <v>46231.67664351852</v>
      </c>
    </row>
    <row r="179" spans="1:35">
      <c r="A179" t="s">
        <v>212</v>
      </c>
      <c r="B179">
        <v>170</v>
      </c>
      <c r="C179">
        <v>170</v>
      </c>
      <c r="D179">
        <v>1</v>
      </c>
      <c r="E179">
        <v>1125274.1949</v>
      </c>
      <c r="F179">
        <v>1125274.1920555071</v>
      </c>
      <c r="G179">
        <v>1125274.1920555071</v>
      </c>
      <c r="H179">
        <v>1123044.2313951536</v>
      </c>
      <c r="I179">
        <v>0</v>
      </c>
      <c r="J179">
        <v>2229.9606603533402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 s="7">
        <v>46231.676689814813</v>
      </c>
    </row>
    <row r="180" spans="1:35">
      <c r="A180" t="s">
        <v>213</v>
      </c>
      <c r="B180">
        <v>171</v>
      </c>
      <c r="C180">
        <v>171</v>
      </c>
      <c r="D180">
        <v>1</v>
      </c>
      <c r="E180">
        <v>4777619.5267000003</v>
      </c>
      <c r="F180">
        <v>4777619.5195486499</v>
      </c>
      <c r="G180">
        <v>4777619.5195486499</v>
      </c>
      <c r="H180">
        <v>4761119.5195759488</v>
      </c>
      <c r="I180">
        <v>0</v>
      </c>
      <c r="J180">
        <v>16499.999972699999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 s="7">
        <v>46231.676736111112</v>
      </c>
    </row>
    <row r="181" spans="1:35">
      <c r="A181" t="s">
        <v>214</v>
      </c>
      <c r="B181">
        <v>172</v>
      </c>
      <c r="C181">
        <v>172</v>
      </c>
      <c r="D181">
        <v>1</v>
      </c>
      <c r="E181">
        <v>5014537.3788999999</v>
      </c>
      <c r="F181">
        <v>5014537.3603356928</v>
      </c>
      <c r="G181">
        <v>5014317.339750465</v>
      </c>
      <c r="H181">
        <v>4977223.9078741446</v>
      </c>
      <c r="I181">
        <v>0</v>
      </c>
      <c r="J181">
        <v>31755.0508419082</v>
      </c>
      <c r="K181">
        <v>0</v>
      </c>
      <c r="L181">
        <v>5338.381034411238</v>
      </c>
      <c r="M181">
        <v>875.77867018075381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220.02058522783378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 s="7">
        <v>46231.676782407405</v>
      </c>
    </row>
    <row r="182" spans="1:35">
      <c r="A182" t="s">
        <v>215</v>
      </c>
      <c r="B182">
        <v>173</v>
      </c>
      <c r="C182">
        <v>173</v>
      </c>
      <c r="D182">
        <v>1</v>
      </c>
      <c r="E182">
        <v>1708222.0618</v>
      </c>
      <c r="F182">
        <v>1708222.0636417943</v>
      </c>
      <c r="G182">
        <v>1708222.0636417943</v>
      </c>
      <c r="H182">
        <v>1708222.0636417943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 s="7">
        <v>46231.676828703705</v>
      </c>
    </row>
    <row r="183" spans="1:35">
      <c r="A183" t="s">
        <v>216</v>
      </c>
      <c r="B183">
        <v>174</v>
      </c>
      <c r="C183">
        <v>174</v>
      </c>
      <c r="D183">
        <v>1</v>
      </c>
      <c r="E183">
        <v>2250548.3903000001</v>
      </c>
      <c r="F183">
        <v>2250548.3841110142</v>
      </c>
      <c r="G183">
        <v>2250548.3841110142</v>
      </c>
      <c r="H183">
        <v>2246088.4627903071</v>
      </c>
      <c r="I183">
        <v>0</v>
      </c>
      <c r="J183">
        <v>4459.9213207066805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 s="7">
        <v>46231.676886574074</v>
      </c>
    </row>
    <row r="184" spans="1:35">
      <c r="A184" t="s">
        <v>217</v>
      </c>
      <c r="B184">
        <v>175</v>
      </c>
      <c r="C184">
        <v>175</v>
      </c>
      <c r="D184">
        <v>1</v>
      </c>
      <c r="E184">
        <v>463687.72090000001</v>
      </c>
      <c r="F184">
        <v>463687.7207747614</v>
      </c>
      <c r="G184">
        <v>455938.64910956926</v>
      </c>
      <c r="H184">
        <v>437662.79224714253</v>
      </c>
      <c r="I184">
        <v>0</v>
      </c>
      <c r="J184">
        <v>11301.74387700594</v>
      </c>
      <c r="K184">
        <v>0</v>
      </c>
      <c r="L184">
        <v>6974.1129854209958</v>
      </c>
      <c r="M184">
        <v>6000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1749.0716651920141</v>
      </c>
      <c r="W184">
        <v>0</v>
      </c>
      <c r="X184">
        <v>0</v>
      </c>
      <c r="Y184">
        <v>0</v>
      </c>
      <c r="Z184">
        <v>0</v>
      </c>
      <c r="AA184">
        <v>6000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 s="7">
        <v>46231.676944444444</v>
      </c>
    </row>
    <row r="185" spans="1:35">
      <c r="A185" t="s">
        <v>218</v>
      </c>
      <c r="B185">
        <v>176</v>
      </c>
      <c r="C185">
        <v>176</v>
      </c>
      <c r="D185">
        <v>1</v>
      </c>
      <c r="E185">
        <v>1796425.0271999999</v>
      </c>
      <c r="F185">
        <v>1796425.0337691014</v>
      </c>
      <c r="G185">
        <v>1796425.0337691014</v>
      </c>
      <c r="H185">
        <v>1791425.0337489014</v>
      </c>
      <c r="I185">
        <v>0</v>
      </c>
      <c r="J185">
        <v>5000.0000202000001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 s="7">
        <v>46231.676990740743</v>
      </c>
    </row>
    <row r="186" spans="1:35">
      <c r="A186" t="s">
        <v>219</v>
      </c>
      <c r="B186">
        <v>177</v>
      </c>
      <c r="C186">
        <v>177</v>
      </c>
      <c r="D186">
        <v>1</v>
      </c>
      <c r="E186">
        <v>2265743.9345</v>
      </c>
      <c r="F186">
        <v>2265743.9335203567</v>
      </c>
      <c r="G186">
        <v>2265743.9335203567</v>
      </c>
      <c r="H186">
        <v>2257562.0338951997</v>
      </c>
      <c r="I186">
        <v>0</v>
      </c>
      <c r="J186">
        <v>6968.9883482159239</v>
      </c>
      <c r="K186">
        <v>0</v>
      </c>
      <c r="L186">
        <v>1212.911276940906</v>
      </c>
      <c r="M186">
        <v>1212.911276940906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 s="7">
        <v>46231.677037037036</v>
      </c>
    </row>
    <row r="187" spans="1:35">
      <c r="A187" t="s">
        <v>220</v>
      </c>
      <c r="B187">
        <v>178</v>
      </c>
      <c r="C187">
        <v>178</v>
      </c>
      <c r="D187">
        <v>1</v>
      </c>
      <c r="E187">
        <v>3647133.6017999998</v>
      </c>
      <c r="F187">
        <v>3647133.604651629</v>
      </c>
      <c r="G187">
        <v>3646992.1128634703</v>
      </c>
      <c r="H187">
        <v>3621301.497657341</v>
      </c>
      <c r="I187">
        <v>0</v>
      </c>
      <c r="J187">
        <v>22276.226201190664</v>
      </c>
      <c r="K187">
        <v>0</v>
      </c>
      <c r="L187">
        <v>3414.3890049382044</v>
      </c>
      <c r="M187">
        <v>560.45780802818422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141.49178815894487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 s="7">
        <v>46231.677094907405</v>
      </c>
    </row>
    <row r="188" spans="1:35">
      <c r="A188" t="s">
        <v>221</v>
      </c>
      <c r="B188">
        <v>179</v>
      </c>
      <c r="C188">
        <v>179</v>
      </c>
      <c r="D188">
        <v>1</v>
      </c>
      <c r="E188">
        <v>3883512.858</v>
      </c>
      <c r="F188">
        <v>3883512.8584747138</v>
      </c>
      <c r="G188">
        <v>2853385.1297940989</v>
      </c>
      <c r="H188">
        <v>1409082.0541717054</v>
      </c>
      <c r="I188">
        <v>0</v>
      </c>
      <c r="J188">
        <v>262189.4138967669</v>
      </c>
      <c r="K188">
        <v>423822.70097749494</v>
      </c>
      <c r="L188">
        <v>107663.588413989</v>
      </c>
      <c r="M188">
        <v>77554.962055814627</v>
      </c>
      <c r="N188">
        <v>0</v>
      </c>
      <c r="O188">
        <v>0</v>
      </c>
      <c r="P188">
        <v>494260.44330881862</v>
      </c>
      <c r="Q188">
        <v>0</v>
      </c>
      <c r="R188">
        <v>156366.92902532293</v>
      </c>
      <c r="S188">
        <v>616216.91110450262</v>
      </c>
      <c r="T188">
        <v>125917.42376559679</v>
      </c>
      <c r="U188">
        <v>0</v>
      </c>
      <c r="V188">
        <v>45788.041571920679</v>
      </c>
      <c r="W188">
        <v>0</v>
      </c>
      <c r="X188">
        <v>242205.35223859578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 s="7">
        <v>46231.677141203705</v>
      </c>
    </row>
    <row r="189" spans="1:35">
      <c r="A189" t="s">
        <v>222</v>
      </c>
      <c r="B189">
        <v>180</v>
      </c>
      <c r="C189">
        <v>180</v>
      </c>
      <c r="D189">
        <v>1</v>
      </c>
      <c r="E189">
        <v>2538429.3755000001</v>
      </c>
      <c r="F189">
        <v>2538429.3748660507</v>
      </c>
      <c r="G189">
        <v>1793707.4998250415</v>
      </c>
      <c r="H189">
        <v>615816.48445799469</v>
      </c>
      <c r="I189">
        <v>0</v>
      </c>
      <c r="J189">
        <v>206767.35836318642</v>
      </c>
      <c r="K189">
        <v>346824.45850604068</v>
      </c>
      <c r="L189">
        <v>76004.755974386149</v>
      </c>
      <c r="M189">
        <v>49746.170017075667</v>
      </c>
      <c r="N189">
        <v>0</v>
      </c>
      <c r="O189">
        <v>0</v>
      </c>
      <c r="P189">
        <v>425645.12884370744</v>
      </c>
      <c r="Q189">
        <v>0</v>
      </c>
      <c r="R189">
        <v>122649.31367972627</v>
      </c>
      <c r="S189">
        <v>391087.12743990007</v>
      </c>
      <c r="T189">
        <v>116704.79643516739</v>
      </c>
      <c r="U189">
        <v>0</v>
      </c>
      <c r="V189">
        <v>21122.201916076061</v>
      </c>
      <c r="W189">
        <v>0</v>
      </c>
      <c r="X189">
        <v>211464.50474151707</v>
      </c>
      <c r="Y189">
        <v>0</v>
      </c>
      <c r="Z189">
        <v>0</v>
      </c>
      <c r="AA189">
        <v>4343.2445083480743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 s="7">
        <v>46231.677187499998</v>
      </c>
    </row>
    <row r="190" spans="1:35">
      <c r="A190" t="s">
        <v>223</v>
      </c>
      <c r="B190">
        <v>181</v>
      </c>
      <c r="C190">
        <v>181</v>
      </c>
      <c r="D190">
        <v>1</v>
      </c>
      <c r="E190">
        <v>1273520.7275</v>
      </c>
      <c r="F190">
        <v>1273520.7279875516</v>
      </c>
      <c r="G190">
        <v>1050279.182651784</v>
      </c>
      <c r="H190">
        <v>402421.03157370363</v>
      </c>
      <c r="I190">
        <v>0</v>
      </c>
      <c r="J190">
        <v>188405.29986330675</v>
      </c>
      <c r="K190">
        <v>105730.61991889086</v>
      </c>
      <c r="L190">
        <v>102604.80306666534</v>
      </c>
      <c r="M190">
        <v>85613.330065079921</v>
      </c>
      <c r="N190">
        <v>0</v>
      </c>
      <c r="O190">
        <v>0</v>
      </c>
      <c r="P190">
        <v>127909.28796324425</v>
      </c>
      <c r="Q190">
        <v>0</v>
      </c>
      <c r="R190">
        <v>123208.14026597381</v>
      </c>
      <c r="S190">
        <v>101522.74676364507</v>
      </c>
      <c r="T190">
        <v>10000</v>
      </c>
      <c r="U190">
        <v>0</v>
      </c>
      <c r="V190">
        <v>48474.99972544609</v>
      </c>
      <c r="W190">
        <v>0</v>
      </c>
      <c r="X190">
        <v>62418.873199218346</v>
      </c>
      <c r="Y190">
        <v>0</v>
      </c>
      <c r="Z190">
        <v>0</v>
      </c>
      <c r="AA190">
        <v>824.92564745732841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 s="7">
        <v>46231.677245370367</v>
      </c>
    </row>
    <row r="191" spans="1:35">
      <c r="A191" t="s">
        <v>224</v>
      </c>
      <c r="B191">
        <v>182</v>
      </c>
      <c r="C191">
        <v>182</v>
      </c>
      <c r="D191">
        <v>1</v>
      </c>
      <c r="E191">
        <v>2540614.9268</v>
      </c>
      <c r="F191">
        <v>2540614.9270080281</v>
      </c>
      <c r="G191">
        <v>2540614.9270080281</v>
      </c>
      <c r="H191">
        <v>68236.562653867062</v>
      </c>
      <c r="I191">
        <v>0</v>
      </c>
      <c r="J191">
        <v>0</v>
      </c>
      <c r="K191">
        <v>7773.7532173744139</v>
      </c>
      <c r="L191">
        <v>2464604.6111367866</v>
      </c>
      <c r="M191">
        <v>2316819.7742938083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 s="7">
        <v>46231.677291666667</v>
      </c>
    </row>
    <row r="192" spans="1:35">
      <c r="A192" t="s">
        <v>225</v>
      </c>
      <c r="B192">
        <v>183</v>
      </c>
      <c r="C192">
        <v>183</v>
      </c>
      <c r="D192">
        <v>1</v>
      </c>
      <c r="E192">
        <v>2681419.1549999998</v>
      </c>
      <c r="F192">
        <v>2681419.1488353056</v>
      </c>
      <c r="G192">
        <v>2680615.2393504721</v>
      </c>
      <c r="H192">
        <v>120109.43029111445</v>
      </c>
      <c r="I192">
        <v>0</v>
      </c>
      <c r="J192">
        <v>0</v>
      </c>
      <c r="K192">
        <v>17964.611185161222</v>
      </c>
      <c r="L192">
        <v>2542541.1978741987</v>
      </c>
      <c r="M192">
        <v>2346072.7686818987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670.97067026613377</v>
      </c>
      <c r="W192">
        <v>0</v>
      </c>
      <c r="X192">
        <v>0</v>
      </c>
      <c r="Y192">
        <v>0</v>
      </c>
      <c r="Z192">
        <v>0</v>
      </c>
      <c r="AA192">
        <v>132.93881456724725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 s="7">
        <v>46231.677349537036</v>
      </c>
    </row>
    <row r="193" spans="1:35">
      <c r="A193" t="s">
        <v>226</v>
      </c>
      <c r="B193">
        <v>184</v>
      </c>
      <c r="C193">
        <v>184</v>
      </c>
      <c r="D193">
        <v>1</v>
      </c>
      <c r="E193">
        <v>5123110.5581999999</v>
      </c>
      <c r="F193">
        <v>5123110.5582190342</v>
      </c>
      <c r="G193">
        <v>5123110.5582190342</v>
      </c>
      <c r="H193">
        <v>170329.30284214352</v>
      </c>
      <c r="I193">
        <v>0</v>
      </c>
      <c r="J193">
        <v>0</v>
      </c>
      <c r="K193">
        <v>28000</v>
      </c>
      <c r="L193">
        <v>4924781.2553768903</v>
      </c>
      <c r="M193">
        <v>4589698.4433691306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 s="7">
        <v>46231.677407407406</v>
      </c>
    </row>
    <row r="194" spans="1:35">
      <c r="A194" t="s">
        <v>227</v>
      </c>
      <c r="B194">
        <v>185</v>
      </c>
      <c r="C194">
        <v>185</v>
      </c>
      <c r="D194">
        <v>1</v>
      </c>
      <c r="E194">
        <v>2390715.8133</v>
      </c>
      <c r="F194">
        <v>2390715.8135597412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2302839.5787644926</v>
      </c>
      <c r="T194">
        <v>27829.79121518106</v>
      </c>
      <c r="U194">
        <v>0</v>
      </c>
      <c r="V194">
        <v>0</v>
      </c>
      <c r="W194">
        <v>0</v>
      </c>
      <c r="X194">
        <v>60046.443580067848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 s="7">
        <v>46231.677453703705</v>
      </c>
    </row>
    <row r="195" spans="1:35">
      <c r="A195" t="s">
        <v>228</v>
      </c>
      <c r="B195">
        <v>186</v>
      </c>
      <c r="C195">
        <v>186</v>
      </c>
      <c r="D195">
        <v>1</v>
      </c>
      <c r="E195">
        <v>768815.13179999997</v>
      </c>
      <c r="F195">
        <v>768815.13211234426</v>
      </c>
      <c r="G195">
        <v>762315.13211234426</v>
      </c>
      <c r="H195">
        <v>39203.561858296554</v>
      </c>
      <c r="I195">
        <v>0</v>
      </c>
      <c r="J195">
        <v>13000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568909.87325992004</v>
      </c>
      <c r="Q195">
        <v>0</v>
      </c>
      <c r="R195">
        <v>141201.69699412771</v>
      </c>
      <c r="S195">
        <v>0</v>
      </c>
      <c r="T195">
        <v>0</v>
      </c>
      <c r="U195">
        <v>0</v>
      </c>
      <c r="V195">
        <v>6500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 s="7">
        <v>46231.677511574075</v>
      </c>
    </row>
    <row r="196" spans="1:35">
      <c r="A196" t="s">
        <v>229</v>
      </c>
      <c r="B196">
        <v>187</v>
      </c>
      <c r="C196">
        <v>187</v>
      </c>
      <c r="D196">
        <v>1</v>
      </c>
      <c r="E196">
        <v>2179406.2932000002</v>
      </c>
      <c r="F196">
        <v>2179406.2927311882</v>
      </c>
      <c r="G196">
        <v>2160696.2122826772</v>
      </c>
      <c r="H196">
        <v>125885.59402786677</v>
      </c>
      <c r="I196">
        <v>0</v>
      </c>
      <c r="J196">
        <v>51325.054602838973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1551588.0655809969</v>
      </c>
      <c r="Q196">
        <v>0</v>
      </c>
      <c r="R196">
        <v>431897.49807097454</v>
      </c>
      <c r="S196">
        <v>0</v>
      </c>
      <c r="T196">
        <v>0</v>
      </c>
      <c r="U196">
        <v>0</v>
      </c>
      <c r="V196">
        <v>18710.080448511108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 s="7">
        <v>46231.677569444444</v>
      </c>
    </row>
    <row r="197" spans="1:35">
      <c r="A197" t="s">
        <v>230</v>
      </c>
      <c r="B197">
        <v>188</v>
      </c>
      <c r="C197">
        <v>188</v>
      </c>
      <c r="D197">
        <v>1</v>
      </c>
      <c r="E197">
        <v>1626282.3295</v>
      </c>
      <c r="F197">
        <v>1626282.3293557733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1391916.3142436168</v>
      </c>
      <c r="R197">
        <v>0</v>
      </c>
      <c r="S197">
        <v>234366.0151121564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 s="7">
        <v>46231.677627314813</v>
      </c>
    </row>
    <row r="198" spans="1:35">
      <c r="A198" t="s">
        <v>231</v>
      </c>
      <c r="B198">
        <v>189</v>
      </c>
      <c r="C198">
        <v>189</v>
      </c>
      <c r="D198">
        <v>1</v>
      </c>
      <c r="E198">
        <v>5795112.8558</v>
      </c>
      <c r="F198">
        <v>5795112.8557823086</v>
      </c>
      <c r="G198">
        <v>3453855.0172111001</v>
      </c>
      <c r="H198">
        <v>1917403.3706732807</v>
      </c>
      <c r="I198">
        <v>0</v>
      </c>
      <c r="J198">
        <v>404346.74158247461</v>
      </c>
      <c r="K198">
        <v>298189.20018660388</v>
      </c>
      <c r="L198">
        <v>421862.52481737657</v>
      </c>
      <c r="M198">
        <v>352389.94925105985</v>
      </c>
      <c r="N198">
        <v>0</v>
      </c>
      <c r="O198">
        <v>0</v>
      </c>
      <c r="P198">
        <v>222534.99566256528</v>
      </c>
      <c r="Q198">
        <v>0</v>
      </c>
      <c r="R198">
        <v>189518.18428879938</v>
      </c>
      <c r="S198">
        <v>1410065.876376736</v>
      </c>
      <c r="T198">
        <v>269933.55043923442</v>
      </c>
      <c r="U198">
        <v>0</v>
      </c>
      <c r="V198">
        <v>76177.314635713701</v>
      </c>
      <c r="W198">
        <v>0</v>
      </c>
      <c r="X198">
        <v>571550.71130302735</v>
      </c>
      <c r="Y198">
        <v>0</v>
      </c>
      <c r="Z198">
        <v>0</v>
      </c>
      <c r="AA198">
        <v>13530.385816493661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 s="7">
        <v>46231.677685185183</v>
      </c>
    </row>
    <row r="199" spans="1:35">
      <c r="A199" t="s">
        <v>232</v>
      </c>
      <c r="B199">
        <v>190</v>
      </c>
      <c r="C199">
        <v>190</v>
      </c>
      <c r="D199">
        <v>1</v>
      </c>
      <c r="E199">
        <v>3636919.6911999998</v>
      </c>
      <c r="F199">
        <v>3636919.6908095442</v>
      </c>
      <c r="G199">
        <v>1827724.0407436802</v>
      </c>
      <c r="H199">
        <v>68277.246024772947</v>
      </c>
      <c r="I199">
        <v>0</v>
      </c>
      <c r="J199">
        <v>76228.977731704625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1030137.1829762044</v>
      </c>
      <c r="Q199">
        <v>0</v>
      </c>
      <c r="R199">
        <v>653080.63401099865</v>
      </c>
      <c r="S199">
        <v>1118850.9299754277</v>
      </c>
      <c r="T199">
        <v>210727.48356149459</v>
      </c>
      <c r="U199">
        <v>0</v>
      </c>
      <c r="V199">
        <v>3859.9229570722082</v>
      </c>
      <c r="W199">
        <v>0</v>
      </c>
      <c r="X199">
        <v>475757.31357186567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 s="7">
        <v>46231.677743055552</v>
      </c>
    </row>
    <row r="200" spans="1:35">
      <c r="A200" t="s">
        <v>233</v>
      </c>
      <c r="B200">
        <v>191</v>
      </c>
      <c r="C200">
        <v>191</v>
      </c>
      <c r="D200">
        <v>1</v>
      </c>
      <c r="E200">
        <v>9215520.9277999997</v>
      </c>
      <c r="F200">
        <v>9215520.9276498221</v>
      </c>
      <c r="G200">
        <v>8320989.8562053544</v>
      </c>
      <c r="H200">
        <v>4758668.9319739873</v>
      </c>
      <c r="I200">
        <v>0</v>
      </c>
      <c r="J200">
        <v>696141.50547385484</v>
      </c>
      <c r="K200">
        <v>1014074.8907800531</v>
      </c>
      <c r="L200">
        <v>586533.45024786878</v>
      </c>
      <c r="M200">
        <v>484878.3714545265</v>
      </c>
      <c r="N200">
        <v>0</v>
      </c>
      <c r="O200">
        <v>0</v>
      </c>
      <c r="P200">
        <v>971986.8574700735</v>
      </c>
      <c r="Q200">
        <v>0</v>
      </c>
      <c r="R200">
        <v>293584.22025952599</v>
      </c>
      <c r="S200">
        <v>525151.63000322157</v>
      </c>
      <c r="T200">
        <v>107434.40440194122</v>
      </c>
      <c r="U200">
        <v>0</v>
      </c>
      <c r="V200">
        <v>14385.815322966415</v>
      </c>
      <c r="W200">
        <v>0</v>
      </c>
      <c r="X200">
        <v>232247.76244145268</v>
      </c>
      <c r="Y200">
        <v>0</v>
      </c>
      <c r="Z200">
        <v>0</v>
      </c>
      <c r="AA200">
        <v>15311.45927488563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 s="7">
        <v>46231.677812499998</v>
      </c>
    </row>
    <row r="201" spans="1:35">
      <c r="A201" t="s">
        <v>234</v>
      </c>
      <c r="B201">
        <v>192</v>
      </c>
      <c r="C201">
        <v>192</v>
      </c>
      <c r="D201">
        <v>1</v>
      </c>
      <c r="E201">
        <v>5325297.0125000002</v>
      </c>
      <c r="F201">
        <v>5325297.0128522394</v>
      </c>
      <c r="G201">
        <v>4795872.3199333083</v>
      </c>
      <c r="H201">
        <v>2719048.5585410716</v>
      </c>
      <c r="I201">
        <v>0</v>
      </c>
      <c r="J201">
        <v>420040.0549176216</v>
      </c>
      <c r="K201">
        <v>590515.30153216282</v>
      </c>
      <c r="L201">
        <v>340221.5584721709</v>
      </c>
      <c r="M201">
        <v>278594.89640453376</v>
      </c>
      <c r="N201">
        <v>0</v>
      </c>
      <c r="O201">
        <v>0</v>
      </c>
      <c r="P201">
        <v>554711.3334665962</v>
      </c>
      <c r="Q201">
        <v>0</v>
      </c>
      <c r="R201">
        <v>171335.51300368112</v>
      </c>
      <c r="S201">
        <v>310691.80527874921</v>
      </c>
      <c r="T201">
        <v>60449.152221574819</v>
      </c>
      <c r="U201">
        <v>0</v>
      </c>
      <c r="V201">
        <v>6388.1567917919501</v>
      </c>
      <c r="W201">
        <v>0</v>
      </c>
      <c r="X201">
        <v>141792.76779978978</v>
      </c>
      <c r="Y201">
        <v>0</v>
      </c>
      <c r="Z201">
        <v>0</v>
      </c>
      <c r="AA201">
        <v>10102.810827024472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 s="7">
        <v>46231.677870370368</v>
      </c>
    </row>
    <row r="202" spans="1:35">
      <c r="A202" t="s">
        <v>235</v>
      </c>
      <c r="B202">
        <v>193</v>
      </c>
      <c r="C202">
        <v>193</v>
      </c>
      <c r="D202">
        <v>1</v>
      </c>
      <c r="E202">
        <v>418700.81780000002</v>
      </c>
      <c r="F202">
        <v>418700.81787389168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418700.81787389168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 s="7">
        <v>46231.677928240744</v>
      </c>
    </row>
    <row r="203" spans="1:35">
      <c r="A203" t="s">
        <v>236</v>
      </c>
      <c r="B203">
        <v>194</v>
      </c>
      <c r="C203">
        <v>194</v>
      </c>
      <c r="D203">
        <v>1</v>
      </c>
      <c r="E203">
        <v>922881.20900000003</v>
      </c>
      <c r="F203">
        <v>922881.20865027525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922881.20865027525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 s="7">
        <v>46231.677974537037</v>
      </c>
    </row>
    <row r="204" spans="1:35">
      <c r="A204" t="s">
        <v>237</v>
      </c>
      <c r="B204">
        <v>195</v>
      </c>
      <c r="C204">
        <v>195</v>
      </c>
      <c r="D204">
        <v>1</v>
      </c>
      <c r="E204">
        <v>610216.76560000004</v>
      </c>
      <c r="F204">
        <v>610216.76569415419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600216.76569415419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10000</v>
      </c>
      <c r="AH204">
        <v>10000</v>
      </c>
      <c r="AI204" s="7">
        <v>46231.678032407406</v>
      </c>
    </row>
    <row r="205" spans="1:35">
      <c r="A205" t="s">
        <v>238</v>
      </c>
      <c r="B205">
        <v>196</v>
      </c>
      <c r="C205">
        <v>196</v>
      </c>
      <c r="D205">
        <v>1</v>
      </c>
      <c r="E205">
        <v>1815895.4654000001</v>
      </c>
      <c r="F205">
        <v>1815895.4654088027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1791895.4654088027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24000</v>
      </c>
      <c r="AH205">
        <v>24000</v>
      </c>
      <c r="AI205" s="7">
        <v>46231.678090277775</v>
      </c>
    </row>
    <row r="206" spans="1:35">
      <c r="A206" t="s">
        <v>239</v>
      </c>
      <c r="B206">
        <v>197</v>
      </c>
      <c r="C206">
        <v>197</v>
      </c>
      <c r="D206">
        <v>1</v>
      </c>
      <c r="E206">
        <v>1507844.9169000001</v>
      </c>
      <c r="F206">
        <v>1507844.9170929415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1497844.9170929415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10000</v>
      </c>
      <c r="AH206">
        <v>10000</v>
      </c>
      <c r="AI206" s="7">
        <v>46231.678124999999</v>
      </c>
    </row>
    <row r="207" spans="1:35">
      <c r="A207" t="s">
        <v>240</v>
      </c>
      <c r="B207">
        <v>198</v>
      </c>
      <c r="C207">
        <v>198</v>
      </c>
      <c r="D207">
        <v>1</v>
      </c>
      <c r="E207">
        <v>1693272.9065</v>
      </c>
      <c r="F207">
        <v>1693272.9065268994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1362520.3723468469</v>
      </c>
      <c r="V207">
        <v>0</v>
      </c>
      <c r="W207">
        <v>310752.53418005275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20000</v>
      </c>
      <c r="AH207">
        <v>20000</v>
      </c>
      <c r="AI207" s="7">
        <v>46231.678182870368</v>
      </c>
    </row>
    <row r="208" spans="1:35">
      <c r="A208" t="s">
        <v>241</v>
      </c>
      <c r="B208">
        <v>199</v>
      </c>
      <c r="C208">
        <v>199</v>
      </c>
      <c r="D208">
        <v>1</v>
      </c>
      <c r="E208">
        <v>1969421.8907999999</v>
      </c>
      <c r="F208">
        <v>1969421.8866094451</v>
      </c>
      <c r="G208">
        <v>1969421.8866094451</v>
      </c>
      <c r="H208">
        <v>930046.81941326137</v>
      </c>
      <c r="I208">
        <v>0</v>
      </c>
      <c r="J208">
        <v>0</v>
      </c>
      <c r="K208">
        <v>0</v>
      </c>
      <c r="L208">
        <v>1039375.0671961858</v>
      </c>
      <c r="M208">
        <v>1039375.0671961858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 s="7">
        <v>46231.678240740737</v>
      </c>
    </row>
    <row r="209" spans="1:35">
      <c r="A209" t="s">
        <v>242</v>
      </c>
      <c r="B209">
        <v>200</v>
      </c>
      <c r="C209">
        <v>200</v>
      </c>
      <c r="D209">
        <v>1</v>
      </c>
      <c r="E209">
        <v>1053468.9362000001</v>
      </c>
      <c r="F209">
        <v>1053468.9422644691</v>
      </c>
      <c r="G209">
        <v>1053468.9422644691</v>
      </c>
      <c r="H209">
        <v>609168.33617583127</v>
      </c>
      <c r="I209">
        <v>0</v>
      </c>
      <c r="J209">
        <v>0</v>
      </c>
      <c r="K209">
        <v>3128.9751429239495</v>
      </c>
      <c r="L209">
        <v>441171.6309457114</v>
      </c>
      <c r="M209">
        <v>433215.55503625423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 s="7">
        <v>46231.678287037037</v>
      </c>
    </row>
    <row r="210" spans="1:35">
      <c r="A210" t="s">
        <v>243</v>
      </c>
      <c r="B210">
        <v>201</v>
      </c>
      <c r="C210">
        <v>201</v>
      </c>
      <c r="D210">
        <v>1</v>
      </c>
      <c r="E210">
        <v>1258325.2265999999</v>
      </c>
      <c r="F210">
        <v>1258325.231684102</v>
      </c>
      <c r="G210">
        <v>1258325.231684102</v>
      </c>
      <c r="H210">
        <v>745835.17875338567</v>
      </c>
      <c r="I210">
        <v>0</v>
      </c>
      <c r="J210">
        <v>0</v>
      </c>
      <c r="K210">
        <v>10984.115575272141</v>
      </c>
      <c r="L210">
        <v>501505.93735544826</v>
      </c>
      <c r="M210">
        <v>489441.77357072494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 s="7">
        <v>46231.678333333337</v>
      </c>
    </row>
    <row r="211" spans="1:35">
      <c r="A211" t="s">
        <v>244</v>
      </c>
      <c r="B211">
        <v>202</v>
      </c>
      <c r="C211">
        <v>202</v>
      </c>
      <c r="D211">
        <v>1</v>
      </c>
      <c r="E211">
        <v>2646392.3832</v>
      </c>
      <c r="F211">
        <v>2646392.3825734411</v>
      </c>
      <c r="G211">
        <v>2646392.3825734411</v>
      </c>
      <c r="H211">
        <v>1486400.4418511912</v>
      </c>
      <c r="I211">
        <v>0</v>
      </c>
      <c r="J211">
        <v>0</v>
      </c>
      <c r="K211">
        <v>13788.51198357063</v>
      </c>
      <c r="L211">
        <v>1146203.4287386818</v>
      </c>
      <c r="M211">
        <v>1120936.014533075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 s="7">
        <v>46231.678391203706</v>
      </c>
    </row>
    <row r="212" spans="1:35">
      <c r="A212" t="s">
        <v>245</v>
      </c>
      <c r="B212">
        <v>203</v>
      </c>
      <c r="C212">
        <v>203</v>
      </c>
      <c r="D212">
        <v>1</v>
      </c>
      <c r="E212">
        <v>3438424.9898999999</v>
      </c>
      <c r="F212">
        <v>3438424.9898673319</v>
      </c>
      <c r="G212">
        <v>3402678.0019832305</v>
      </c>
      <c r="H212">
        <v>136623.30479459191</v>
      </c>
      <c r="I212">
        <v>0</v>
      </c>
      <c r="J212">
        <v>1308038.5650763204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1075334.7577536344</v>
      </c>
      <c r="Q212">
        <v>0</v>
      </c>
      <c r="R212">
        <v>882681.37435868173</v>
      </c>
      <c r="S212">
        <v>0</v>
      </c>
      <c r="T212">
        <v>0</v>
      </c>
      <c r="U212">
        <v>0</v>
      </c>
      <c r="V212">
        <v>35746.987884101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 s="7">
        <v>46231.678460648145</v>
      </c>
    </row>
    <row r="213" spans="1:35">
      <c r="A213" t="s">
        <v>246</v>
      </c>
      <c r="B213">
        <v>204</v>
      </c>
      <c r="C213">
        <v>204</v>
      </c>
      <c r="D213">
        <v>1</v>
      </c>
      <c r="E213">
        <v>2195686.3511999999</v>
      </c>
      <c r="F213">
        <v>2195686.3509717388</v>
      </c>
      <c r="G213">
        <v>2195686.3509717388</v>
      </c>
      <c r="H213">
        <v>94899.432128919623</v>
      </c>
      <c r="I213">
        <v>0</v>
      </c>
      <c r="J213">
        <v>719519.53368907247</v>
      </c>
      <c r="K213">
        <v>545097.3126400453</v>
      </c>
      <c r="L213">
        <v>633782.70495934796</v>
      </c>
      <c r="M213">
        <v>618274.26193530823</v>
      </c>
      <c r="N213">
        <v>0</v>
      </c>
      <c r="O213">
        <v>0</v>
      </c>
      <c r="P213">
        <v>108835.08175496492</v>
      </c>
      <c r="Q213">
        <v>0</v>
      </c>
      <c r="R213">
        <v>93552.285799387886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 s="7">
        <v>46231.678518518522</v>
      </c>
    </row>
    <row r="214" spans="1:35">
      <c r="A214" t="s">
        <v>247</v>
      </c>
      <c r="B214">
        <v>205</v>
      </c>
      <c r="C214">
        <v>205</v>
      </c>
      <c r="D214">
        <v>1</v>
      </c>
      <c r="E214">
        <v>9306353.3333000001</v>
      </c>
      <c r="F214">
        <v>9306353.3331063818</v>
      </c>
      <c r="G214">
        <v>9306353.3331063818</v>
      </c>
      <c r="H214">
        <v>302449.00798344938</v>
      </c>
      <c r="I214">
        <v>0</v>
      </c>
      <c r="J214">
        <v>1772018.0695503661</v>
      </c>
      <c r="K214">
        <v>3344610.5283730337</v>
      </c>
      <c r="L214">
        <v>3887275.7271995307</v>
      </c>
      <c r="M214">
        <v>3591984.1623963369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 s="7">
        <v>46231.678564814814</v>
      </c>
    </row>
    <row r="215" spans="1:35">
      <c r="A215" t="s">
        <v>248</v>
      </c>
      <c r="B215">
        <v>206</v>
      </c>
      <c r="C215">
        <v>206</v>
      </c>
      <c r="D215">
        <v>1</v>
      </c>
      <c r="E215">
        <v>3129490.8067000001</v>
      </c>
      <c r="F215">
        <v>3129490.8225105307</v>
      </c>
      <c r="G215">
        <v>3129490.8225105307</v>
      </c>
      <c r="H215">
        <v>111390.34802507181</v>
      </c>
      <c r="I215">
        <v>0</v>
      </c>
      <c r="J215">
        <v>632110.58353375515</v>
      </c>
      <c r="K215">
        <v>1092024.7928936619</v>
      </c>
      <c r="L215">
        <v>1293965.0980580752</v>
      </c>
      <c r="M215">
        <v>1146752.1687713675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 s="7">
        <v>46231.678611111114</v>
      </c>
    </row>
    <row r="216" spans="1:35">
      <c r="A216" t="s">
        <v>249</v>
      </c>
      <c r="B216">
        <v>207</v>
      </c>
      <c r="C216">
        <v>207</v>
      </c>
      <c r="D216">
        <v>1</v>
      </c>
      <c r="E216">
        <v>1938914.6274000001</v>
      </c>
      <c r="F216">
        <v>1938914.6331126243</v>
      </c>
      <c r="G216">
        <v>1938914.6331126243</v>
      </c>
      <c r="H216">
        <v>69424.803372301321</v>
      </c>
      <c r="I216">
        <v>0</v>
      </c>
      <c r="J216">
        <v>313091.21520645218</v>
      </c>
      <c r="K216">
        <v>730253.87112579728</v>
      </c>
      <c r="L216">
        <v>826144.74340807647</v>
      </c>
      <c r="M216">
        <v>786144.74328007665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 s="7">
        <v>46231.678668981483</v>
      </c>
    </row>
    <row r="217" spans="1:35">
      <c r="A217" t="s">
        <v>250</v>
      </c>
      <c r="B217">
        <v>208</v>
      </c>
      <c r="C217">
        <v>208</v>
      </c>
      <c r="D217">
        <v>1</v>
      </c>
      <c r="E217">
        <v>922500</v>
      </c>
      <c r="F217">
        <v>922500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922500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 s="7">
        <v>46231.678726851853</v>
      </c>
    </row>
    <row r="218" spans="1:35">
      <c r="A218" t="s">
        <v>251</v>
      </c>
      <c r="B218">
        <v>209</v>
      </c>
      <c r="C218">
        <v>209</v>
      </c>
      <c r="D218">
        <v>1</v>
      </c>
      <c r="E218">
        <v>2739646.4312999998</v>
      </c>
      <c r="F218">
        <v>2739646.4311062931</v>
      </c>
      <c r="G218">
        <v>2267925.5626400113</v>
      </c>
      <c r="H218">
        <v>229382.48813026704</v>
      </c>
      <c r="I218">
        <v>0</v>
      </c>
      <c r="J218">
        <v>364283.66625734814</v>
      </c>
      <c r="K218">
        <v>408355.92554703722</v>
      </c>
      <c r="L218">
        <v>94997.378889270694</v>
      </c>
      <c r="M218">
        <v>94997.378889270694</v>
      </c>
      <c r="N218">
        <v>0</v>
      </c>
      <c r="O218">
        <v>0</v>
      </c>
      <c r="P218">
        <v>775056.45194514573</v>
      </c>
      <c r="Q218">
        <v>0</v>
      </c>
      <c r="R218">
        <v>395849.65187094215</v>
      </c>
      <c r="S218">
        <v>297314.0406529053</v>
      </c>
      <c r="T218">
        <v>51080.415625726964</v>
      </c>
      <c r="U218">
        <v>0</v>
      </c>
      <c r="V218">
        <v>0</v>
      </c>
      <c r="W218">
        <v>0</v>
      </c>
      <c r="X218">
        <v>123326.4121876503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 s="7">
        <v>46231.678865740738</v>
      </c>
    </row>
    <row r="219" spans="1:35">
      <c r="A219" t="s">
        <v>252</v>
      </c>
      <c r="B219">
        <v>210</v>
      </c>
      <c r="C219">
        <v>210</v>
      </c>
      <c r="D219">
        <v>1</v>
      </c>
      <c r="E219">
        <v>1442375.6089999999</v>
      </c>
      <c r="F219">
        <v>1442375.6091060243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1080893.707485527</v>
      </c>
      <c r="R219">
        <v>0</v>
      </c>
      <c r="S219">
        <v>361481.90162049769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 s="7">
        <v>46231.678923611114</v>
      </c>
    </row>
    <row r="220" spans="1:35">
      <c r="A220" t="s">
        <v>253</v>
      </c>
      <c r="B220">
        <v>211</v>
      </c>
      <c r="C220">
        <v>211</v>
      </c>
      <c r="D220">
        <v>1</v>
      </c>
      <c r="E220">
        <v>3936020.3544999999</v>
      </c>
      <c r="F220">
        <v>3936020.3543396448</v>
      </c>
      <c r="G220">
        <v>0</v>
      </c>
      <c r="H220">
        <v>0</v>
      </c>
      <c r="I220">
        <v>2218480.0012891912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1717540.3530504529</v>
      </c>
      <c r="U220">
        <v>0</v>
      </c>
      <c r="V220">
        <v>0</v>
      </c>
      <c r="W220">
        <v>0</v>
      </c>
      <c r="X220">
        <v>0</v>
      </c>
      <c r="Y220">
        <v>1717540.3530504529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 s="7">
        <v>46231.678993055553</v>
      </c>
    </row>
    <row r="221" spans="1:35">
      <c r="A221" t="s">
        <v>254</v>
      </c>
      <c r="B221">
        <v>212</v>
      </c>
      <c r="C221">
        <v>212</v>
      </c>
      <c r="D221">
        <v>1</v>
      </c>
      <c r="E221">
        <v>1831346.8902</v>
      </c>
      <c r="F221">
        <v>1831346.890407135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1831346.890407135</v>
      </c>
      <c r="U221">
        <v>0</v>
      </c>
      <c r="V221">
        <v>0</v>
      </c>
      <c r="W221">
        <v>0</v>
      </c>
      <c r="X221">
        <v>0</v>
      </c>
      <c r="Y221">
        <v>1831346.890407135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 s="7">
        <v>46231.679039351853</v>
      </c>
    </row>
    <row r="222" spans="1:35">
      <c r="A222" t="s">
        <v>255</v>
      </c>
      <c r="B222">
        <v>213</v>
      </c>
      <c r="C222">
        <v>213</v>
      </c>
      <c r="D222">
        <v>1</v>
      </c>
      <c r="E222">
        <v>1145427.0852999999</v>
      </c>
      <c r="F222">
        <v>1145427.0852704116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410500</v>
      </c>
      <c r="U222">
        <v>0</v>
      </c>
      <c r="V222">
        <v>0</v>
      </c>
      <c r="W222">
        <v>734927.08527041157</v>
      </c>
      <c r="X222">
        <v>0</v>
      </c>
      <c r="Y222">
        <v>410500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 s="7">
        <v>46231.679097222222</v>
      </c>
    </row>
    <row r="223" spans="1:35">
      <c r="A223" t="s">
        <v>256</v>
      </c>
      <c r="B223">
        <v>214</v>
      </c>
      <c r="C223">
        <v>214</v>
      </c>
      <c r="D223">
        <v>1</v>
      </c>
      <c r="E223">
        <v>2316634.6198999998</v>
      </c>
      <c r="F223">
        <v>2316634.6199935735</v>
      </c>
      <c r="G223">
        <v>2305507.6243875129</v>
      </c>
      <c r="H223">
        <v>1070733.2785361083</v>
      </c>
      <c r="I223">
        <v>0</v>
      </c>
      <c r="J223">
        <v>53709.90995502453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832535.71757404099</v>
      </c>
      <c r="Q223">
        <v>0</v>
      </c>
      <c r="R223">
        <v>348528.71832233761</v>
      </c>
      <c r="S223">
        <v>0</v>
      </c>
      <c r="T223">
        <v>0</v>
      </c>
      <c r="U223">
        <v>0</v>
      </c>
      <c r="V223">
        <v>11126.995606060264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 s="7">
        <v>46231.679131944446</v>
      </c>
    </row>
    <row r="224" spans="1:35">
      <c r="A224" t="s">
        <v>257</v>
      </c>
      <c r="B224">
        <v>215</v>
      </c>
      <c r="C224">
        <v>215</v>
      </c>
      <c r="D224">
        <v>1</v>
      </c>
      <c r="E224">
        <v>2532582.8114</v>
      </c>
      <c r="F224">
        <v>2532582.8112375527</v>
      </c>
      <c r="G224">
        <v>2522582.8112375527</v>
      </c>
      <c r="H224">
        <v>1044461.2939184002</v>
      </c>
      <c r="I224">
        <v>0</v>
      </c>
      <c r="J224">
        <v>40279.939652765133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1069102.9780151928</v>
      </c>
      <c r="Q224">
        <v>0</v>
      </c>
      <c r="R224">
        <v>368738.59965119447</v>
      </c>
      <c r="S224">
        <v>0</v>
      </c>
      <c r="T224">
        <v>0</v>
      </c>
      <c r="U224">
        <v>0</v>
      </c>
      <c r="V224">
        <v>10000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 s="7">
        <v>46231.679166666669</v>
      </c>
    </row>
    <row r="225" spans="1:35">
      <c r="A225" t="s">
        <v>258</v>
      </c>
      <c r="B225">
        <v>216</v>
      </c>
      <c r="C225">
        <v>216</v>
      </c>
      <c r="D225">
        <v>1</v>
      </c>
      <c r="E225">
        <v>2687995.4350999999</v>
      </c>
      <c r="F225">
        <v>2687995.435182197</v>
      </c>
      <c r="G225">
        <v>2670995.435182197</v>
      </c>
      <c r="H225">
        <v>960403.71657359297</v>
      </c>
      <c r="I225">
        <v>0</v>
      </c>
      <c r="J225">
        <v>51036.312065934704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1346911.3900389436</v>
      </c>
      <c r="Q225">
        <v>0</v>
      </c>
      <c r="R225">
        <v>312644.01650372637</v>
      </c>
      <c r="S225">
        <v>0</v>
      </c>
      <c r="T225">
        <v>0</v>
      </c>
      <c r="U225">
        <v>0</v>
      </c>
      <c r="V225">
        <v>17000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 s="7">
        <v>46231.679189814815</v>
      </c>
    </row>
    <row r="226" spans="1:35">
      <c r="A226" t="s">
        <v>259</v>
      </c>
      <c r="B226">
        <v>217</v>
      </c>
      <c r="C226">
        <v>217</v>
      </c>
      <c r="D226">
        <v>1</v>
      </c>
      <c r="E226">
        <v>5385330.4836999997</v>
      </c>
      <c r="F226">
        <v>5385330.4835981196</v>
      </c>
      <c r="G226">
        <v>3640912.4380991026</v>
      </c>
      <c r="H226">
        <v>1553781.9161777841</v>
      </c>
      <c r="I226">
        <v>0</v>
      </c>
      <c r="J226">
        <v>263954.60203813895</v>
      </c>
      <c r="K226">
        <v>637906.2287171433</v>
      </c>
      <c r="L226">
        <v>262557.45948868321</v>
      </c>
      <c r="M226">
        <v>232557.45948868323</v>
      </c>
      <c r="N226">
        <v>0</v>
      </c>
      <c r="O226">
        <v>0</v>
      </c>
      <c r="P226">
        <v>756146.5589096318</v>
      </c>
      <c r="Q226">
        <v>0</v>
      </c>
      <c r="R226">
        <v>166565.67276772237</v>
      </c>
      <c r="S226">
        <v>1015322.4571303232</v>
      </c>
      <c r="T226">
        <v>171030.0110030564</v>
      </c>
      <c r="U226">
        <v>0</v>
      </c>
      <c r="V226">
        <v>38688.828341024171</v>
      </c>
      <c r="W226">
        <v>0</v>
      </c>
      <c r="X226">
        <v>519376.74902461073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 s="7">
        <v>46231.679224537038</v>
      </c>
    </row>
    <row r="227" spans="1:35">
      <c r="A227" t="s">
        <v>260</v>
      </c>
      <c r="B227">
        <v>218</v>
      </c>
      <c r="C227">
        <v>218</v>
      </c>
      <c r="D227">
        <v>1</v>
      </c>
      <c r="E227">
        <v>965994.92619999999</v>
      </c>
      <c r="F227">
        <v>965994.92599885201</v>
      </c>
      <c r="G227">
        <v>965994.92599885201</v>
      </c>
      <c r="H227">
        <v>30000</v>
      </c>
      <c r="I227">
        <v>0</v>
      </c>
      <c r="J227">
        <v>19013.141531321096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623099.96379755891</v>
      </c>
      <c r="Q227">
        <v>0</v>
      </c>
      <c r="R227">
        <v>293881.82066997193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 s="7">
        <v>46231.679247685184</v>
      </c>
    </row>
    <row r="228" spans="1:35">
      <c r="A228" t="s">
        <v>261</v>
      </c>
      <c r="B228">
        <v>219</v>
      </c>
      <c r="C228">
        <v>219</v>
      </c>
      <c r="D228">
        <v>1</v>
      </c>
      <c r="E228">
        <v>7580951.4348999998</v>
      </c>
      <c r="F228">
        <v>7580951.4384428617</v>
      </c>
      <c r="G228">
        <v>7580951.4384428617</v>
      </c>
      <c r="H228">
        <v>7577924.7030346394</v>
      </c>
      <c r="I228">
        <v>0</v>
      </c>
      <c r="J228">
        <v>114.21181378895739</v>
      </c>
      <c r="K228">
        <v>530.19253671180047</v>
      </c>
      <c r="L228">
        <v>2382.3310577233915</v>
      </c>
      <c r="M228">
        <v>2054.7486240392723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 s="7">
        <v>46231.679282407407</v>
      </c>
    </row>
    <row r="229" spans="1:35">
      <c r="A229" t="s">
        <v>262</v>
      </c>
      <c r="B229">
        <v>220</v>
      </c>
      <c r="C229">
        <v>220</v>
      </c>
      <c r="D229">
        <v>1</v>
      </c>
      <c r="E229">
        <v>8805238.9263000004</v>
      </c>
      <c r="F229">
        <v>8805238.9199670479</v>
      </c>
      <c r="G229">
        <v>8776299.4757455941</v>
      </c>
      <c r="H229">
        <v>8769173.6473220065</v>
      </c>
      <c r="I229">
        <v>0</v>
      </c>
      <c r="J229">
        <v>2.5488899877920521</v>
      </c>
      <c r="K229">
        <v>0</v>
      </c>
      <c r="L229">
        <v>7123.279533601436</v>
      </c>
      <c r="M229">
        <v>298.11120403757388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28939.444221451944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 s="7">
        <v>46231.679305555554</v>
      </c>
    </row>
    <row r="230" spans="1:35">
      <c r="A230" t="s">
        <v>263</v>
      </c>
      <c r="B230">
        <v>221</v>
      </c>
      <c r="C230">
        <v>221</v>
      </c>
      <c r="D230">
        <v>1</v>
      </c>
      <c r="E230">
        <v>5816793.7999999998</v>
      </c>
      <c r="F230">
        <v>5816793.7957507065</v>
      </c>
      <c r="G230">
        <v>5811710.3286959212</v>
      </c>
      <c r="H230">
        <v>5803683.139399495</v>
      </c>
      <c r="I230">
        <v>0</v>
      </c>
      <c r="J230">
        <v>0</v>
      </c>
      <c r="K230">
        <v>6572.393334742158</v>
      </c>
      <c r="L230">
        <v>1454.7959616842002</v>
      </c>
      <c r="M230">
        <v>12.454954483038383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5001.8573613672852</v>
      </c>
      <c r="W230">
        <v>0</v>
      </c>
      <c r="X230">
        <v>0</v>
      </c>
      <c r="Y230">
        <v>0</v>
      </c>
      <c r="Z230">
        <v>0</v>
      </c>
      <c r="AA230">
        <v>81.609693417204468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 s="7">
        <v>46231.679351851853</v>
      </c>
    </row>
    <row r="231" spans="1:35">
      <c r="A231" t="s">
        <v>264</v>
      </c>
      <c r="B231">
        <v>222</v>
      </c>
      <c r="C231">
        <v>222</v>
      </c>
      <c r="D231">
        <v>1</v>
      </c>
      <c r="E231">
        <v>7992518.6886999998</v>
      </c>
      <c r="F231">
        <v>7992518.689169432</v>
      </c>
      <c r="G231">
        <v>7992518.689169432</v>
      </c>
      <c r="H231">
        <v>7986300.9601151505</v>
      </c>
      <c r="I231">
        <v>0</v>
      </c>
      <c r="J231">
        <v>138.38664732628794</v>
      </c>
      <c r="K231">
        <v>642.416621878917</v>
      </c>
      <c r="L231">
        <v>5436.9257850766116</v>
      </c>
      <c r="M231">
        <v>2489.6704092671598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 s="7">
        <v>46231.679409722223</v>
      </c>
    </row>
    <row r="232" spans="1:35">
      <c r="A232" t="s">
        <v>265</v>
      </c>
      <c r="B232">
        <v>223</v>
      </c>
      <c r="C232">
        <v>223</v>
      </c>
      <c r="D232">
        <v>1</v>
      </c>
      <c r="E232">
        <v>10241894.7192</v>
      </c>
      <c r="F232">
        <v>10241894.719289243</v>
      </c>
      <c r="G232">
        <v>10207854.07719459</v>
      </c>
      <c r="H232">
        <v>10202469.110319274</v>
      </c>
      <c r="I232">
        <v>0</v>
      </c>
      <c r="J232">
        <v>2.8891168147089066</v>
      </c>
      <c r="K232">
        <v>0</v>
      </c>
      <c r="L232">
        <v>5382.0777585011965</v>
      </c>
      <c r="M232">
        <v>337.9032034976704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34040.642094653209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 s="7">
        <v>46231.679432870369</v>
      </c>
    </row>
    <row r="233" spans="1:35">
      <c r="A233" t="s">
        <v>266</v>
      </c>
      <c r="B233">
        <v>224</v>
      </c>
      <c r="C233">
        <v>224</v>
      </c>
      <c r="D233">
        <v>1</v>
      </c>
      <c r="E233">
        <v>9882578.6883000005</v>
      </c>
      <c r="F233">
        <v>9882578.6880827677</v>
      </c>
      <c r="G233">
        <v>9873460.0022844858</v>
      </c>
      <c r="H233">
        <v>9857517.1127011199</v>
      </c>
      <c r="I233">
        <v>0</v>
      </c>
      <c r="J233">
        <v>0</v>
      </c>
      <c r="K233">
        <v>13053.503208264843</v>
      </c>
      <c r="L233">
        <v>2889.386375102039</v>
      </c>
      <c r="M233">
        <v>24.736923069366537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8956.5998821493722</v>
      </c>
      <c r="W233">
        <v>0</v>
      </c>
      <c r="X233">
        <v>0</v>
      </c>
      <c r="Y233">
        <v>0</v>
      </c>
      <c r="Z233">
        <v>0</v>
      </c>
      <c r="AA233">
        <v>162.08591613283008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 s="7">
        <v>46231.679490740738</v>
      </c>
    </row>
    <row r="234" spans="1:35">
      <c r="A234" t="s">
        <v>267</v>
      </c>
      <c r="B234">
        <v>225</v>
      </c>
      <c r="C234">
        <v>225</v>
      </c>
      <c r="D234">
        <v>1</v>
      </c>
      <c r="E234">
        <v>7146961.8940000003</v>
      </c>
      <c r="F234">
        <v>7146961.8854015041</v>
      </c>
      <c r="G234">
        <v>7126722.803638489</v>
      </c>
      <c r="H234">
        <v>7110019.6002718518</v>
      </c>
      <c r="I234">
        <v>0</v>
      </c>
      <c r="J234">
        <v>239.45859921546136</v>
      </c>
      <c r="K234">
        <v>0</v>
      </c>
      <c r="L234">
        <v>16423.542720681304</v>
      </c>
      <c r="M234">
        <v>14.757606440489754</v>
      </c>
      <c r="N234">
        <v>0</v>
      </c>
      <c r="O234">
        <v>0</v>
      </c>
      <c r="P234">
        <v>0</v>
      </c>
      <c r="Q234">
        <v>0</v>
      </c>
      <c r="R234">
        <v>40.202046739058154</v>
      </c>
      <c r="S234">
        <v>0</v>
      </c>
      <c r="T234">
        <v>0</v>
      </c>
      <c r="U234">
        <v>0</v>
      </c>
      <c r="V234">
        <v>15213.665387060893</v>
      </c>
      <c r="W234">
        <v>0</v>
      </c>
      <c r="X234">
        <v>0</v>
      </c>
      <c r="Y234">
        <v>0</v>
      </c>
      <c r="Z234">
        <v>0</v>
      </c>
      <c r="AA234">
        <v>5025.4163759562989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 s="7">
        <v>46231.679548611108</v>
      </c>
    </row>
    <row r="235" spans="1:35">
      <c r="A235" t="s">
        <v>268</v>
      </c>
      <c r="B235">
        <v>226</v>
      </c>
      <c r="C235">
        <v>226</v>
      </c>
      <c r="D235">
        <v>1</v>
      </c>
      <c r="E235">
        <v>415507.71830000001</v>
      </c>
      <c r="F235">
        <v>415507.71840621374</v>
      </c>
      <c r="G235">
        <v>415507.71840621374</v>
      </c>
      <c r="H235">
        <v>18694.107575443515</v>
      </c>
      <c r="I235">
        <v>0</v>
      </c>
      <c r="J235">
        <v>0</v>
      </c>
      <c r="K235">
        <v>396813.61083077028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 s="7">
        <v>46231.679583333331</v>
      </c>
    </row>
    <row r="236" spans="1:35">
      <c r="A236" t="s">
        <v>269</v>
      </c>
      <c r="B236">
        <v>227</v>
      </c>
      <c r="C236">
        <v>227</v>
      </c>
      <c r="D236">
        <v>1</v>
      </c>
      <c r="E236">
        <v>1063952.4183</v>
      </c>
      <c r="F236">
        <v>1063952.4171424634</v>
      </c>
      <c r="G236">
        <v>692405.20176753984</v>
      </c>
      <c r="H236">
        <v>251648.93290333575</v>
      </c>
      <c r="I236">
        <v>0</v>
      </c>
      <c r="J236">
        <v>7606.1214036677438</v>
      </c>
      <c r="K236">
        <v>244688.90939586991</v>
      </c>
      <c r="L236">
        <v>0</v>
      </c>
      <c r="M236">
        <v>0</v>
      </c>
      <c r="N236">
        <v>157561.79979915067</v>
      </c>
      <c r="O236">
        <v>157561.79979915067</v>
      </c>
      <c r="P236">
        <v>152004.91249687938</v>
      </c>
      <c r="Q236">
        <v>0</v>
      </c>
      <c r="R236">
        <v>36456.325567787455</v>
      </c>
      <c r="S236">
        <v>213787.89303393985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197.52254183248579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 s="7">
        <v>46231.6796412037</v>
      </c>
    </row>
    <row r="237" spans="1:35">
      <c r="A237" t="s">
        <v>270</v>
      </c>
      <c r="B237">
        <v>228</v>
      </c>
      <c r="C237">
        <v>228</v>
      </c>
      <c r="D237">
        <v>1</v>
      </c>
      <c r="E237">
        <v>16787887.519900002</v>
      </c>
      <c r="F237">
        <v>16787887.506163049</v>
      </c>
      <c r="G237">
        <v>11618764.232459452</v>
      </c>
      <c r="H237">
        <v>5068873.8187336931</v>
      </c>
      <c r="I237">
        <v>0</v>
      </c>
      <c r="J237">
        <v>1304681.6563160962</v>
      </c>
      <c r="K237">
        <v>1558556.0091515854</v>
      </c>
      <c r="L237">
        <v>581504.78367495851</v>
      </c>
      <c r="M237">
        <v>492111.01678205357</v>
      </c>
      <c r="N237">
        <v>0</v>
      </c>
      <c r="O237">
        <v>0</v>
      </c>
      <c r="P237">
        <v>2189064.2163631171</v>
      </c>
      <c r="Q237">
        <v>0</v>
      </c>
      <c r="R237">
        <v>916083.74822006049</v>
      </c>
      <c r="S237">
        <v>3214961.2796112294</v>
      </c>
      <c r="T237">
        <v>450917.70453887683</v>
      </c>
      <c r="U237">
        <v>0</v>
      </c>
      <c r="V237">
        <v>110778.84673264904</v>
      </c>
      <c r="W237">
        <v>0</v>
      </c>
      <c r="X237">
        <v>1392465.4428209167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 s="7">
        <v>46231.679675925923</v>
      </c>
    </row>
    <row r="238" spans="1:35">
      <c r="A238" t="s">
        <v>271</v>
      </c>
      <c r="B238">
        <v>229</v>
      </c>
      <c r="C238">
        <v>229</v>
      </c>
      <c r="D238">
        <v>1</v>
      </c>
      <c r="E238">
        <v>5026807.6523000002</v>
      </c>
      <c r="F238">
        <v>5026807.6522994153</v>
      </c>
      <c r="G238">
        <v>3648248.3566986956</v>
      </c>
      <c r="H238">
        <v>2066706.9930732585</v>
      </c>
      <c r="I238">
        <v>0</v>
      </c>
      <c r="J238">
        <v>224172.5319737278</v>
      </c>
      <c r="K238">
        <v>495873.55539562623</v>
      </c>
      <c r="L238">
        <v>160134.90517936216</v>
      </c>
      <c r="M238">
        <v>138471.55877718044</v>
      </c>
      <c r="N238">
        <v>0</v>
      </c>
      <c r="O238">
        <v>0</v>
      </c>
      <c r="P238">
        <v>637929.71797723661</v>
      </c>
      <c r="Q238">
        <v>0</v>
      </c>
      <c r="R238">
        <v>63430.65309948397</v>
      </c>
      <c r="S238">
        <v>944967.01485809369</v>
      </c>
      <c r="T238">
        <v>194981.55230275865</v>
      </c>
      <c r="U238">
        <v>0</v>
      </c>
      <c r="V238">
        <v>18017.501083476913</v>
      </c>
      <c r="W238">
        <v>0</v>
      </c>
      <c r="X238">
        <v>220593.22735639138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 s="7">
        <v>46231.679699074077</v>
      </c>
    </row>
    <row r="239" spans="1:35">
      <c r="A239" t="s">
        <v>272</v>
      </c>
      <c r="B239">
        <v>230</v>
      </c>
      <c r="C239">
        <v>230</v>
      </c>
      <c r="D239">
        <v>1</v>
      </c>
      <c r="E239">
        <v>2451690.2664999999</v>
      </c>
      <c r="F239">
        <v>2451690.2665331913</v>
      </c>
      <c r="G239">
        <v>2062675.6106647998</v>
      </c>
      <c r="H239">
        <v>101328.43534175864</v>
      </c>
      <c r="I239">
        <v>0</v>
      </c>
      <c r="J239">
        <v>128940.28583052852</v>
      </c>
      <c r="K239">
        <v>0</v>
      </c>
      <c r="L239">
        <v>0</v>
      </c>
      <c r="M239">
        <v>0</v>
      </c>
      <c r="N239">
        <v>279312.80800555728</v>
      </c>
      <c r="O239">
        <v>279312.80800555728</v>
      </c>
      <c r="P239">
        <v>1340109.9782162695</v>
      </c>
      <c r="Q239">
        <v>0</v>
      </c>
      <c r="R239">
        <v>492296.91127624386</v>
      </c>
      <c r="S239">
        <v>0</v>
      </c>
      <c r="T239">
        <v>0</v>
      </c>
      <c r="U239">
        <v>0</v>
      </c>
      <c r="V239">
        <v>8644.2907709335159</v>
      </c>
      <c r="W239">
        <v>0</v>
      </c>
      <c r="X239">
        <v>0</v>
      </c>
      <c r="Y239">
        <v>0</v>
      </c>
      <c r="Z239">
        <v>101057.55709189997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 s="7">
        <v>46231.679745370369</v>
      </c>
    </row>
    <row r="240" spans="1:35">
      <c r="A240" t="s">
        <v>273</v>
      </c>
      <c r="B240">
        <v>231</v>
      </c>
      <c r="C240">
        <v>231</v>
      </c>
      <c r="D240">
        <v>1</v>
      </c>
      <c r="E240">
        <v>4308516.0943999998</v>
      </c>
      <c r="F240">
        <v>4308516.0944069484</v>
      </c>
      <c r="G240">
        <v>4308516.0944069484</v>
      </c>
      <c r="H240">
        <v>4308516.0944069484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 s="7">
        <v>46231.679791666669</v>
      </c>
    </row>
    <row r="241" spans="1:35">
      <c r="A241" t="s">
        <v>274</v>
      </c>
      <c r="B241">
        <v>232</v>
      </c>
      <c r="C241">
        <v>232</v>
      </c>
      <c r="D241">
        <v>1</v>
      </c>
      <c r="E241">
        <v>5917440.9068999998</v>
      </c>
      <c r="F241">
        <v>5917440.9070606697</v>
      </c>
      <c r="G241">
        <v>5917440.9070606697</v>
      </c>
      <c r="H241">
        <v>5907247.6829126766</v>
      </c>
      <c r="I241">
        <v>0</v>
      </c>
      <c r="J241">
        <v>10193.224147992205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 s="7">
        <v>46231.679826388892</v>
      </c>
    </row>
    <row r="242" spans="1:35">
      <c r="A242" t="s">
        <v>275</v>
      </c>
      <c r="B242">
        <v>233</v>
      </c>
      <c r="C242">
        <v>233</v>
      </c>
      <c r="D242">
        <v>1</v>
      </c>
      <c r="E242">
        <v>4389310.6098999996</v>
      </c>
      <c r="F242">
        <v>4389310.609705219</v>
      </c>
      <c r="G242">
        <v>4389310.609705219</v>
      </c>
      <c r="H242">
        <v>4374310.609705219</v>
      </c>
      <c r="I242">
        <v>0</v>
      </c>
      <c r="J242">
        <v>15000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 s="7">
        <v>46231.679872685185</v>
      </c>
    </row>
    <row r="243" spans="1:35">
      <c r="A243" t="s">
        <v>276</v>
      </c>
      <c r="B243">
        <v>234</v>
      </c>
      <c r="C243">
        <v>234</v>
      </c>
      <c r="D243">
        <v>1</v>
      </c>
      <c r="E243">
        <v>2736720.9547000001</v>
      </c>
      <c r="F243">
        <v>2736720.9543351461</v>
      </c>
      <c r="G243">
        <v>2736720.9543351461</v>
      </c>
      <c r="H243">
        <v>2736720.9543351461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 s="7">
        <v>46231.679918981485</v>
      </c>
    </row>
    <row r="244" spans="1:35">
      <c r="A244" t="s">
        <v>277</v>
      </c>
      <c r="B244">
        <v>235</v>
      </c>
      <c r="C244">
        <v>235</v>
      </c>
      <c r="D244">
        <v>1</v>
      </c>
      <c r="E244">
        <v>5011846.9298</v>
      </c>
      <c r="F244">
        <v>5011846.9295006655</v>
      </c>
      <c r="G244">
        <v>5011846.9295006655</v>
      </c>
      <c r="H244">
        <v>5011846.9295006655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 s="7">
        <v>46231.6799537037</v>
      </c>
    </row>
    <row r="245" spans="1:35">
      <c r="A245" t="s">
        <v>278</v>
      </c>
      <c r="B245">
        <v>236</v>
      </c>
      <c r="C245">
        <v>236</v>
      </c>
      <c r="D245">
        <v>1</v>
      </c>
      <c r="E245">
        <v>1168125</v>
      </c>
      <c r="F245">
        <v>1168125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1168125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 s="7">
        <v>46231.679976851854</v>
      </c>
    </row>
    <row r="246" spans="1:35">
      <c r="A246" t="s">
        <v>279</v>
      </c>
      <c r="B246">
        <v>237</v>
      </c>
      <c r="C246">
        <v>237</v>
      </c>
      <c r="D246">
        <v>1</v>
      </c>
      <c r="E246">
        <v>1473750</v>
      </c>
      <c r="F246">
        <v>1473750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1428750</v>
      </c>
      <c r="T246">
        <v>22500</v>
      </c>
      <c r="U246">
        <v>0</v>
      </c>
      <c r="V246">
        <v>0</v>
      </c>
      <c r="W246">
        <v>0</v>
      </c>
      <c r="X246">
        <v>22500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 s="7">
        <v>46231.68</v>
      </c>
    </row>
    <row r="247" spans="1:35">
      <c r="A247" t="s">
        <v>280</v>
      </c>
      <c r="B247">
        <v>238</v>
      </c>
      <c r="C247">
        <v>238</v>
      </c>
      <c r="D247">
        <v>1</v>
      </c>
      <c r="E247">
        <v>1473750</v>
      </c>
      <c r="F247">
        <v>1473750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1428750</v>
      </c>
      <c r="T247">
        <v>22500</v>
      </c>
      <c r="U247">
        <v>0</v>
      </c>
      <c r="V247">
        <v>0</v>
      </c>
      <c r="W247">
        <v>0</v>
      </c>
      <c r="X247">
        <v>22500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 s="7">
        <v>46231.680034722223</v>
      </c>
    </row>
    <row r="248" spans="1:35">
      <c r="A248" t="s">
        <v>281</v>
      </c>
      <c r="B248">
        <v>239</v>
      </c>
      <c r="C248">
        <v>239</v>
      </c>
      <c r="D248">
        <v>1</v>
      </c>
      <c r="E248">
        <v>1494573.9657000001</v>
      </c>
      <c r="F248">
        <v>1494573.9657088413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1494573.9657088413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 s="7">
        <v>46231.680069444446</v>
      </c>
    </row>
    <row r="249" spans="1:35">
      <c r="A249" t="s">
        <v>282</v>
      </c>
      <c r="B249">
        <v>240</v>
      </c>
      <c r="C249">
        <v>240</v>
      </c>
      <c r="D249">
        <v>1</v>
      </c>
      <c r="E249">
        <v>2291877.7752999999</v>
      </c>
      <c r="F249">
        <v>2291877.7757278048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2291868.8812340293</v>
      </c>
      <c r="T249">
        <v>0</v>
      </c>
      <c r="U249">
        <v>0</v>
      </c>
      <c r="V249">
        <v>0</v>
      </c>
      <c r="W249">
        <v>0</v>
      </c>
      <c r="X249">
        <v>8.8944937753628999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 s="7">
        <v>46231.680092592593</v>
      </c>
    </row>
    <row r="250" spans="1:35">
      <c r="A250" t="s">
        <v>283</v>
      </c>
      <c r="B250">
        <v>241</v>
      </c>
      <c r="C250">
        <v>241</v>
      </c>
      <c r="D250">
        <v>1</v>
      </c>
      <c r="E250">
        <v>13078706.9098</v>
      </c>
      <c r="F250">
        <v>13078706.909470258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13078693.593373246</v>
      </c>
      <c r="T250">
        <v>0</v>
      </c>
      <c r="U250">
        <v>0</v>
      </c>
      <c r="V250">
        <v>0</v>
      </c>
      <c r="W250">
        <v>0</v>
      </c>
      <c r="X250">
        <v>13.316097012123844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 s="7">
        <v>46231.680138888885</v>
      </c>
    </row>
    <row r="251" spans="1:35">
      <c r="A251" t="s">
        <v>284</v>
      </c>
      <c r="B251">
        <v>242</v>
      </c>
      <c r="C251">
        <v>242</v>
      </c>
      <c r="D251">
        <v>1</v>
      </c>
      <c r="E251">
        <v>6214496.0004000003</v>
      </c>
      <c r="F251">
        <v>6214496.0007092673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6202343.7333541662</v>
      </c>
      <c r="T251">
        <v>0</v>
      </c>
      <c r="U251">
        <v>0</v>
      </c>
      <c r="V251">
        <v>0</v>
      </c>
      <c r="W251">
        <v>0</v>
      </c>
      <c r="X251">
        <v>12152.267355100927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 s="7">
        <v>46231.680196759262</v>
      </c>
    </row>
    <row r="252" spans="1:35">
      <c r="A252" t="s">
        <v>285</v>
      </c>
      <c r="B252">
        <v>243</v>
      </c>
      <c r="C252">
        <v>243</v>
      </c>
      <c r="D252">
        <v>1</v>
      </c>
      <c r="E252">
        <v>2423633.4580000001</v>
      </c>
      <c r="F252">
        <v>2423633.4579062294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2423633.4579062294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 s="7">
        <v>46231.680243055554</v>
      </c>
    </row>
    <row r="253" spans="1:35">
      <c r="A253" t="s">
        <v>286</v>
      </c>
      <c r="B253">
        <v>244</v>
      </c>
      <c r="C253">
        <v>244</v>
      </c>
      <c r="D253">
        <v>1</v>
      </c>
      <c r="E253">
        <v>7685541.6463000001</v>
      </c>
      <c r="F253">
        <v>7685541.6461666226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7685505.3232964082</v>
      </c>
      <c r="T253">
        <v>0</v>
      </c>
      <c r="U253">
        <v>0</v>
      </c>
      <c r="V253">
        <v>0</v>
      </c>
      <c r="W253">
        <v>0</v>
      </c>
      <c r="X253">
        <v>36.322870213813466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 s="7">
        <v>46231.680300925924</v>
      </c>
    </row>
    <row r="254" spans="1:35">
      <c r="A254" t="s">
        <v>287</v>
      </c>
      <c r="B254">
        <v>245</v>
      </c>
      <c r="C254">
        <v>245</v>
      </c>
      <c r="D254">
        <v>1</v>
      </c>
      <c r="E254">
        <v>1009847.2741</v>
      </c>
      <c r="F254">
        <v>1009847.2741275955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1009847.2741275955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 s="7">
        <v>46231.680358796293</v>
      </c>
    </row>
    <row r="255" spans="1:35">
      <c r="A255" t="s">
        <v>288</v>
      </c>
      <c r="B255">
        <v>246</v>
      </c>
      <c r="C255">
        <v>246</v>
      </c>
      <c r="D255">
        <v>1</v>
      </c>
      <c r="E255">
        <v>1432423.6099</v>
      </c>
      <c r="F255">
        <v>1432423.6098298782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1432418.0507712686</v>
      </c>
      <c r="T255">
        <v>0</v>
      </c>
      <c r="U255">
        <v>0</v>
      </c>
      <c r="V255">
        <v>0</v>
      </c>
      <c r="W255">
        <v>0</v>
      </c>
      <c r="X255">
        <v>5.559058609601812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 s="7">
        <v>46231.68041666667</v>
      </c>
    </row>
    <row r="256" spans="1:35">
      <c r="A256" t="s">
        <v>289</v>
      </c>
      <c r="B256">
        <v>247</v>
      </c>
      <c r="C256">
        <v>247</v>
      </c>
      <c r="D256">
        <v>1</v>
      </c>
      <c r="E256">
        <v>12820231.2468</v>
      </c>
      <c r="F256">
        <v>12820231.246612983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12820221.26047889</v>
      </c>
      <c r="T256">
        <v>0</v>
      </c>
      <c r="U256">
        <v>0</v>
      </c>
      <c r="V256">
        <v>0</v>
      </c>
      <c r="W256">
        <v>0</v>
      </c>
      <c r="X256">
        <v>9.9861340950165509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 s="7">
        <v>46231.680474537039</v>
      </c>
    </row>
    <row r="257" spans="1:35">
      <c r="A257" t="s">
        <v>290</v>
      </c>
      <c r="B257">
        <v>248</v>
      </c>
      <c r="C257">
        <v>248</v>
      </c>
      <c r="D257">
        <v>1</v>
      </c>
      <c r="E257">
        <v>3949568.8160000001</v>
      </c>
      <c r="F257">
        <v>3949568.8239128999</v>
      </c>
      <c r="G257">
        <v>3241724.0708963345</v>
      </c>
      <c r="H257">
        <v>1625591.501928925</v>
      </c>
      <c r="I257">
        <v>0</v>
      </c>
      <c r="J257">
        <v>202583.13959112731</v>
      </c>
      <c r="K257">
        <v>447032.70983347052</v>
      </c>
      <c r="L257">
        <v>150748.24752255148</v>
      </c>
      <c r="M257">
        <v>118903.3644636332</v>
      </c>
      <c r="N257">
        <v>0</v>
      </c>
      <c r="O257">
        <v>0</v>
      </c>
      <c r="P257">
        <v>572380.86883982643</v>
      </c>
      <c r="Q257">
        <v>0</v>
      </c>
      <c r="R257">
        <v>243387.60318043461</v>
      </c>
      <c r="S257">
        <v>488175.97214443045</v>
      </c>
      <c r="T257">
        <v>50937.087109560278</v>
      </c>
      <c r="U257">
        <v>0</v>
      </c>
      <c r="V257">
        <v>21058.880013033977</v>
      </c>
      <c r="W257">
        <v>0</v>
      </c>
      <c r="X257">
        <v>147672.81374955209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 s="7">
        <v>46231.680543981478</v>
      </c>
    </row>
    <row r="258" spans="1:35">
      <c r="A258" t="s">
        <v>291</v>
      </c>
      <c r="B258">
        <v>249</v>
      </c>
      <c r="C258">
        <v>249</v>
      </c>
      <c r="D258">
        <v>1</v>
      </c>
      <c r="E258">
        <v>5932505.4040999999</v>
      </c>
      <c r="F258">
        <v>5932505.3880259283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5932505.3880259283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 s="7">
        <v>46231.680601851855</v>
      </c>
    </row>
    <row r="259" spans="1:35">
      <c r="A259" t="s">
        <v>292</v>
      </c>
      <c r="B259">
        <v>250</v>
      </c>
      <c r="C259">
        <v>250</v>
      </c>
      <c r="D259">
        <v>1</v>
      </c>
      <c r="E259">
        <v>19466182.682599999</v>
      </c>
      <c r="F259">
        <v>19466182.672291402</v>
      </c>
      <c r="G259">
        <v>19421182.672521397</v>
      </c>
      <c r="H259">
        <v>13176677.106873348</v>
      </c>
      <c r="I259">
        <v>0</v>
      </c>
      <c r="J259">
        <v>391905.81213822658</v>
      </c>
      <c r="K259">
        <v>1079619.173120802</v>
      </c>
      <c r="L259">
        <v>4091007.8474114439</v>
      </c>
      <c r="M259">
        <v>4052134.6955704507</v>
      </c>
      <c r="N259">
        <v>0</v>
      </c>
      <c r="O259">
        <v>0</v>
      </c>
      <c r="P259">
        <v>512478.20390914858</v>
      </c>
      <c r="Q259">
        <v>0</v>
      </c>
      <c r="R259">
        <v>169494.52906827893</v>
      </c>
      <c r="S259">
        <v>0</v>
      </c>
      <c r="T259">
        <v>0</v>
      </c>
      <c r="U259">
        <v>0</v>
      </c>
      <c r="V259">
        <v>44999.999770000002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 s="7">
        <v>46231.680671296293</v>
      </c>
    </row>
    <row r="260" spans="1:35">
      <c r="A260" t="s">
        <v>293</v>
      </c>
      <c r="B260">
        <v>251</v>
      </c>
      <c r="C260">
        <v>251</v>
      </c>
      <c r="D260">
        <v>1</v>
      </c>
      <c r="E260">
        <v>5256350.5160999997</v>
      </c>
      <c r="F260">
        <v>5256350.5615463275</v>
      </c>
      <c r="G260">
        <v>5243654.2596913008</v>
      </c>
      <c r="H260">
        <v>3461741.7487799828</v>
      </c>
      <c r="I260">
        <v>0</v>
      </c>
      <c r="J260">
        <v>130007.85578342488</v>
      </c>
      <c r="K260">
        <v>366399.59082010854</v>
      </c>
      <c r="L260">
        <v>1082662.6939381137</v>
      </c>
      <c r="M260">
        <v>1066944.3097598483</v>
      </c>
      <c r="N260">
        <v>0</v>
      </c>
      <c r="O260">
        <v>0</v>
      </c>
      <c r="P260">
        <v>158301.35132196447</v>
      </c>
      <c r="Q260">
        <v>0</v>
      </c>
      <c r="R260">
        <v>44541.019047595975</v>
      </c>
      <c r="S260">
        <v>0</v>
      </c>
      <c r="T260">
        <v>0</v>
      </c>
      <c r="U260">
        <v>0</v>
      </c>
      <c r="V260">
        <v>10314.189710161356</v>
      </c>
      <c r="W260">
        <v>0</v>
      </c>
      <c r="X260">
        <v>0</v>
      </c>
      <c r="Y260">
        <v>0</v>
      </c>
      <c r="Z260">
        <v>0</v>
      </c>
      <c r="AA260">
        <v>2382.1121448646477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 s="7">
        <v>46231.680717592593</v>
      </c>
    </row>
    <row r="261" spans="1:35">
      <c r="A261" t="s">
        <v>294</v>
      </c>
      <c r="B261">
        <v>252</v>
      </c>
      <c r="C261">
        <v>252</v>
      </c>
      <c r="D261">
        <v>1</v>
      </c>
      <c r="E261">
        <v>37069294.7742</v>
      </c>
      <c r="F261">
        <v>37069294.774569511</v>
      </c>
      <c r="G261">
        <v>36978333.149176553</v>
      </c>
      <c r="H261">
        <v>25402621.214559883</v>
      </c>
      <c r="I261">
        <v>0</v>
      </c>
      <c r="J261">
        <v>687184.56298914005</v>
      </c>
      <c r="K261">
        <v>1783272.8798289592</v>
      </c>
      <c r="L261">
        <v>7893430.8586718235</v>
      </c>
      <c r="M261">
        <v>7831404.5531495074</v>
      </c>
      <c r="N261">
        <v>0</v>
      </c>
      <c r="O261">
        <v>0</v>
      </c>
      <c r="P261">
        <v>884595.12532868783</v>
      </c>
      <c r="Q261">
        <v>0</v>
      </c>
      <c r="R261">
        <v>327228.50779802969</v>
      </c>
      <c r="S261">
        <v>0</v>
      </c>
      <c r="T261">
        <v>0</v>
      </c>
      <c r="U261">
        <v>0</v>
      </c>
      <c r="V261">
        <v>90961.625392962291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 s="7">
        <v>46231.680752314816</v>
      </c>
    </row>
    <row r="262" spans="1:35">
      <c r="A262" t="s">
        <v>295</v>
      </c>
      <c r="B262">
        <v>253</v>
      </c>
      <c r="C262">
        <v>253</v>
      </c>
      <c r="D262">
        <v>1</v>
      </c>
      <c r="E262">
        <v>9477768.5446000006</v>
      </c>
      <c r="F262">
        <v>9477768.5449579656</v>
      </c>
      <c r="G262">
        <v>9457768.5449579656</v>
      </c>
      <c r="H262">
        <v>6351577.3403900964</v>
      </c>
      <c r="I262">
        <v>0</v>
      </c>
      <c r="J262">
        <v>207870.84670690392</v>
      </c>
      <c r="K262">
        <v>580480.77601212938</v>
      </c>
      <c r="L262">
        <v>1966287.4253830947</v>
      </c>
      <c r="M262">
        <v>1944466.0668713597</v>
      </c>
      <c r="N262">
        <v>0</v>
      </c>
      <c r="O262">
        <v>0</v>
      </c>
      <c r="P262">
        <v>271520.95399924996</v>
      </c>
      <c r="Q262">
        <v>0</v>
      </c>
      <c r="R262">
        <v>80031.202466490678</v>
      </c>
      <c r="S262">
        <v>0</v>
      </c>
      <c r="T262">
        <v>0</v>
      </c>
      <c r="U262">
        <v>0</v>
      </c>
      <c r="V262">
        <v>20000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 s="7">
        <v>46231.680787037039</v>
      </c>
    </row>
    <row r="263" spans="1:35">
      <c r="A263" t="s">
        <v>296</v>
      </c>
      <c r="B263">
        <v>254</v>
      </c>
      <c r="C263">
        <v>254</v>
      </c>
      <c r="D263">
        <v>1</v>
      </c>
      <c r="E263">
        <v>2873886.1277999999</v>
      </c>
      <c r="F263">
        <v>2873886.126041586</v>
      </c>
      <c r="G263">
        <v>2146244.5550744724</v>
      </c>
      <c r="H263">
        <v>310447.37820124143</v>
      </c>
      <c r="I263">
        <v>0</v>
      </c>
      <c r="J263">
        <v>225307.46805121726</v>
      </c>
      <c r="K263">
        <v>425254.69035392901</v>
      </c>
      <c r="L263">
        <v>0</v>
      </c>
      <c r="M263">
        <v>0</v>
      </c>
      <c r="N263">
        <v>0</v>
      </c>
      <c r="O263">
        <v>0</v>
      </c>
      <c r="P263">
        <v>949966.35428236274</v>
      </c>
      <c r="Q263">
        <v>0</v>
      </c>
      <c r="R263">
        <v>235268.66418571872</v>
      </c>
      <c r="S263">
        <v>413586.81829182419</v>
      </c>
      <c r="T263">
        <v>75508.972210672742</v>
      </c>
      <c r="U263">
        <v>0</v>
      </c>
      <c r="V263">
        <v>0</v>
      </c>
      <c r="W263">
        <v>0</v>
      </c>
      <c r="X263">
        <v>238545.78046461058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 s="7">
        <v>46231.680821759262</v>
      </c>
    </row>
    <row r="264" spans="1:35">
      <c r="A264" t="s">
        <v>297</v>
      </c>
      <c r="B264">
        <v>255</v>
      </c>
      <c r="C264">
        <v>255</v>
      </c>
      <c r="D264">
        <v>1</v>
      </c>
      <c r="E264">
        <v>3391196.3058000002</v>
      </c>
      <c r="F264">
        <v>3391196.3052072916</v>
      </c>
      <c r="G264">
        <v>0</v>
      </c>
      <c r="H264">
        <v>0</v>
      </c>
      <c r="I264">
        <v>3391196.3052072916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 s="7">
        <v>46231.680868055555</v>
      </c>
    </row>
    <row r="265" spans="1:35">
      <c r="A265" t="s">
        <v>298</v>
      </c>
      <c r="B265">
        <v>256</v>
      </c>
      <c r="C265">
        <v>256</v>
      </c>
      <c r="D265">
        <v>1</v>
      </c>
      <c r="E265">
        <v>1828680.8696000001</v>
      </c>
      <c r="F265">
        <v>1828680.8698805638</v>
      </c>
      <c r="G265">
        <v>1828680.8698805638</v>
      </c>
      <c r="H265">
        <v>59537.923043048671</v>
      </c>
      <c r="I265">
        <v>0</v>
      </c>
      <c r="J265">
        <v>191282.39870778203</v>
      </c>
      <c r="K265">
        <v>690890.84255380416</v>
      </c>
      <c r="L265">
        <v>886969.70557592798</v>
      </c>
      <c r="M265">
        <v>861909.13514625933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 s="7">
        <v>46231.680914351855</v>
      </c>
    </row>
    <row r="266" spans="1:35">
      <c r="A266" t="s">
        <v>299</v>
      </c>
      <c r="B266">
        <v>257</v>
      </c>
      <c r="C266">
        <v>257</v>
      </c>
      <c r="D266">
        <v>1</v>
      </c>
      <c r="E266">
        <v>2372730.2192000002</v>
      </c>
      <c r="F266">
        <v>2372730.2194320224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2350098.2654528241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22631.953979198359</v>
      </c>
      <c r="AH266">
        <v>22631.953979198359</v>
      </c>
      <c r="AI266" s="7">
        <v>46231.680960648147</v>
      </c>
    </row>
    <row r="267" spans="1:35">
      <c r="A267" t="s">
        <v>300</v>
      </c>
      <c r="B267">
        <v>258</v>
      </c>
      <c r="C267">
        <v>258</v>
      </c>
      <c r="D267">
        <v>1</v>
      </c>
      <c r="E267">
        <v>1091997.7512000001</v>
      </c>
      <c r="F267">
        <v>1091997.7507165789</v>
      </c>
      <c r="G267">
        <v>1082325.006133501</v>
      </c>
      <c r="H267">
        <v>41601.11722233695</v>
      </c>
      <c r="I267">
        <v>0</v>
      </c>
      <c r="J267">
        <v>30000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910425.121175654</v>
      </c>
      <c r="Q267">
        <v>0</v>
      </c>
      <c r="R267">
        <v>100298.76773551024</v>
      </c>
      <c r="S267">
        <v>0</v>
      </c>
      <c r="T267">
        <v>0</v>
      </c>
      <c r="U267">
        <v>0</v>
      </c>
      <c r="V267">
        <v>9672.7445830777597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 s="7">
        <v>46231.681006944447</v>
      </c>
    </row>
    <row r="268" spans="1:35">
      <c r="A268" t="s">
        <v>301</v>
      </c>
      <c r="B268">
        <v>259</v>
      </c>
      <c r="C268">
        <v>259</v>
      </c>
      <c r="D268">
        <v>1</v>
      </c>
      <c r="E268">
        <v>4538030.3881999999</v>
      </c>
      <c r="F268">
        <v>4538030.3885579584</v>
      </c>
      <c r="G268">
        <v>0</v>
      </c>
      <c r="H268">
        <v>0</v>
      </c>
      <c r="I268">
        <v>4246403.6658492517</v>
      </c>
      <c r="J268">
        <v>0</v>
      </c>
      <c r="K268">
        <v>0</v>
      </c>
      <c r="L268">
        <v>0</v>
      </c>
      <c r="M268">
        <v>0</v>
      </c>
      <c r="N268">
        <v>291626.72270870669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 s="7">
        <v>46231.681087962963</v>
      </c>
    </row>
    <row r="269" spans="1:35">
      <c r="A269" t="s">
        <v>302</v>
      </c>
      <c r="B269">
        <v>260</v>
      </c>
      <c r="C269">
        <v>260</v>
      </c>
      <c r="D269">
        <v>1</v>
      </c>
      <c r="E269">
        <v>874370.72360000003</v>
      </c>
      <c r="F269">
        <v>874370.72728735872</v>
      </c>
      <c r="G269">
        <v>0</v>
      </c>
      <c r="H269">
        <v>0</v>
      </c>
      <c r="I269">
        <v>874370.72728735872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 s="7">
        <v>46231.681122685186</v>
      </c>
    </row>
    <row r="270" spans="1:35">
      <c r="A270" t="s">
        <v>303</v>
      </c>
      <c r="B270">
        <v>261</v>
      </c>
      <c r="C270">
        <v>261</v>
      </c>
      <c r="D270">
        <v>1</v>
      </c>
      <c r="E270">
        <v>1250329.4663</v>
      </c>
      <c r="F270">
        <v>1250329.4667262936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1250329.4667262936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 s="7">
        <v>46231.681203703702</v>
      </c>
    </row>
    <row r="271" spans="1:35">
      <c r="A271" t="s">
        <v>304</v>
      </c>
      <c r="B271">
        <v>262</v>
      </c>
      <c r="C271">
        <v>262</v>
      </c>
      <c r="D271">
        <v>1</v>
      </c>
      <c r="E271">
        <v>384879.80129999999</v>
      </c>
      <c r="F271">
        <v>384879.80144830665</v>
      </c>
      <c r="G271">
        <v>160223.54795032906</v>
      </c>
      <c r="H271">
        <v>51595.778738426641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108627.76921190243</v>
      </c>
      <c r="Q271">
        <v>0</v>
      </c>
      <c r="R271">
        <v>0</v>
      </c>
      <c r="S271">
        <v>0</v>
      </c>
      <c r="T271">
        <v>58733.203412558199</v>
      </c>
      <c r="U271">
        <v>0</v>
      </c>
      <c r="V271">
        <v>0</v>
      </c>
      <c r="W271">
        <v>0</v>
      </c>
      <c r="X271">
        <v>165922.9280598379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 s="7">
        <v>46231.681250000001</v>
      </c>
    </row>
    <row r="272" spans="1:35">
      <c r="A272" t="s">
        <v>305</v>
      </c>
      <c r="B272">
        <v>263</v>
      </c>
      <c r="C272">
        <v>263</v>
      </c>
      <c r="D272">
        <v>1</v>
      </c>
      <c r="E272">
        <v>1861106.3099</v>
      </c>
      <c r="F272">
        <v>1861106.3043106438</v>
      </c>
      <c r="G272">
        <v>1375417.892758104</v>
      </c>
      <c r="H272">
        <v>935823.62173194147</v>
      </c>
      <c r="I272">
        <v>0</v>
      </c>
      <c r="J272">
        <v>3953.6595167619726</v>
      </c>
      <c r="K272">
        <v>303390.55228581419</v>
      </c>
      <c r="L272">
        <v>92910.170248792303</v>
      </c>
      <c r="M272">
        <v>90807.066773855404</v>
      </c>
      <c r="N272">
        <v>0</v>
      </c>
      <c r="O272">
        <v>0</v>
      </c>
      <c r="P272">
        <v>31852.276104371191</v>
      </c>
      <c r="Q272">
        <v>0</v>
      </c>
      <c r="R272">
        <v>7487.6128704216253</v>
      </c>
      <c r="S272">
        <v>364173.91086116509</v>
      </c>
      <c r="T272">
        <v>54468.937656824055</v>
      </c>
      <c r="U272">
        <v>0</v>
      </c>
      <c r="V272">
        <v>0</v>
      </c>
      <c r="W272">
        <v>0</v>
      </c>
      <c r="X272">
        <v>67045.563034550432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 s="7">
        <v>46231.681319444448</v>
      </c>
    </row>
    <row r="273" spans="1:35">
      <c r="A273" t="s">
        <v>306</v>
      </c>
      <c r="B273">
        <v>264</v>
      </c>
      <c r="C273">
        <v>264</v>
      </c>
      <c r="D273">
        <v>1</v>
      </c>
      <c r="E273">
        <v>5969140.6984000001</v>
      </c>
      <c r="F273">
        <v>5969140.701832436</v>
      </c>
      <c r="G273">
        <v>4923959.149545907</v>
      </c>
      <c r="H273">
        <v>2309446.3034512168</v>
      </c>
      <c r="I273">
        <v>0</v>
      </c>
      <c r="J273">
        <v>416052.20780759363</v>
      </c>
      <c r="K273">
        <v>679824.20602446457</v>
      </c>
      <c r="L273">
        <v>299726.52896370506</v>
      </c>
      <c r="M273">
        <v>229717.42587976094</v>
      </c>
      <c r="N273">
        <v>0</v>
      </c>
      <c r="O273">
        <v>0</v>
      </c>
      <c r="P273">
        <v>796153.0616324608</v>
      </c>
      <c r="Q273">
        <v>0</v>
      </c>
      <c r="R273">
        <v>422756.84166642994</v>
      </c>
      <c r="S273">
        <v>717464.88394904777</v>
      </c>
      <c r="T273">
        <v>53876.322151045024</v>
      </c>
      <c r="U273">
        <v>0</v>
      </c>
      <c r="V273">
        <v>36233.46704150673</v>
      </c>
      <c r="W273">
        <v>0</v>
      </c>
      <c r="X273">
        <v>237606.87914490909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 s="7">
        <v>46231.681354166663</v>
      </c>
    </row>
    <row r="274" spans="1:35">
      <c r="A274" t="s">
        <v>307</v>
      </c>
      <c r="B274">
        <v>265</v>
      </c>
      <c r="C274">
        <v>265</v>
      </c>
      <c r="D274">
        <v>1</v>
      </c>
      <c r="E274">
        <v>2874423.7228000001</v>
      </c>
      <c r="F274">
        <v>2874423.723087369</v>
      </c>
      <c r="G274">
        <v>2588556.0761249959</v>
      </c>
      <c r="H274">
        <v>1963936.4673374752</v>
      </c>
      <c r="I274">
        <v>0</v>
      </c>
      <c r="J274">
        <v>8280.3137637783329</v>
      </c>
      <c r="K274">
        <v>52088.355039806214</v>
      </c>
      <c r="L274">
        <v>23345.392053981508</v>
      </c>
      <c r="M274">
        <v>23345.392053981508</v>
      </c>
      <c r="N274">
        <v>0</v>
      </c>
      <c r="O274">
        <v>0</v>
      </c>
      <c r="P274">
        <v>520481.71754668845</v>
      </c>
      <c r="Q274">
        <v>0</v>
      </c>
      <c r="R274">
        <v>20423.830383266039</v>
      </c>
      <c r="S274">
        <v>138267.55148285226</v>
      </c>
      <c r="T274">
        <v>98288.459940997622</v>
      </c>
      <c r="U274">
        <v>0</v>
      </c>
      <c r="V274">
        <v>0</v>
      </c>
      <c r="W274">
        <v>0</v>
      </c>
      <c r="X274">
        <v>49311.635538524359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 s="7">
        <v>46231.68141203704</v>
      </c>
    </row>
    <row r="275" spans="1:35">
      <c r="A275" t="s">
        <v>308</v>
      </c>
      <c r="B275">
        <v>266</v>
      </c>
      <c r="C275">
        <v>266</v>
      </c>
      <c r="D275">
        <v>1</v>
      </c>
      <c r="E275">
        <v>2376184.4887999999</v>
      </c>
      <c r="F275">
        <v>2376184.4888087232</v>
      </c>
      <c r="G275">
        <v>2203848.1921911631</v>
      </c>
      <c r="H275">
        <v>1613052.4717859614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587968.21699971077</v>
      </c>
      <c r="Q275">
        <v>0</v>
      </c>
      <c r="R275">
        <v>2827.5034054912589</v>
      </c>
      <c r="S275">
        <v>64490.486071115898</v>
      </c>
      <c r="T275">
        <v>100000.00049999999</v>
      </c>
      <c r="U275">
        <v>0</v>
      </c>
      <c r="V275">
        <v>0</v>
      </c>
      <c r="W275">
        <v>0</v>
      </c>
      <c r="X275">
        <v>7845.8100464447243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 s="7">
        <v>46231.681446759256</v>
      </c>
    </row>
    <row r="276" spans="1:35">
      <c r="A276" t="s">
        <v>309</v>
      </c>
      <c r="B276">
        <v>267</v>
      </c>
      <c r="C276">
        <v>267</v>
      </c>
      <c r="D276">
        <v>1</v>
      </c>
      <c r="E276">
        <v>2897336.12</v>
      </c>
      <c r="F276">
        <v>2897336.1201742529</v>
      </c>
      <c r="G276">
        <v>2383903.4065639009</v>
      </c>
      <c r="H276">
        <v>1189980.4008565128</v>
      </c>
      <c r="I276">
        <v>0</v>
      </c>
      <c r="J276">
        <v>147329.25737587857</v>
      </c>
      <c r="K276">
        <v>337406.00103720953</v>
      </c>
      <c r="L276">
        <v>107683.90601788764</v>
      </c>
      <c r="M276">
        <v>82393.427395630759</v>
      </c>
      <c r="N276">
        <v>0</v>
      </c>
      <c r="O276">
        <v>0</v>
      </c>
      <c r="P276">
        <v>424032.74931129086</v>
      </c>
      <c r="Q276">
        <v>0</v>
      </c>
      <c r="R276">
        <v>177471.09196512093</v>
      </c>
      <c r="S276">
        <v>354545.55514405022</v>
      </c>
      <c r="T276">
        <v>40240.158395540362</v>
      </c>
      <c r="U276">
        <v>0</v>
      </c>
      <c r="V276">
        <v>14335.410277970355</v>
      </c>
      <c r="W276">
        <v>0</v>
      </c>
      <c r="X276">
        <v>104311.58979278857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 s="7">
        <v>46231.681504629632</v>
      </c>
    </row>
    <row r="277" spans="1:35">
      <c r="A277" t="s">
        <v>310</v>
      </c>
      <c r="B277">
        <v>268</v>
      </c>
      <c r="C277">
        <v>268</v>
      </c>
      <c r="D277">
        <v>1</v>
      </c>
      <c r="E277">
        <v>866901.05350000004</v>
      </c>
      <c r="F277">
        <v>866901.05338745844</v>
      </c>
      <c r="G277">
        <v>783328.51366593561</v>
      </c>
      <c r="H277">
        <v>464487.14537930803</v>
      </c>
      <c r="I277">
        <v>0</v>
      </c>
      <c r="J277">
        <v>81185.926204427509</v>
      </c>
      <c r="K277">
        <v>57114.948271414229</v>
      </c>
      <c r="L277">
        <v>78708.106486293109</v>
      </c>
      <c r="M277">
        <v>66766.626149188261</v>
      </c>
      <c r="N277">
        <v>0</v>
      </c>
      <c r="O277">
        <v>0</v>
      </c>
      <c r="P277">
        <v>60674.174561033891</v>
      </c>
      <c r="Q277">
        <v>0</v>
      </c>
      <c r="R277">
        <v>41158.212763459</v>
      </c>
      <c r="S277">
        <v>35187.669545532044</v>
      </c>
      <c r="T277">
        <v>3000.0000000000009</v>
      </c>
      <c r="U277">
        <v>0</v>
      </c>
      <c r="V277">
        <v>18782.231728118411</v>
      </c>
      <c r="W277">
        <v>0</v>
      </c>
      <c r="X277">
        <v>25625.102535374383</v>
      </c>
      <c r="Y277">
        <v>0</v>
      </c>
      <c r="Z277">
        <v>0</v>
      </c>
      <c r="AA277">
        <v>977.53591249806345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 s="7">
        <v>46231.681574074071</v>
      </c>
    </row>
    <row r="278" spans="1:35">
      <c r="A278" t="s">
        <v>311</v>
      </c>
      <c r="B278">
        <v>269</v>
      </c>
      <c r="C278">
        <v>269</v>
      </c>
      <c r="D278">
        <v>1</v>
      </c>
      <c r="E278">
        <v>1903450.5878000001</v>
      </c>
      <c r="F278">
        <v>1903450.5875096612</v>
      </c>
      <c r="G278">
        <v>1529096.0932259248</v>
      </c>
      <c r="H278">
        <v>152570.7280040044</v>
      </c>
      <c r="I278">
        <v>0</v>
      </c>
      <c r="J278">
        <v>227481.0906679472</v>
      </c>
      <c r="K278">
        <v>271494.37572242308</v>
      </c>
      <c r="L278">
        <v>48844.249281097618</v>
      </c>
      <c r="M278">
        <v>48844.249281097618</v>
      </c>
      <c r="N278">
        <v>0</v>
      </c>
      <c r="O278">
        <v>0</v>
      </c>
      <c r="P278">
        <v>573331.9633103431</v>
      </c>
      <c r="Q278">
        <v>0</v>
      </c>
      <c r="R278">
        <v>255373.68624010973</v>
      </c>
      <c r="S278">
        <v>247760.65972583008</v>
      </c>
      <c r="T278">
        <v>42195.100867993082</v>
      </c>
      <c r="U278">
        <v>0</v>
      </c>
      <c r="V278">
        <v>0</v>
      </c>
      <c r="W278">
        <v>0</v>
      </c>
      <c r="X278">
        <v>84398.733689912726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 s="7">
        <v>46231.681631944448</v>
      </c>
    </row>
    <row r="279" spans="1:35">
      <c r="A279" t="s">
        <v>312</v>
      </c>
      <c r="B279">
        <v>270</v>
      </c>
      <c r="C279">
        <v>270</v>
      </c>
      <c r="D279">
        <v>1</v>
      </c>
      <c r="E279">
        <v>5670274.9396000002</v>
      </c>
      <c r="F279">
        <v>5670274.9278475307</v>
      </c>
      <c r="G279">
        <v>4645415.6125309067</v>
      </c>
      <c r="H279">
        <v>934179.94502695918</v>
      </c>
      <c r="I279">
        <v>0</v>
      </c>
      <c r="J279">
        <v>825219.31728763622</v>
      </c>
      <c r="K279">
        <v>744289.11887108686</v>
      </c>
      <c r="L279">
        <v>474607.1779139057</v>
      </c>
      <c r="M279">
        <v>394913.50679836358</v>
      </c>
      <c r="N279">
        <v>0</v>
      </c>
      <c r="O279">
        <v>0</v>
      </c>
      <c r="P279">
        <v>966381.67418348498</v>
      </c>
      <c r="Q279">
        <v>0</v>
      </c>
      <c r="R279">
        <v>700738.37924783584</v>
      </c>
      <c r="S279">
        <v>580179.89937259315</v>
      </c>
      <c r="T279">
        <v>96565.731675997289</v>
      </c>
      <c r="U279">
        <v>0</v>
      </c>
      <c r="V279">
        <v>10838.246907639887</v>
      </c>
      <c r="W279">
        <v>0</v>
      </c>
      <c r="X279">
        <v>337275.43736039544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 s="7">
        <v>46231.68167824074</v>
      </c>
    </row>
    <row r="280" spans="1:35">
      <c r="A280" t="s">
        <v>313</v>
      </c>
      <c r="B280">
        <v>271</v>
      </c>
      <c r="C280">
        <v>271</v>
      </c>
      <c r="D280">
        <v>1</v>
      </c>
      <c r="E280">
        <v>8285173.7638999997</v>
      </c>
      <c r="F280">
        <v>8285173.7640780658</v>
      </c>
      <c r="G280">
        <v>4049128.8098016744</v>
      </c>
      <c r="H280">
        <v>896043.51710308017</v>
      </c>
      <c r="I280">
        <v>0</v>
      </c>
      <c r="J280">
        <v>667821.63104045205</v>
      </c>
      <c r="K280">
        <v>699982.53117509885</v>
      </c>
      <c r="L280">
        <v>380663.10021477944</v>
      </c>
      <c r="M280">
        <v>329676.41477018496</v>
      </c>
      <c r="N280">
        <v>1689273.2112199177</v>
      </c>
      <c r="O280">
        <v>1689273.2112199177</v>
      </c>
      <c r="P280">
        <v>807896.01940129045</v>
      </c>
      <c r="Q280">
        <v>1594397.4280316599</v>
      </c>
      <c r="R280">
        <v>596722.01086697297</v>
      </c>
      <c r="S280">
        <v>328649.46367042518</v>
      </c>
      <c r="T280">
        <v>56325.917171013629</v>
      </c>
      <c r="U280">
        <v>0</v>
      </c>
      <c r="V280">
        <v>22189.907184434152</v>
      </c>
      <c r="W280">
        <v>0</v>
      </c>
      <c r="X280">
        <v>228307.06550933374</v>
      </c>
      <c r="Y280">
        <v>0</v>
      </c>
      <c r="Z280">
        <v>314847.6695411267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 s="7">
        <v>46231.681712962964</v>
      </c>
    </row>
    <row r="281" spans="1:35">
      <c r="A281" t="s">
        <v>314</v>
      </c>
      <c r="B281">
        <v>272</v>
      </c>
      <c r="C281">
        <v>272</v>
      </c>
      <c r="D281">
        <v>1</v>
      </c>
      <c r="E281">
        <v>13720361.970799999</v>
      </c>
      <c r="F281">
        <v>13720361.970657224</v>
      </c>
      <c r="G281">
        <v>13587482.699240597</v>
      </c>
      <c r="H281">
        <v>191156.89245623819</v>
      </c>
      <c r="I281">
        <v>0</v>
      </c>
      <c r="J281">
        <v>0</v>
      </c>
      <c r="K281">
        <v>13313560.837704265</v>
      </c>
      <c r="L281">
        <v>71794.103595432112</v>
      </c>
      <c r="M281">
        <v>71794.103595432112</v>
      </c>
      <c r="N281">
        <v>14424.455650494447</v>
      </c>
      <c r="O281">
        <v>14424.455650494447</v>
      </c>
      <c r="P281">
        <v>10970.865484661452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14651.168758623695</v>
      </c>
      <c r="W281">
        <v>0</v>
      </c>
      <c r="X281">
        <v>0</v>
      </c>
      <c r="Y281">
        <v>0</v>
      </c>
      <c r="Z281">
        <v>0</v>
      </c>
      <c r="AA281">
        <v>103803.647007507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 s="7">
        <v>46231.681759259256</v>
      </c>
    </row>
    <row r="282" spans="1:35">
      <c r="A282" t="s">
        <v>315</v>
      </c>
      <c r="B282">
        <v>273</v>
      </c>
      <c r="C282">
        <v>273</v>
      </c>
      <c r="D282">
        <v>1</v>
      </c>
      <c r="E282">
        <v>10163834.2127</v>
      </c>
      <c r="F282">
        <v>10163834.218253026</v>
      </c>
      <c r="G282">
        <v>10115581.559260555</v>
      </c>
      <c r="H282">
        <v>55115.065403389788</v>
      </c>
      <c r="I282">
        <v>0</v>
      </c>
      <c r="J282">
        <v>0</v>
      </c>
      <c r="K282">
        <v>10054462.911021402</v>
      </c>
      <c r="L282">
        <v>6003.582835764103</v>
      </c>
      <c r="M282">
        <v>6003.582835764103</v>
      </c>
      <c r="N282">
        <v>47111.154762163511</v>
      </c>
      <c r="O282">
        <v>47111.154762163511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1141.5042303097268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 s="7">
        <v>46231.681805555556</v>
      </c>
    </row>
    <row r="283" spans="1:35">
      <c r="A283" t="s">
        <v>316</v>
      </c>
      <c r="B283">
        <v>274</v>
      </c>
      <c r="C283">
        <v>274</v>
      </c>
      <c r="D283">
        <v>1</v>
      </c>
      <c r="E283">
        <v>13720361.970799999</v>
      </c>
      <c r="F283">
        <v>13720361.970657224</v>
      </c>
      <c r="G283">
        <v>13587482.699240597</v>
      </c>
      <c r="H283">
        <v>191156.89245623819</v>
      </c>
      <c r="I283">
        <v>0</v>
      </c>
      <c r="J283">
        <v>0</v>
      </c>
      <c r="K283">
        <v>13313560.837704265</v>
      </c>
      <c r="L283">
        <v>71794.103595432112</v>
      </c>
      <c r="M283">
        <v>71794.103595432112</v>
      </c>
      <c r="N283">
        <v>14424.455650494447</v>
      </c>
      <c r="O283">
        <v>14424.455650494447</v>
      </c>
      <c r="P283">
        <v>10970.865484661452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14651.168758623695</v>
      </c>
      <c r="W283">
        <v>0</v>
      </c>
      <c r="X283">
        <v>0</v>
      </c>
      <c r="Y283">
        <v>0</v>
      </c>
      <c r="Z283">
        <v>0</v>
      </c>
      <c r="AA283">
        <v>103803.647007507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 s="7">
        <v>46231.681840277779</v>
      </c>
    </row>
    <row r="284" spans="1:35">
      <c r="A284" t="s">
        <v>317</v>
      </c>
      <c r="B284">
        <v>275</v>
      </c>
      <c r="C284">
        <v>275</v>
      </c>
      <c r="D284">
        <v>1</v>
      </c>
      <c r="E284">
        <v>17133933.357900001</v>
      </c>
      <c r="F284">
        <v>17133933.358129505</v>
      </c>
      <c r="G284">
        <v>16915921.586356226</v>
      </c>
      <c r="H284">
        <v>232463.95294120215</v>
      </c>
      <c r="I284">
        <v>0</v>
      </c>
      <c r="J284">
        <v>0</v>
      </c>
      <c r="K284">
        <v>16616986.990559347</v>
      </c>
      <c r="L284">
        <v>66470.642855669561</v>
      </c>
      <c r="M284">
        <v>66470.642855669561</v>
      </c>
      <c r="N284">
        <v>88296.544061407432</v>
      </c>
      <c r="O284">
        <v>88296.544061407432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69204.035259157215</v>
      </c>
      <c r="W284">
        <v>0</v>
      </c>
      <c r="X284">
        <v>0</v>
      </c>
      <c r="Y284">
        <v>0</v>
      </c>
      <c r="Z284">
        <v>0</v>
      </c>
      <c r="AA284">
        <v>60511.192452711715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 s="7">
        <v>46231.681886574072</v>
      </c>
    </row>
    <row r="285" spans="1:35">
      <c r="A285" t="s">
        <v>318</v>
      </c>
      <c r="B285">
        <v>276</v>
      </c>
      <c r="C285">
        <v>276</v>
      </c>
      <c r="D285">
        <v>1</v>
      </c>
      <c r="E285">
        <v>2143209.0964000002</v>
      </c>
      <c r="F285">
        <v>2143209.092134675</v>
      </c>
      <c r="G285">
        <v>889531.79110461869</v>
      </c>
      <c r="H285">
        <v>162284.95232315556</v>
      </c>
      <c r="I285">
        <v>0</v>
      </c>
      <c r="J285">
        <v>142936.75594520563</v>
      </c>
      <c r="K285">
        <v>203396.53619953286</v>
      </c>
      <c r="L285">
        <v>15075.265164536104</v>
      </c>
      <c r="M285">
        <v>15075.265164536104</v>
      </c>
      <c r="N285">
        <v>37527.245463266081</v>
      </c>
      <c r="O285">
        <v>37527.245463266081</v>
      </c>
      <c r="P285">
        <v>277957.96806269302</v>
      </c>
      <c r="Q285">
        <v>779459.0866910948</v>
      </c>
      <c r="R285">
        <v>87880.313409496172</v>
      </c>
      <c r="S285">
        <v>412037.62884140661</v>
      </c>
      <c r="T285">
        <v>13969.892483180278</v>
      </c>
      <c r="U285">
        <v>0</v>
      </c>
      <c r="V285">
        <v>0</v>
      </c>
      <c r="W285">
        <v>0</v>
      </c>
      <c r="X285">
        <v>10683.447551101332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 s="7">
        <v>46231.681921296295</v>
      </c>
    </row>
    <row r="286" spans="1:35">
      <c r="A286" t="s">
        <v>319</v>
      </c>
      <c r="B286">
        <v>277</v>
      </c>
      <c r="C286">
        <v>277</v>
      </c>
      <c r="D286">
        <v>1</v>
      </c>
      <c r="E286">
        <v>2859159.2122999998</v>
      </c>
      <c r="F286">
        <v>2859159.2123755789</v>
      </c>
      <c r="G286">
        <v>2837559.9195847735</v>
      </c>
      <c r="H286">
        <v>2837559.9195847735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15049.292790806314</v>
      </c>
      <c r="O286">
        <v>15049.292790806314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6550.0000000000064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 s="7">
        <v>46231.681967592594</v>
      </c>
    </row>
    <row r="287" spans="1:35">
      <c r="A287" t="s">
        <v>320</v>
      </c>
      <c r="B287">
        <v>278</v>
      </c>
      <c r="C287">
        <v>278</v>
      </c>
      <c r="D287">
        <v>1</v>
      </c>
      <c r="E287">
        <v>7965896.3077999996</v>
      </c>
      <c r="F287">
        <v>7965896.3075706409</v>
      </c>
      <c r="G287">
        <v>6624771.4042308331</v>
      </c>
      <c r="H287">
        <v>3103192.976281045</v>
      </c>
      <c r="I287">
        <v>0</v>
      </c>
      <c r="J287">
        <v>587272.5524676122</v>
      </c>
      <c r="K287">
        <v>1069625.2022862388</v>
      </c>
      <c r="L287">
        <v>442391.85074531304</v>
      </c>
      <c r="M287">
        <v>397040.72833338927</v>
      </c>
      <c r="N287">
        <v>0</v>
      </c>
      <c r="O287">
        <v>0</v>
      </c>
      <c r="P287">
        <v>1076427.2563781079</v>
      </c>
      <c r="Q287">
        <v>0</v>
      </c>
      <c r="R287">
        <v>345861.56607251562</v>
      </c>
      <c r="S287">
        <v>947637.15333911951</v>
      </c>
      <c r="T287">
        <v>117064.69199621971</v>
      </c>
      <c r="U287">
        <v>0</v>
      </c>
      <c r="V287">
        <v>68559.331722367599</v>
      </c>
      <c r="W287">
        <v>0</v>
      </c>
      <c r="X287">
        <v>200732.65043096952</v>
      </c>
      <c r="Y287">
        <v>0</v>
      </c>
      <c r="Z287">
        <v>0</v>
      </c>
      <c r="AA287">
        <v>7131.0758511303247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 s="7">
        <v>46231.682013888887</v>
      </c>
    </row>
    <row r="288" spans="1:35">
      <c r="A288" t="s">
        <v>321</v>
      </c>
      <c r="B288">
        <v>279</v>
      </c>
      <c r="C288">
        <v>279</v>
      </c>
      <c r="D288">
        <v>1</v>
      </c>
      <c r="E288">
        <v>10638049.8939</v>
      </c>
      <c r="F288">
        <v>10638049.893832734</v>
      </c>
      <c r="G288">
        <v>8887518.0535449926</v>
      </c>
      <c r="H288">
        <v>3915615.1064120722</v>
      </c>
      <c r="I288">
        <v>0</v>
      </c>
      <c r="J288">
        <v>981639.18623856606</v>
      </c>
      <c r="K288">
        <v>1490832.6311947282</v>
      </c>
      <c r="L288">
        <v>712788.22515391919</v>
      </c>
      <c r="M288">
        <v>576237.91907909594</v>
      </c>
      <c r="N288">
        <v>0</v>
      </c>
      <c r="O288">
        <v>0</v>
      </c>
      <c r="P288">
        <v>1302683.6774692656</v>
      </c>
      <c r="Q288">
        <v>0</v>
      </c>
      <c r="R288">
        <v>483959.22707644646</v>
      </c>
      <c r="S288">
        <v>1193496.4389190495</v>
      </c>
      <c r="T288">
        <v>124997.21441716347</v>
      </c>
      <c r="U288">
        <v>0</v>
      </c>
      <c r="V288">
        <v>81877.54955108682</v>
      </c>
      <c r="W288">
        <v>0</v>
      </c>
      <c r="X288">
        <v>350160.63740044209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 s="7">
        <v>46231.682060185187</v>
      </c>
    </row>
    <row r="289" spans="1:35">
      <c r="A289" t="s">
        <v>322</v>
      </c>
      <c r="B289">
        <v>280</v>
      </c>
      <c r="C289">
        <v>280</v>
      </c>
      <c r="D289">
        <v>1</v>
      </c>
      <c r="E289">
        <v>4046765.4583999999</v>
      </c>
      <c r="F289">
        <v>4046765.4579869593</v>
      </c>
      <c r="G289">
        <v>3540730.572153734</v>
      </c>
      <c r="H289">
        <v>1787635.4684740775</v>
      </c>
      <c r="I289">
        <v>0</v>
      </c>
      <c r="J289">
        <v>275299.99525191839</v>
      </c>
      <c r="K289">
        <v>448771.87340164767</v>
      </c>
      <c r="L289">
        <v>125696.55002386264</v>
      </c>
      <c r="M289">
        <v>94195.659091307782</v>
      </c>
      <c r="N289">
        <v>0</v>
      </c>
      <c r="O289">
        <v>0</v>
      </c>
      <c r="P289">
        <v>713573.04347916238</v>
      </c>
      <c r="Q289">
        <v>0</v>
      </c>
      <c r="R289">
        <v>189753.64152306676</v>
      </c>
      <c r="S289">
        <v>361451.32256457215</v>
      </c>
      <c r="T289">
        <v>55962.048151796589</v>
      </c>
      <c r="U289">
        <v>0</v>
      </c>
      <c r="V289">
        <v>15000.000000000004</v>
      </c>
      <c r="W289">
        <v>0</v>
      </c>
      <c r="X289">
        <v>73621.515116854411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 s="7">
        <v>46231.682106481479</v>
      </c>
    </row>
    <row r="290" spans="1:35">
      <c r="A290" t="s">
        <v>323</v>
      </c>
      <c r="B290">
        <v>281</v>
      </c>
      <c r="C290">
        <v>281</v>
      </c>
      <c r="D290">
        <v>1</v>
      </c>
      <c r="E290">
        <v>2558737.8402999998</v>
      </c>
      <c r="F290">
        <v>2558737.8358861897</v>
      </c>
      <c r="G290">
        <v>2231069.8754593916</v>
      </c>
      <c r="H290">
        <v>999983.54445210437</v>
      </c>
      <c r="I290">
        <v>0</v>
      </c>
      <c r="J290">
        <v>160983.60364932986</v>
      </c>
      <c r="K290">
        <v>352444.58264843933</v>
      </c>
      <c r="L290">
        <v>120106.1107624374</v>
      </c>
      <c r="M290">
        <v>96294.155778344066</v>
      </c>
      <c r="N290">
        <v>0</v>
      </c>
      <c r="O290">
        <v>0</v>
      </c>
      <c r="P290">
        <v>473732.59681197355</v>
      </c>
      <c r="Q290">
        <v>0</v>
      </c>
      <c r="R290">
        <v>123819.43713511672</v>
      </c>
      <c r="S290">
        <v>231319.16340479365</v>
      </c>
      <c r="T290">
        <v>34000.000319999999</v>
      </c>
      <c r="U290">
        <v>0</v>
      </c>
      <c r="V290">
        <v>15489.100960694728</v>
      </c>
      <c r="W290">
        <v>0</v>
      </c>
      <c r="X290">
        <v>46859.695741312476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 s="7">
        <v>46231.682152777779</v>
      </c>
    </row>
    <row r="291" spans="1:35">
      <c r="A291" t="s">
        <v>324</v>
      </c>
      <c r="B291">
        <v>282</v>
      </c>
      <c r="C291">
        <v>282</v>
      </c>
      <c r="D291">
        <v>1</v>
      </c>
      <c r="E291">
        <v>4245721.0290000001</v>
      </c>
      <c r="F291">
        <v>4245721.0224509593</v>
      </c>
      <c r="G291">
        <v>3576141.4642412513</v>
      </c>
      <c r="H291">
        <v>1494206.05507338</v>
      </c>
      <c r="I291">
        <v>0</v>
      </c>
      <c r="J291">
        <v>411789.62400704529</v>
      </c>
      <c r="K291">
        <v>551837.99869761197</v>
      </c>
      <c r="L291">
        <v>189791.61113953928</v>
      </c>
      <c r="M291">
        <v>164696.97798582207</v>
      </c>
      <c r="N291">
        <v>0</v>
      </c>
      <c r="O291">
        <v>0</v>
      </c>
      <c r="P291">
        <v>747448.4868092176</v>
      </c>
      <c r="Q291">
        <v>0</v>
      </c>
      <c r="R291">
        <v>181067.68851446101</v>
      </c>
      <c r="S291">
        <v>466365.96355361817</v>
      </c>
      <c r="T291">
        <v>49999.999920000002</v>
      </c>
      <c r="U291">
        <v>0</v>
      </c>
      <c r="V291">
        <v>0</v>
      </c>
      <c r="W291">
        <v>0</v>
      </c>
      <c r="X291">
        <v>153213.59473611423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 s="7">
        <v>46231.682199074072</v>
      </c>
    </row>
    <row r="292" spans="1:35">
      <c r="A292" t="s">
        <v>325</v>
      </c>
      <c r="B292">
        <v>283</v>
      </c>
      <c r="C292">
        <v>283</v>
      </c>
      <c r="D292">
        <v>1</v>
      </c>
      <c r="E292">
        <v>3168895.4382000002</v>
      </c>
      <c r="F292">
        <v>3168895.4381727572</v>
      </c>
      <c r="G292">
        <v>0</v>
      </c>
      <c r="H292">
        <v>0</v>
      </c>
      <c r="I292">
        <v>1086036.7757244427</v>
      </c>
      <c r="J292">
        <v>0</v>
      </c>
      <c r="K292">
        <v>0</v>
      </c>
      <c r="L292">
        <v>0</v>
      </c>
      <c r="M292">
        <v>0</v>
      </c>
      <c r="N292">
        <v>475255.07038534287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110078.85</v>
      </c>
      <c r="U292">
        <v>0</v>
      </c>
      <c r="V292">
        <v>0</v>
      </c>
      <c r="W292">
        <v>0</v>
      </c>
      <c r="X292">
        <v>0</v>
      </c>
      <c r="Y292">
        <v>110078.85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1497524.7420629698</v>
      </c>
      <c r="AH292">
        <v>1497524.7420629698</v>
      </c>
      <c r="AI292" s="7">
        <v>46231.682233796295</v>
      </c>
    </row>
    <row r="293" spans="1:35">
      <c r="A293" t="s">
        <v>326</v>
      </c>
      <c r="B293">
        <v>284</v>
      </c>
      <c r="C293">
        <v>284</v>
      </c>
      <c r="D293">
        <v>1</v>
      </c>
      <c r="E293">
        <v>4025970.8328999998</v>
      </c>
      <c r="F293">
        <v>4025970.8328097803</v>
      </c>
      <c r="G293">
        <v>0</v>
      </c>
      <c r="H293">
        <v>0</v>
      </c>
      <c r="I293">
        <v>3520612.670586586</v>
      </c>
      <c r="J293">
        <v>0</v>
      </c>
      <c r="K293">
        <v>0</v>
      </c>
      <c r="L293">
        <v>0</v>
      </c>
      <c r="M293">
        <v>0</v>
      </c>
      <c r="N293">
        <v>505358.16222319414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 s="7">
        <v>46231.682268518518</v>
      </c>
    </row>
    <row r="294" spans="1:35">
      <c r="A294" t="s">
        <v>327</v>
      </c>
      <c r="B294">
        <v>285</v>
      </c>
      <c r="C294">
        <v>285</v>
      </c>
      <c r="D294">
        <v>1</v>
      </c>
      <c r="E294">
        <v>5607026.2594999997</v>
      </c>
      <c r="F294">
        <v>5607026.2595168818</v>
      </c>
      <c r="G294">
        <v>0</v>
      </c>
      <c r="H294">
        <v>0</v>
      </c>
      <c r="I294">
        <v>4900833.8671927582</v>
      </c>
      <c r="J294">
        <v>0</v>
      </c>
      <c r="K294">
        <v>0</v>
      </c>
      <c r="L294">
        <v>0</v>
      </c>
      <c r="M294">
        <v>0</v>
      </c>
      <c r="N294">
        <v>706192.39232412411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 s="7">
        <v>46231.682303240741</v>
      </c>
    </row>
    <row r="295" spans="1:35">
      <c r="A295" t="s">
        <v>328</v>
      </c>
      <c r="B295">
        <v>286</v>
      </c>
      <c r="C295">
        <v>286</v>
      </c>
      <c r="D295">
        <v>1</v>
      </c>
      <c r="E295">
        <v>1689248.2964999999</v>
      </c>
      <c r="F295">
        <v>1689248.2939225081</v>
      </c>
      <c r="G295">
        <v>1657225.4681924144</v>
      </c>
      <c r="H295">
        <v>24081.29455287258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21184.71437541303</v>
      </c>
      <c r="O295">
        <v>21184.71437541303</v>
      </c>
      <c r="P295">
        <v>999378.24199313961</v>
      </c>
      <c r="Q295">
        <v>0</v>
      </c>
      <c r="R295">
        <v>633765.93164640223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10838.111354680615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 s="7">
        <v>46231.682326388887</v>
      </c>
    </row>
    <row r="296" spans="1:35">
      <c r="A296" t="s">
        <v>329</v>
      </c>
      <c r="B296">
        <v>287</v>
      </c>
      <c r="C296">
        <v>287</v>
      </c>
      <c r="D296">
        <v>1</v>
      </c>
      <c r="E296">
        <v>3985424.2899000002</v>
      </c>
      <c r="F296">
        <v>3985424.2767306208</v>
      </c>
      <c r="G296">
        <v>3554503.6390075586</v>
      </c>
      <c r="H296">
        <v>2018074.8482922427</v>
      </c>
      <c r="I296">
        <v>0</v>
      </c>
      <c r="J296">
        <v>271839.83859778621</v>
      </c>
      <c r="K296">
        <v>316733.59147978789</v>
      </c>
      <c r="L296">
        <v>233030.83176409639</v>
      </c>
      <c r="M296">
        <v>191204.16987619575</v>
      </c>
      <c r="N296">
        <v>0</v>
      </c>
      <c r="O296">
        <v>0</v>
      </c>
      <c r="P296">
        <v>563133.99735015305</v>
      </c>
      <c r="Q296">
        <v>0</v>
      </c>
      <c r="R296">
        <v>151690.53152350578</v>
      </c>
      <c r="S296">
        <v>248024.15188319402</v>
      </c>
      <c r="T296">
        <v>33668.476855509856</v>
      </c>
      <c r="U296">
        <v>0</v>
      </c>
      <c r="V296">
        <v>37578.685515979509</v>
      </c>
      <c r="W296">
        <v>0</v>
      </c>
      <c r="X296">
        <v>111649.32346838291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 s="7">
        <v>46231.68236111111</v>
      </c>
    </row>
    <row r="297" spans="1:35">
      <c r="A297" t="s">
        <v>330</v>
      </c>
      <c r="B297">
        <v>288</v>
      </c>
      <c r="C297">
        <v>288</v>
      </c>
      <c r="D297">
        <v>1</v>
      </c>
      <c r="E297">
        <v>2930705.6370000001</v>
      </c>
      <c r="F297">
        <v>2930705.6250627129</v>
      </c>
      <c r="G297">
        <v>2580297.6810768521</v>
      </c>
      <c r="H297">
        <v>1418336.1062367496</v>
      </c>
      <c r="I297">
        <v>0</v>
      </c>
      <c r="J297">
        <v>241115.97539148229</v>
      </c>
      <c r="K297">
        <v>231757.20322044592</v>
      </c>
      <c r="L297">
        <v>195076.93275822737</v>
      </c>
      <c r="M297">
        <v>160002.34207680647</v>
      </c>
      <c r="N297">
        <v>0</v>
      </c>
      <c r="O297">
        <v>0</v>
      </c>
      <c r="P297">
        <v>377014.69038070703</v>
      </c>
      <c r="Q297">
        <v>0</v>
      </c>
      <c r="R297">
        <v>116996.77308922319</v>
      </c>
      <c r="S297">
        <v>202785.99396347857</v>
      </c>
      <c r="T297">
        <v>21093.288438032359</v>
      </c>
      <c r="U297">
        <v>0</v>
      </c>
      <c r="V297">
        <v>37364.089345126078</v>
      </c>
      <c r="W297">
        <v>0</v>
      </c>
      <c r="X297">
        <v>87611.537605032281</v>
      </c>
      <c r="Y297">
        <v>0</v>
      </c>
      <c r="Z297">
        <v>0</v>
      </c>
      <c r="AA297">
        <v>1553.0346341835759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 s="7">
        <v>46231.682395833333</v>
      </c>
    </row>
    <row r="298" spans="1:35">
      <c r="A298" t="s">
        <v>331</v>
      </c>
      <c r="B298">
        <v>289</v>
      </c>
      <c r="C298">
        <v>289</v>
      </c>
      <c r="D298">
        <v>1</v>
      </c>
      <c r="E298">
        <v>5668447.9555000002</v>
      </c>
      <c r="F298">
        <v>5668447.9556616014</v>
      </c>
      <c r="G298">
        <v>5058573.4952566447</v>
      </c>
      <c r="H298">
        <v>2891931.5062708859</v>
      </c>
      <c r="I298">
        <v>0</v>
      </c>
      <c r="J298">
        <v>369397.72651647928</v>
      </c>
      <c r="K298">
        <v>452199.60950019618</v>
      </c>
      <c r="L298">
        <v>316946.9110598563</v>
      </c>
      <c r="M298">
        <v>260715.05411463065</v>
      </c>
      <c r="N298">
        <v>0</v>
      </c>
      <c r="O298">
        <v>0</v>
      </c>
      <c r="P298">
        <v>813410.34701412253</v>
      </c>
      <c r="Q298">
        <v>0</v>
      </c>
      <c r="R298">
        <v>214687.39489510405</v>
      </c>
      <c r="S298">
        <v>351751.2045801616</v>
      </c>
      <c r="T298">
        <v>48791.38152353288</v>
      </c>
      <c r="U298">
        <v>0</v>
      </c>
      <c r="V298">
        <v>51132.802385852396</v>
      </c>
      <c r="W298">
        <v>0</v>
      </c>
      <c r="X298">
        <v>158199.07191540938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 s="7">
        <v>46231.68241898148</v>
      </c>
    </row>
    <row r="299" spans="1:35">
      <c r="A299" t="s">
        <v>332</v>
      </c>
      <c r="B299">
        <v>290</v>
      </c>
      <c r="C299">
        <v>290</v>
      </c>
      <c r="D299">
        <v>1</v>
      </c>
      <c r="E299">
        <v>8763330.9681000002</v>
      </c>
      <c r="F299">
        <v>8763330.9677114785</v>
      </c>
      <c r="G299">
        <v>7715132.8774930891</v>
      </c>
      <c r="H299">
        <v>4243314.0104424581</v>
      </c>
      <c r="I299">
        <v>0</v>
      </c>
      <c r="J299">
        <v>718784.96958076232</v>
      </c>
      <c r="K299">
        <v>691387.82131576515</v>
      </c>
      <c r="L299">
        <v>584382.96625181753</v>
      </c>
      <c r="M299">
        <v>478942.81938163121</v>
      </c>
      <c r="N299">
        <v>0</v>
      </c>
      <c r="O299">
        <v>0</v>
      </c>
      <c r="P299">
        <v>1129051.8570084092</v>
      </c>
      <c r="Q299">
        <v>0</v>
      </c>
      <c r="R299">
        <v>348211.25289387192</v>
      </c>
      <c r="S299">
        <v>607724.45264310879</v>
      </c>
      <c r="T299">
        <v>62844.571099193286</v>
      </c>
      <c r="U299">
        <v>0</v>
      </c>
      <c r="V299">
        <v>111986.72503414257</v>
      </c>
      <c r="W299">
        <v>0</v>
      </c>
      <c r="X299">
        <v>261108.07508726872</v>
      </c>
      <c r="Y299">
        <v>0</v>
      </c>
      <c r="Z299">
        <v>0</v>
      </c>
      <c r="AA299">
        <v>4534.2663546684471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 s="7">
        <v>46231.682453703703</v>
      </c>
    </row>
    <row r="300" spans="1:35">
      <c r="A300" t="s">
        <v>333</v>
      </c>
      <c r="B300">
        <v>291</v>
      </c>
      <c r="C300">
        <v>291</v>
      </c>
      <c r="D300">
        <v>1</v>
      </c>
      <c r="E300">
        <v>9526147.4287</v>
      </c>
      <c r="F300">
        <v>9526147.4286607578</v>
      </c>
      <c r="G300">
        <v>8350150.5151778776</v>
      </c>
      <c r="H300">
        <v>4318895.4219820825</v>
      </c>
      <c r="I300">
        <v>0</v>
      </c>
      <c r="J300">
        <v>1005365.9424219786</v>
      </c>
      <c r="K300">
        <v>925262.88951610925</v>
      </c>
      <c r="L300">
        <v>797851.09327159915</v>
      </c>
      <c r="M300">
        <v>561945.32042752719</v>
      </c>
      <c r="N300">
        <v>0</v>
      </c>
      <c r="O300">
        <v>0</v>
      </c>
      <c r="P300">
        <v>924220.09901868785</v>
      </c>
      <c r="Q300">
        <v>0</v>
      </c>
      <c r="R300">
        <v>378555.06896743586</v>
      </c>
      <c r="S300">
        <v>653812.54056960344</v>
      </c>
      <c r="T300">
        <v>49729.010149087917</v>
      </c>
      <c r="U300">
        <v>0</v>
      </c>
      <c r="V300">
        <v>179001.75897736603</v>
      </c>
      <c r="W300">
        <v>0</v>
      </c>
      <c r="X300">
        <v>285746.1818827166</v>
      </c>
      <c r="Y300">
        <v>0</v>
      </c>
      <c r="Z300">
        <v>0</v>
      </c>
      <c r="AA300">
        <v>7707.4219041099104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 s="7">
        <v>46231.682488425926</v>
      </c>
    </row>
    <row r="301" spans="1:35">
      <c r="A301" t="s">
        <v>334</v>
      </c>
      <c r="B301">
        <v>292</v>
      </c>
      <c r="C301">
        <v>292</v>
      </c>
      <c r="D301">
        <v>1</v>
      </c>
      <c r="E301">
        <v>3152820.9668999999</v>
      </c>
      <c r="F301">
        <v>3152820.9734204486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2266831.5202614092</v>
      </c>
      <c r="T301">
        <v>358046.38778322987</v>
      </c>
      <c r="U301">
        <v>0</v>
      </c>
      <c r="V301">
        <v>0</v>
      </c>
      <c r="W301">
        <v>0</v>
      </c>
      <c r="X301">
        <v>527943.0653758219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 s="7">
        <v>46231.682534722226</v>
      </c>
    </row>
    <row r="302" spans="1:35">
      <c r="A302" t="s">
        <v>335</v>
      </c>
      <c r="B302">
        <v>293</v>
      </c>
      <c r="C302">
        <v>293</v>
      </c>
      <c r="D302">
        <v>1</v>
      </c>
      <c r="E302">
        <v>7620777.9875999996</v>
      </c>
      <c r="F302">
        <v>7620777.9877791731</v>
      </c>
      <c r="G302">
        <v>6092152.5315518761</v>
      </c>
      <c r="H302">
        <v>230000</v>
      </c>
      <c r="I302">
        <v>0</v>
      </c>
      <c r="J302">
        <v>287500</v>
      </c>
      <c r="K302">
        <v>0</v>
      </c>
      <c r="L302">
        <v>0</v>
      </c>
      <c r="M302">
        <v>0</v>
      </c>
      <c r="N302">
        <v>1421957.9674367988</v>
      </c>
      <c r="O302">
        <v>1421957.9674367988</v>
      </c>
      <c r="P302">
        <v>3629811.1004006127</v>
      </c>
      <c r="Q302">
        <v>0</v>
      </c>
      <c r="R302">
        <v>1944841.4311512634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63525.905560474537</v>
      </c>
      <c r="Y302">
        <v>0</v>
      </c>
      <c r="Z302">
        <v>43141.583230023432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 s="7">
        <v>46231.682557870372</v>
      </c>
    </row>
    <row r="303" spans="1:35">
      <c r="A303" t="s">
        <v>336</v>
      </c>
      <c r="B303">
        <v>294</v>
      </c>
      <c r="C303">
        <v>294</v>
      </c>
      <c r="D303">
        <v>1</v>
      </c>
      <c r="E303">
        <v>2479203.8549000002</v>
      </c>
      <c r="F303">
        <v>2479203.8548797369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2479203.8548797369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 s="7">
        <v>46231.682604166665</v>
      </c>
    </row>
    <row r="304" spans="1:35">
      <c r="A304" t="s">
        <v>337</v>
      </c>
      <c r="B304">
        <v>295</v>
      </c>
      <c r="C304">
        <v>295</v>
      </c>
      <c r="D304">
        <v>1</v>
      </c>
      <c r="E304">
        <v>4415150.0043000001</v>
      </c>
      <c r="F304">
        <v>4415150.0043562269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4415127.583867752</v>
      </c>
      <c r="T304">
        <v>0</v>
      </c>
      <c r="U304">
        <v>0</v>
      </c>
      <c r="V304">
        <v>0</v>
      </c>
      <c r="W304">
        <v>0</v>
      </c>
      <c r="X304">
        <v>22.42048847518339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 s="7">
        <v>46231.682662037034</v>
      </c>
    </row>
    <row r="305" spans="1:35">
      <c r="A305" t="s">
        <v>338</v>
      </c>
      <c r="B305">
        <v>296</v>
      </c>
      <c r="C305">
        <v>296</v>
      </c>
      <c r="D305">
        <v>1</v>
      </c>
      <c r="E305">
        <v>3429856.5769000002</v>
      </c>
      <c r="F305">
        <v>3429856.5639050296</v>
      </c>
      <c r="G305">
        <v>0</v>
      </c>
      <c r="H305">
        <v>0</v>
      </c>
      <c r="I305">
        <v>3429856.5639050296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 s="7">
        <v>46231.682708333334</v>
      </c>
    </row>
    <row r="306" spans="1:35">
      <c r="A306" t="s">
        <v>339</v>
      </c>
      <c r="B306">
        <v>297</v>
      </c>
      <c r="C306">
        <v>297</v>
      </c>
      <c r="D306">
        <v>1</v>
      </c>
      <c r="E306">
        <v>3326609.1354</v>
      </c>
      <c r="F306">
        <v>3326609.1352764228</v>
      </c>
      <c r="G306">
        <v>3078206.9471261231</v>
      </c>
      <c r="H306">
        <v>2093041.5723532888</v>
      </c>
      <c r="I306">
        <v>0</v>
      </c>
      <c r="J306">
        <v>276457.62513193354</v>
      </c>
      <c r="K306">
        <v>280984.92834639217</v>
      </c>
      <c r="L306">
        <v>317371.34284771478</v>
      </c>
      <c r="M306">
        <v>172677.99519364254</v>
      </c>
      <c r="N306">
        <v>0</v>
      </c>
      <c r="O306">
        <v>0</v>
      </c>
      <c r="P306">
        <v>76982.594963359908</v>
      </c>
      <c r="Q306">
        <v>0</v>
      </c>
      <c r="R306">
        <v>33368.883483434402</v>
      </c>
      <c r="S306">
        <v>164086.65343202077</v>
      </c>
      <c r="T306">
        <v>22500</v>
      </c>
      <c r="U306">
        <v>0</v>
      </c>
      <c r="V306">
        <v>4889.5763196682256</v>
      </c>
      <c r="W306">
        <v>0</v>
      </c>
      <c r="X306">
        <v>56925.958398610426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 s="7">
        <v>46231.682754629626</v>
      </c>
    </row>
    <row r="307" spans="1:35">
      <c r="A307" t="s">
        <v>340</v>
      </c>
      <c r="B307">
        <v>298</v>
      </c>
      <c r="C307">
        <v>298</v>
      </c>
      <c r="D307">
        <v>1</v>
      </c>
      <c r="E307">
        <v>2977422.6954000001</v>
      </c>
      <c r="F307">
        <v>2977422.6912584612</v>
      </c>
      <c r="G307">
        <v>2971652.2194946008</v>
      </c>
      <c r="H307">
        <v>1781789.6153330307</v>
      </c>
      <c r="I307">
        <v>0</v>
      </c>
      <c r="J307">
        <v>340004.89103644865</v>
      </c>
      <c r="K307">
        <v>435985.08990865125</v>
      </c>
      <c r="L307">
        <v>327088.40659451846</v>
      </c>
      <c r="M307">
        <v>149781.2483088694</v>
      </c>
      <c r="N307">
        <v>0</v>
      </c>
      <c r="O307">
        <v>0</v>
      </c>
      <c r="P307">
        <v>71784.216645992623</v>
      </c>
      <c r="Q307">
        <v>0</v>
      </c>
      <c r="R307">
        <v>14999.999975999999</v>
      </c>
      <c r="S307">
        <v>0</v>
      </c>
      <c r="T307">
        <v>0</v>
      </c>
      <c r="U307">
        <v>0</v>
      </c>
      <c r="V307">
        <v>2120.8579581662211</v>
      </c>
      <c r="W307">
        <v>0</v>
      </c>
      <c r="X307">
        <v>0</v>
      </c>
      <c r="Y307">
        <v>0</v>
      </c>
      <c r="Z307">
        <v>0</v>
      </c>
      <c r="AA307">
        <v>3649.6138056946584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 s="7">
        <v>46231.682789351849</v>
      </c>
    </row>
    <row r="308" spans="1:35">
      <c r="A308" t="s">
        <v>341</v>
      </c>
      <c r="B308">
        <v>299</v>
      </c>
      <c r="C308">
        <v>299</v>
      </c>
      <c r="D308">
        <v>1</v>
      </c>
      <c r="E308">
        <v>5563605.0646000002</v>
      </c>
      <c r="F308">
        <v>5563605.0581396874</v>
      </c>
      <c r="G308">
        <v>5209800.6860252209</v>
      </c>
      <c r="H308">
        <v>3707780.3733078232</v>
      </c>
      <c r="I308">
        <v>0</v>
      </c>
      <c r="J308">
        <v>453588.5872359082</v>
      </c>
      <c r="K308">
        <v>463240.65358972957</v>
      </c>
      <c r="L308">
        <v>408235.84693046677</v>
      </c>
      <c r="M308">
        <v>196233.81445258635</v>
      </c>
      <c r="N308">
        <v>0</v>
      </c>
      <c r="O308">
        <v>0</v>
      </c>
      <c r="P308">
        <v>118467.20814870887</v>
      </c>
      <c r="Q308">
        <v>0</v>
      </c>
      <c r="R308">
        <v>58488.016812585018</v>
      </c>
      <c r="S308">
        <v>243716.19731192102</v>
      </c>
      <c r="T308">
        <v>25869.692337953624</v>
      </c>
      <c r="U308">
        <v>0</v>
      </c>
      <c r="V308">
        <v>607.47281419416186</v>
      </c>
      <c r="W308">
        <v>0</v>
      </c>
      <c r="X308">
        <v>79990.984866903964</v>
      </c>
      <c r="Y308">
        <v>0</v>
      </c>
      <c r="Z308">
        <v>0</v>
      </c>
      <c r="AA308">
        <v>3620.0247834950051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 s="7">
        <v>46231.682835648149</v>
      </c>
    </row>
    <row r="309" spans="1:35">
      <c r="A309" t="s">
        <v>342</v>
      </c>
      <c r="B309">
        <v>300</v>
      </c>
      <c r="C309">
        <v>300</v>
      </c>
      <c r="D309">
        <v>1</v>
      </c>
      <c r="E309">
        <v>7815927.0878999997</v>
      </c>
      <c r="F309">
        <v>7815927.0800831532</v>
      </c>
      <c r="G309">
        <v>7208333.5199113218</v>
      </c>
      <c r="H309">
        <v>4785574.373667947</v>
      </c>
      <c r="I309">
        <v>0</v>
      </c>
      <c r="J309">
        <v>651077.05107473221</v>
      </c>
      <c r="K309">
        <v>655234.99972650222</v>
      </c>
      <c r="L309">
        <v>854443.05152992695</v>
      </c>
      <c r="M309">
        <v>486784.93817765504</v>
      </c>
      <c r="N309">
        <v>0</v>
      </c>
      <c r="O309">
        <v>0</v>
      </c>
      <c r="P309">
        <v>193421.55953517271</v>
      </c>
      <c r="Q309">
        <v>0</v>
      </c>
      <c r="R309">
        <v>68582.484377002242</v>
      </c>
      <c r="S309">
        <v>390882.47908461088</v>
      </c>
      <c r="T309">
        <v>47522.344620469805</v>
      </c>
      <c r="U309">
        <v>0</v>
      </c>
      <c r="V309">
        <v>17713.263531596505</v>
      </c>
      <c r="W309">
        <v>0</v>
      </c>
      <c r="X309">
        <v>141526.01122671179</v>
      </c>
      <c r="Y309">
        <v>0</v>
      </c>
      <c r="Z309">
        <v>0</v>
      </c>
      <c r="AA309">
        <v>9949.4617084308811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 s="7">
        <v>46231.682881944442</v>
      </c>
    </row>
    <row r="310" spans="1:35">
      <c r="A310" t="s">
        <v>343</v>
      </c>
      <c r="B310">
        <v>301</v>
      </c>
      <c r="C310">
        <v>301</v>
      </c>
      <c r="D310">
        <v>1</v>
      </c>
      <c r="E310">
        <v>2191809.6502999999</v>
      </c>
      <c r="F310">
        <v>2191809.6505863955</v>
      </c>
      <c r="G310">
        <v>2067477.8633462947</v>
      </c>
      <c r="H310">
        <v>1570332.4067011075</v>
      </c>
      <c r="I310">
        <v>0</v>
      </c>
      <c r="J310">
        <v>94104.901040332785</v>
      </c>
      <c r="K310">
        <v>164461.55924256184</v>
      </c>
      <c r="L310">
        <v>54907.956946486447</v>
      </c>
      <c r="M310">
        <v>22962.27673351514</v>
      </c>
      <c r="N310">
        <v>0</v>
      </c>
      <c r="O310">
        <v>0</v>
      </c>
      <c r="P310">
        <v>154456.79260076524</v>
      </c>
      <c r="Q310">
        <v>98292.104005994741</v>
      </c>
      <c r="R310">
        <v>29214.246815041079</v>
      </c>
      <c r="S310">
        <v>7671.1744308717016</v>
      </c>
      <c r="T310">
        <v>3547.3208588436132</v>
      </c>
      <c r="U310">
        <v>0</v>
      </c>
      <c r="V310">
        <v>2158.2988429011939</v>
      </c>
      <c r="W310">
        <v>0</v>
      </c>
      <c r="X310">
        <v>9891.4052254398575</v>
      </c>
      <c r="Y310">
        <v>0</v>
      </c>
      <c r="Z310">
        <v>0</v>
      </c>
      <c r="AA310">
        <v>2771.4838760493503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 s="7">
        <v>46231.682916666665</v>
      </c>
    </row>
    <row r="311" spans="1:35">
      <c r="A311" t="s">
        <v>344</v>
      </c>
      <c r="B311">
        <v>302</v>
      </c>
      <c r="C311">
        <v>302</v>
      </c>
      <c r="D311">
        <v>1</v>
      </c>
      <c r="E311">
        <v>5946630.2314999998</v>
      </c>
      <c r="F311">
        <v>5946630.2312834151</v>
      </c>
      <c r="G311">
        <v>5492434.8889062721</v>
      </c>
      <c r="H311">
        <v>3795138.8106910842</v>
      </c>
      <c r="I311">
        <v>0</v>
      </c>
      <c r="J311">
        <v>317190.6288511813</v>
      </c>
      <c r="K311">
        <v>505781.21358462994</v>
      </c>
      <c r="L311">
        <v>337300.09279247525</v>
      </c>
      <c r="M311">
        <v>205736.37675642082</v>
      </c>
      <c r="N311">
        <v>0</v>
      </c>
      <c r="O311">
        <v>0</v>
      </c>
      <c r="P311">
        <v>418860.70257091284</v>
      </c>
      <c r="Q311">
        <v>208024.7215231935</v>
      </c>
      <c r="R311">
        <v>118163.44041599343</v>
      </c>
      <c r="S311">
        <v>143652.51277612455</v>
      </c>
      <c r="T311">
        <v>22004.847607569664</v>
      </c>
      <c r="U311">
        <v>0</v>
      </c>
      <c r="V311">
        <v>11345.981014938905</v>
      </c>
      <c r="W311">
        <v>0</v>
      </c>
      <c r="X311">
        <v>47899.778547572452</v>
      </c>
      <c r="Y311">
        <v>0</v>
      </c>
      <c r="Z311">
        <v>0</v>
      </c>
      <c r="AA311">
        <v>21267.500907745711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 s="7">
        <v>46231.682986111111</v>
      </c>
    </row>
    <row r="312" spans="1:35">
      <c r="A312" t="s">
        <v>345</v>
      </c>
      <c r="B312">
        <v>303</v>
      </c>
      <c r="C312">
        <v>303</v>
      </c>
      <c r="D312">
        <v>1</v>
      </c>
      <c r="E312">
        <v>3040085.6148000001</v>
      </c>
      <c r="F312">
        <v>3040085.6150244726</v>
      </c>
      <c r="G312">
        <v>2038657.8101235817</v>
      </c>
      <c r="H312">
        <v>1300391.6000505143</v>
      </c>
      <c r="I312">
        <v>243294.22581739945</v>
      </c>
      <c r="J312">
        <v>93208.07589541201</v>
      </c>
      <c r="K312">
        <v>106562.42825793223</v>
      </c>
      <c r="L312">
        <v>126243.84145833499</v>
      </c>
      <c r="M312">
        <v>76283.259339522047</v>
      </c>
      <c r="N312">
        <v>0</v>
      </c>
      <c r="O312">
        <v>0</v>
      </c>
      <c r="P312">
        <v>353104.24266176682</v>
      </c>
      <c r="Q312">
        <v>0</v>
      </c>
      <c r="R312">
        <v>59147.621799621069</v>
      </c>
      <c r="S312">
        <v>395475.15996257943</v>
      </c>
      <c r="T312">
        <v>97725.050082321075</v>
      </c>
      <c r="U312">
        <v>0</v>
      </c>
      <c r="V312">
        <v>0</v>
      </c>
      <c r="W312">
        <v>0</v>
      </c>
      <c r="X312">
        <v>264933.36903858994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 s="7">
        <v>46231.683020833334</v>
      </c>
    </row>
    <row r="313" spans="1:35">
      <c r="A313" t="s">
        <v>346</v>
      </c>
      <c r="B313">
        <v>304</v>
      </c>
      <c r="C313">
        <v>304</v>
      </c>
      <c r="D313">
        <v>1</v>
      </c>
      <c r="E313">
        <v>2280916.3051</v>
      </c>
      <c r="F313">
        <v>2280916.3052033447</v>
      </c>
      <c r="G313">
        <v>1623075.7393450651</v>
      </c>
      <c r="H313">
        <v>994760.81421125948</v>
      </c>
      <c r="I313">
        <v>202588.28549792798</v>
      </c>
      <c r="J313">
        <v>92097.42812786132</v>
      </c>
      <c r="K313">
        <v>163470.59624741939</v>
      </c>
      <c r="L313">
        <v>106242.35430432457</v>
      </c>
      <c r="M313">
        <v>90754.636961828437</v>
      </c>
      <c r="N313">
        <v>0</v>
      </c>
      <c r="O313">
        <v>0</v>
      </c>
      <c r="P313">
        <v>216437.02706771574</v>
      </c>
      <c r="Q313">
        <v>0</v>
      </c>
      <c r="R313">
        <v>50067.519386484535</v>
      </c>
      <c r="S313">
        <v>244648.03110289373</v>
      </c>
      <c r="T313">
        <v>47225.919266545854</v>
      </c>
      <c r="U313">
        <v>0</v>
      </c>
      <c r="V313">
        <v>4331.7120114556965</v>
      </c>
      <c r="W313">
        <v>0</v>
      </c>
      <c r="X313">
        <v>159046.61797945693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 s="7">
        <v>46231.683078703703</v>
      </c>
    </row>
    <row r="314" spans="1:35">
      <c r="A314" t="s">
        <v>347</v>
      </c>
      <c r="B314">
        <v>305</v>
      </c>
      <c r="C314">
        <v>305</v>
      </c>
      <c r="D314">
        <v>1</v>
      </c>
      <c r="E314">
        <v>2925435.2083000001</v>
      </c>
      <c r="F314">
        <v>2925435.2083277544</v>
      </c>
      <c r="G314">
        <v>2891613.0027999273</v>
      </c>
      <c r="H314">
        <v>2891613.0027999273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33822.205527827165</v>
      </c>
      <c r="O314">
        <v>33822.205527827165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 s="7">
        <v>46231.683113425926</v>
      </c>
    </row>
    <row r="315" spans="1:35">
      <c r="A315" t="s">
        <v>348</v>
      </c>
      <c r="B315">
        <v>306</v>
      </c>
      <c r="C315">
        <v>306</v>
      </c>
      <c r="D315">
        <v>1</v>
      </c>
      <c r="E315">
        <v>2518706.3451</v>
      </c>
      <c r="F315">
        <v>2518706.3447570251</v>
      </c>
      <c r="G315">
        <v>2426116.3119689501</v>
      </c>
      <c r="H315">
        <v>94776.089945789048</v>
      </c>
      <c r="I315">
        <v>0</v>
      </c>
      <c r="J315">
        <v>529689.22634300613</v>
      </c>
      <c r="K315">
        <v>0</v>
      </c>
      <c r="L315">
        <v>0</v>
      </c>
      <c r="M315">
        <v>0</v>
      </c>
      <c r="N315">
        <v>21417.533069998612</v>
      </c>
      <c r="O315">
        <v>21417.533069998612</v>
      </c>
      <c r="P315">
        <v>1229106.2364441487</v>
      </c>
      <c r="Q315">
        <v>0</v>
      </c>
      <c r="R315">
        <v>572544.75923600583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71172.49971807751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 s="7">
        <v>46231.683136574073</v>
      </c>
    </row>
    <row r="316" spans="1:35">
      <c r="A316" t="s">
        <v>349</v>
      </c>
      <c r="B316">
        <v>307</v>
      </c>
      <c r="C316">
        <v>307</v>
      </c>
      <c r="D316">
        <v>1</v>
      </c>
      <c r="E316">
        <v>2479848.878</v>
      </c>
      <c r="F316">
        <v>2479848.8779687691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2479848.8779687691</v>
      </c>
      <c r="U316">
        <v>0</v>
      </c>
      <c r="V316">
        <v>0</v>
      </c>
      <c r="W316">
        <v>0</v>
      </c>
      <c r="X316">
        <v>0</v>
      </c>
      <c r="Y316">
        <v>2479848.8779687691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 s="7">
        <v>46231.683182870373</v>
      </c>
    </row>
    <row r="317" spans="1:35">
      <c r="A317" t="s">
        <v>350</v>
      </c>
      <c r="B317">
        <v>308</v>
      </c>
      <c r="C317">
        <v>308</v>
      </c>
      <c r="D317">
        <v>1</v>
      </c>
      <c r="E317">
        <v>514757.03360000002</v>
      </c>
      <c r="F317">
        <v>514757.03354166396</v>
      </c>
      <c r="G317">
        <v>514757.03354166396</v>
      </c>
      <c r="H317">
        <v>162567.49255494279</v>
      </c>
      <c r="I317">
        <v>0</v>
      </c>
      <c r="J317">
        <v>24074.398810709048</v>
      </c>
      <c r="K317">
        <v>151446.40973251517</v>
      </c>
      <c r="L317">
        <v>19931.423037742436</v>
      </c>
      <c r="M317">
        <v>19931.423037742436</v>
      </c>
      <c r="N317">
        <v>0</v>
      </c>
      <c r="O317">
        <v>0</v>
      </c>
      <c r="P317">
        <v>115586.33338916634</v>
      </c>
      <c r="Q317">
        <v>0</v>
      </c>
      <c r="R317">
        <v>41150.976016588138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 s="7">
        <v>46231.683217592596</v>
      </c>
    </row>
    <row r="318" spans="1:35">
      <c r="A318" t="s">
        <v>351</v>
      </c>
      <c r="B318">
        <v>309</v>
      </c>
      <c r="C318">
        <v>309</v>
      </c>
      <c r="D318">
        <v>1</v>
      </c>
      <c r="E318">
        <v>6660138.9648000002</v>
      </c>
      <c r="F318">
        <v>6660138.9643859407</v>
      </c>
      <c r="G318">
        <v>0</v>
      </c>
      <c r="H318">
        <v>0</v>
      </c>
      <c r="I318">
        <v>6660138.9643859407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 s="7">
        <v>46231.683252314811</v>
      </c>
    </row>
    <row r="319" spans="1:35">
      <c r="A319" t="s">
        <v>352</v>
      </c>
      <c r="B319">
        <v>310</v>
      </c>
      <c r="C319">
        <v>310</v>
      </c>
      <c r="D319">
        <v>1</v>
      </c>
      <c r="E319">
        <v>1574974.3319999999</v>
      </c>
      <c r="F319">
        <v>1574974.3323203763</v>
      </c>
      <c r="G319">
        <v>0</v>
      </c>
      <c r="H319">
        <v>0</v>
      </c>
      <c r="I319">
        <v>1574974.3323203763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 s="7">
        <v>46231.683298611111</v>
      </c>
    </row>
    <row r="320" spans="1:35">
      <c r="A320" t="s">
        <v>353</v>
      </c>
      <c r="B320">
        <v>311</v>
      </c>
      <c r="C320">
        <v>311</v>
      </c>
      <c r="D320">
        <v>1</v>
      </c>
      <c r="E320">
        <v>2105830.4128999999</v>
      </c>
      <c r="F320">
        <v>2105830.4038239541</v>
      </c>
      <c r="G320">
        <v>992420.83368657948</v>
      </c>
      <c r="H320">
        <v>733396.73566486547</v>
      </c>
      <c r="I320">
        <v>511174.77127498225</v>
      </c>
      <c r="J320">
        <v>29330.584867819332</v>
      </c>
      <c r="K320">
        <v>61453.190411893025</v>
      </c>
      <c r="L320">
        <v>26026.423713412885</v>
      </c>
      <c r="M320">
        <v>16670.191344726343</v>
      </c>
      <c r="N320">
        <v>0</v>
      </c>
      <c r="O320">
        <v>0</v>
      </c>
      <c r="P320">
        <v>118745.2697360805</v>
      </c>
      <c r="Q320">
        <v>0</v>
      </c>
      <c r="R320">
        <v>23468.629292507088</v>
      </c>
      <c r="S320">
        <v>381848.65926349571</v>
      </c>
      <c r="T320">
        <v>135000.00111600003</v>
      </c>
      <c r="U320">
        <v>0</v>
      </c>
      <c r="V320">
        <v>15000.000124</v>
      </c>
      <c r="W320">
        <v>0</v>
      </c>
      <c r="X320">
        <v>70386.138358894066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 s="7">
        <v>46231.683344907404</v>
      </c>
    </row>
    <row r="321" spans="1:35">
      <c r="A321" t="s">
        <v>354</v>
      </c>
      <c r="B321">
        <v>312</v>
      </c>
      <c r="C321">
        <v>312</v>
      </c>
      <c r="D321">
        <v>1</v>
      </c>
      <c r="E321">
        <v>9412875.1510000005</v>
      </c>
      <c r="F321">
        <v>9412875.1389882769</v>
      </c>
      <c r="G321">
        <v>4513998.40496899</v>
      </c>
      <c r="H321">
        <v>3201296.8648135443</v>
      </c>
      <c r="I321">
        <v>2646850.3233168069</v>
      </c>
      <c r="J321">
        <v>124754.84036917749</v>
      </c>
      <c r="K321">
        <v>368959.14419290121</v>
      </c>
      <c r="L321">
        <v>149545.27968964595</v>
      </c>
      <c r="M321">
        <v>95895.251306181162</v>
      </c>
      <c r="N321">
        <v>0</v>
      </c>
      <c r="O321">
        <v>0</v>
      </c>
      <c r="P321">
        <v>541664.38897267275</v>
      </c>
      <c r="Q321">
        <v>0</v>
      </c>
      <c r="R321">
        <v>127777.88693104008</v>
      </c>
      <c r="S321">
        <v>1317405.1577432398</v>
      </c>
      <c r="T321">
        <v>437811.74799160974</v>
      </c>
      <c r="U321">
        <v>0</v>
      </c>
      <c r="V321">
        <v>269595.75977485033</v>
      </c>
      <c r="W321">
        <v>0</v>
      </c>
      <c r="X321">
        <v>225613.64405873985</v>
      </c>
      <c r="Y321">
        <v>0</v>
      </c>
      <c r="Z321">
        <v>0</v>
      </c>
      <c r="AA321">
        <v>1600.1011340115761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 s="7">
        <v>46231.683391203704</v>
      </c>
    </row>
    <row r="322" spans="1:35">
      <c r="A322" t="s">
        <v>355</v>
      </c>
      <c r="B322">
        <v>313</v>
      </c>
      <c r="C322">
        <v>313</v>
      </c>
      <c r="D322">
        <v>1</v>
      </c>
      <c r="E322">
        <v>2147566.7644000002</v>
      </c>
      <c r="F322">
        <v>2147566.7618715772</v>
      </c>
      <c r="G322">
        <v>2050485.7085634049</v>
      </c>
      <c r="H322">
        <v>70185.829343705613</v>
      </c>
      <c r="I322">
        <v>0</v>
      </c>
      <c r="J322">
        <v>99999.999750000003</v>
      </c>
      <c r="K322">
        <v>133188.55296824683</v>
      </c>
      <c r="L322">
        <v>151.83730800399871</v>
      </c>
      <c r="M322">
        <v>151.83730800399871</v>
      </c>
      <c r="N322">
        <v>97081.053308172515</v>
      </c>
      <c r="O322">
        <v>97081.053308172515</v>
      </c>
      <c r="P322">
        <v>1207424.7428985646</v>
      </c>
      <c r="Q322">
        <v>0</v>
      </c>
      <c r="R322">
        <v>539534.74629488331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 s="7">
        <v>46231.683449074073</v>
      </c>
    </row>
    <row r="323" spans="1:35">
      <c r="A323" t="s">
        <v>356</v>
      </c>
      <c r="B323">
        <v>314</v>
      </c>
      <c r="C323">
        <v>314</v>
      </c>
      <c r="D323">
        <v>1</v>
      </c>
      <c r="E323">
        <v>3763012.0430000001</v>
      </c>
      <c r="F323">
        <v>3763012.0428496925</v>
      </c>
      <c r="G323">
        <v>3763012.0428496925</v>
      </c>
      <c r="H323">
        <v>3763012.0428496925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 s="7">
        <v>46231.683495370373</v>
      </c>
    </row>
    <row r="324" spans="1:35">
      <c r="A324" t="s">
        <v>357</v>
      </c>
      <c r="B324">
        <v>315</v>
      </c>
      <c r="C324">
        <v>315</v>
      </c>
      <c r="D324">
        <v>1</v>
      </c>
      <c r="E324">
        <v>1554125.9850000001</v>
      </c>
      <c r="F324">
        <v>1554125.9880977732</v>
      </c>
      <c r="G324">
        <v>1554125.9880977732</v>
      </c>
      <c r="H324">
        <v>1554125.9880977732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 s="7">
        <v>46231.683541666665</v>
      </c>
    </row>
    <row r="325" spans="1:35">
      <c r="A325" t="s">
        <v>358</v>
      </c>
      <c r="B325">
        <v>316</v>
      </c>
      <c r="C325">
        <v>316</v>
      </c>
      <c r="D325">
        <v>1</v>
      </c>
      <c r="E325">
        <v>965053.38509999996</v>
      </c>
      <c r="F325">
        <v>965053.38504796603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570129.7494342858</v>
      </c>
      <c r="T325">
        <v>110000</v>
      </c>
      <c r="U325">
        <v>0</v>
      </c>
      <c r="V325">
        <v>0</v>
      </c>
      <c r="W325">
        <v>0</v>
      </c>
      <c r="X325">
        <v>284923.63561368018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 s="7">
        <v>46231.683599537035</v>
      </c>
    </row>
    <row r="326" spans="1:35">
      <c r="A326" t="s">
        <v>359</v>
      </c>
      <c r="B326">
        <v>317</v>
      </c>
      <c r="C326">
        <v>317</v>
      </c>
      <c r="D326">
        <v>1</v>
      </c>
      <c r="E326">
        <v>11664168.647700001</v>
      </c>
      <c r="F326">
        <v>11664168.647911305</v>
      </c>
      <c r="G326">
        <v>8518034.8603591919</v>
      </c>
      <c r="H326">
        <v>4862323.8677341472</v>
      </c>
      <c r="I326">
        <v>512261.21898717433</v>
      </c>
      <c r="J326">
        <v>770713.72495809605</v>
      </c>
      <c r="K326">
        <v>1036974.1192746129</v>
      </c>
      <c r="L326">
        <v>689454.2237711834</v>
      </c>
      <c r="M326">
        <v>557417.07560784975</v>
      </c>
      <c r="N326">
        <v>739636.81948671152</v>
      </c>
      <c r="O326">
        <v>739252.85688953218</v>
      </c>
      <c r="P326">
        <v>834684.76072791265</v>
      </c>
      <c r="Q326">
        <v>0</v>
      </c>
      <c r="R326">
        <v>323884.16389324109</v>
      </c>
      <c r="S326">
        <v>571070.85687469388</v>
      </c>
      <c r="T326">
        <v>354955.15903770272</v>
      </c>
      <c r="U326">
        <v>256565.57383510299</v>
      </c>
      <c r="V326">
        <v>163959.64020949177</v>
      </c>
      <c r="W326">
        <v>245965.18643553028</v>
      </c>
      <c r="X326">
        <v>248487.62897816385</v>
      </c>
      <c r="Y326">
        <v>110953.57286674419</v>
      </c>
      <c r="Z326">
        <v>29082.943482368224</v>
      </c>
      <c r="AA326">
        <v>21051.633359321488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 s="7">
        <v>46231.683645833335</v>
      </c>
    </row>
    <row r="327" spans="1:35">
      <c r="A327" t="s">
        <v>360</v>
      </c>
      <c r="B327">
        <v>318</v>
      </c>
      <c r="C327">
        <v>318</v>
      </c>
      <c r="D327">
        <v>1</v>
      </c>
      <c r="E327">
        <v>16659560.177100001</v>
      </c>
      <c r="F327">
        <v>16659560.176835703</v>
      </c>
      <c r="G327">
        <v>11877982.178779921</v>
      </c>
      <c r="H327">
        <v>4982473.0439669453</v>
      </c>
      <c r="I327">
        <v>1008574.9187715848</v>
      </c>
      <c r="J327">
        <v>1558510.5107545846</v>
      </c>
      <c r="K327">
        <v>1374507.7760403005</v>
      </c>
      <c r="L327">
        <v>447753.94066049508</v>
      </c>
      <c r="M327">
        <v>376398.1874277459</v>
      </c>
      <c r="N327">
        <v>0</v>
      </c>
      <c r="O327">
        <v>0</v>
      </c>
      <c r="P327">
        <v>2450075.4778345134</v>
      </c>
      <c r="Q327">
        <v>0</v>
      </c>
      <c r="R327">
        <v>1064661.4295230734</v>
      </c>
      <c r="S327">
        <v>2751444.6067450903</v>
      </c>
      <c r="T327">
        <v>245658.5475091977</v>
      </c>
      <c r="U327">
        <v>0</v>
      </c>
      <c r="V327">
        <v>146175.33589958833</v>
      </c>
      <c r="W327">
        <v>0</v>
      </c>
      <c r="X327">
        <v>629724.58913033595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 s="7">
        <v>46231.683692129627</v>
      </c>
    </row>
    <row r="328" spans="1:35">
      <c r="A328" t="s">
        <v>361</v>
      </c>
      <c r="B328">
        <v>319</v>
      </c>
      <c r="C328">
        <v>319</v>
      </c>
      <c r="D328">
        <v>1</v>
      </c>
      <c r="E328">
        <v>15135320.111099999</v>
      </c>
      <c r="F328">
        <v>15135320.110975955</v>
      </c>
      <c r="G328">
        <v>8219510.0933578173</v>
      </c>
      <c r="H328">
        <v>3937658.0770337419</v>
      </c>
      <c r="I328">
        <v>1140329.7083030604</v>
      </c>
      <c r="J328">
        <v>1104346.7134433622</v>
      </c>
      <c r="K328">
        <v>1110565.9563156413</v>
      </c>
      <c r="L328">
        <v>921909.30490292783</v>
      </c>
      <c r="M328">
        <v>663606.35916219873</v>
      </c>
      <c r="N328">
        <v>2245478.6396976924</v>
      </c>
      <c r="O328">
        <v>2223714.6777669811</v>
      </c>
      <c r="P328">
        <v>669547.39560929092</v>
      </c>
      <c r="Q328">
        <v>889407.41962265188</v>
      </c>
      <c r="R328">
        <v>475482.64605285274</v>
      </c>
      <c r="S328">
        <v>402315.58613743371</v>
      </c>
      <c r="T328">
        <v>542950.73814313149</v>
      </c>
      <c r="U328">
        <v>557565.57252220239</v>
      </c>
      <c r="V328">
        <v>291431.94306442316</v>
      </c>
      <c r="W328">
        <v>521203.29820915329</v>
      </c>
      <c r="X328">
        <v>176089.52754148631</v>
      </c>
      <c r="Y328">
        <v>234160.71892132662</v>
      </c>
      <c r="Z328">
        <v>113698.46956605065</v>
      </c>
      <c r="AA328">
        <v>24572.888480328478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 s="7">
        <v>46231.68372685185</v>
      </c>
    </row>
    <row r="329" spans="1:35">
      <c r="A329" t="s">
        <v>362</v>
      </c>
      <c r="B329">
        <v>320</v>
      </c>
      <c r="C329">
        <v>320</v>
      </c>
      <c r="D329">
        <v>1</v>
      </c>
      <c r="E329">
        <v>14412326.6818</v>
      </c>
      <c r="F329">
        <v>14412326.682281489</v>
      </c>
      <c r="G329">
        <v>10681655.101278665</v>
      </c>
      <c r="H329">
        <v>3525686.6392846704</v>
      </c>
      <c r="I329">
        <v>0</v>
      </c>
      <c r="J329">
        <v>2373587.495139908</v>
      </c>
      <c r="K329">
        <v>1227610.1279618628</v>
      </c>
      <c r="L329">
        <v>987053.27916831058</v>
      </c>
      <c r="M329">
        <v>891347.11030036584</v>
      </c>
      <c r="N329">
        <v>1850982.1853406357</v>
      </c>
      <c r="O329">
        <v>1850982.1853406357</v>
      </c>
      <c r="P329">
        <v>1468688.9310402926</v>
      </c>
      <c r="Q329">
        <v>1633086.2795334717</v>
      </c>
      <c r="R329">
        <v>1099028.6286836253</v>
      </c>
      <c r="S329">
        <v>142394.16409232296</v>
      </c>
      <c r="T329">
        <v>37710.762147593094</v>
      </c>
      <c r="U329">
        <v>0</v>
      </c>
      <c r="V329">
        <v>4339.6246170120303</v>
      </c>
      <c r="W329">
        <v>0</v>
      </c>
      <c r="X329">
        <v>51532.456451885351</v>
      </c>
      <c r="Y329">
        <v>0</v>
      </c>
      <c r="Z329">
        <v>10626.108819891242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 s="7">
        <v>46231.683761574073</v>
      </c>
    </row>
  </sheetData>
  <pageMargins left="0.75" right="0.75" top="1" bottom="1" header="0.5" footer="0.5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A330"/>
  <sheetViews>
    <sheetView topLeftCell="J124" workbookViewId="0">
      <selection activeCell="V259" sqref="V259"/>
    </sheetView>
  </sheetViews>
  <sheetFormatPr defaultRowHeight="14.4"/>
  <cols>
    <col min="1" max="1" width="53.21875" bestFit="1" customWidth="1"/>
    <col min="2" max="2" width="14.109375" bestFit="1" customWidth="1"/>
    <col min="3" max="3" width="9" bestFit="1" customWidth="1"/>
    <col min="4" max="4" width="12.5546875" style="4" bestFit="1" customWidth="1"/>
    <col min="5" max="5" width="13.21875" style="4" bestFit="1" customWidth="1"/>
    <col min="6" max="6" width="14.44140625" style="4" bestFit="1" customWidth="1"/>
    <col min="7" max="8" width="32.5546875" bestFit="1" customWidth="1"/>
    <col min="9" max="9" width="120.33203125" bestFit="1" customWidth="1"/>
    <col min="10" max="10" width="14.44140625" bestFit="1" customWidth="1"/>
    <col min="11" max="11" width="13.21875" bestFit="1" customWidth="1"/>
    <col min="12" max="12" width="14.44140625" style="4" bestFit="1" customWidth="1"/>
    <col min="13" max="13" width="8.88671875" style="6" customWidth="1"/>
    <col min="15" max="15" width="9.5546875" bestFit="1" customWidth="1"/>
  </cols>
  <sheetData>
    <row r="1" spans="1:27">
      <c r="O1" s="4">
        <v>46053</v>
      </c>
      <c r="P1">
        <v>100</v>
      </c>
    </row>
    <row r="2" spans="1:27">
      <c r="A2" t="s">
        <v>0</v>
      </c>
      <c r="B2" t="s">
        <v>1</v>
      </c>
      <c r="C2" t="s">
        <v>363</v>
      </c>
      <c r="D2" s="4" t="s">
        <v>364</v>
      </c>
      <c r="E2" s="4" t="s">
        <v>365</v>
      </c>
      <c r="F2" s="4" t="s">
        <v>366</v>
      </c>
      <c r="G2" t="s">
        <v>367</v>
      </c>
      <c r="H2" t="s">
        <v>368</v>
      </c>
      <c r="I2" t="s">
        <v>369</v>
      </c>
      <c r="J2" t="s">
        <v>370</v>
      </c>
      <c r="K2" t="s">
        <v>371</v>
      </c>
      <c r="L2" s="4" t="s">
        <v>372</v>
      </c>
      <c r="M2" s="6" t="s">
        <v>373</v>
      </c>
      <c r="N2" t="s">
        <v>374</v>
      </c>
      <c r="O2" t="s">
        <v>375</v>
      </c>
      <c r="P2" t="s">
        <v>376</v>
      </c>
      <c r="Q2" t="s">
        <v>377</v>
      </c>
      <c r="R2" t="s">
        <v>378</v>
      </c>
      <c r="X2" t="s">
        <v>0</v>
      </c>
      <c r="Y2" t="s">
        <v>1</v>
      </c>
      <c r="Z2" t="s">
        <v>377</v>
      </c>
      <c r="AA2" t="s">
        <v>378</v>
      </c>
    </row>
    <row r="3" spans="1:27">
      <c r="A3" t="s">
        <v>35</v>
      </c>
      <c r="B3">
        <v>332</v>
      </c>
      <c r="C3">
        <v>332</v>
      </c>
      <c r="D3" s="4" t="s">
        <v>379</v>
      </c>
      <c r="E3" s="4">
        <v>45804</v>
      </c>
      <c r="F3" s="4">
        <v>46538</v>
      </c>
      <c r="G3">
        <v>90000000</v>
      </c>
      <c r="H3" t="s">
        <v>380</v>
      </c>
      <c r="I3" t="s">
        <v>381</v>
      </c>
      <c r="K3">
        <v>30000000000</v>
      </c>
      <c r="L3" s="4">
        <v>46538</v>
      </c>
      <c r="M3" s="6">
        <v>0.31</v>
      </c>
      <c r="N3">
        <v>101</v>
      </c>
      <c r="O3">
        <v>4</v>
      </c>
      <c r="P3" s="5">
        <f t="shared" ref="P3:P66" si="0">YIELD($O$1,L3,M3,N3,$P$1,O3)</f>
        <v>0.300039532659437</v>
      </c>
      <c r="Q3" t="str">
        <f t="array" ref="Q3:R3">VLOOKUP(A3,$X$3:$AA$330,{3,4},0)</f>
        <v>Industry Loss</v>
      </c>
      <c r="R3" t="str">
        <v>Annual Aggregate</v>
      </c>
      <c r="X3" t="s">
        <v>35</v>
      </c>
      <c r="Y3">
        <v>332</v>
      </c>
      <c r="Z3" t="s">
        <v>382</v>
      </c>
      <c r="AA3" t="s">
        <v>383</v>
      </c>
    </row>
    <row r="4" spans="1:27">
      <c r="A4" t="s">
        <v>36</v>
      </c>
      <c r="B4">
        <v>333</v>
      </c>
      <c r="C4">
        <v>333</v>
      </c>
      <c r="D4" s="4" t="s">
        <v>384</v>
      </c>
      <c r="E4" s="4">
        <v>45359</v>
      </c>
      <c r="F4" s="4">
        <v>46453</v>
      </c>
      <c r="G4">
        <v>475000000</v>
      </c>
      <c r="H4" t="s">
        <v>385</v>
      </c>
      <c r="I4" t="s">
        <v>386</v>
      </c>
      <c r="J4">
        <v>0</v>
      </c>
      <c r="K4">
        <v>2000000000</v>
      </c>
      <c r="L4" s="4">
        <v>46453</v>
      </c>
      <c r="M4" s="6">
        <v>0.14360000000000001</v>
      </c>
      <c r="N4">
        <v>100.2</v>
      </c>
      <c r="O4">
        <v>4</v>
      </c>
      <c r="P4" s="5">
        <f t="shared" si="0"/>
        <v>0.14145527079484246</v>
      </c>
      <c r="Q4" t="str">
        <f t="array" ref="Q4:R4">VLOOKUP(A4,$X$3:$AA$330,{3,4},0)</f>
        <v>Indemnity</v>
      </c>
      <c r="R4" t="str">
        <v>Per Occurrence</v>
      </c>
      <c r="X4" t="s">
        <v>36</v>
      </c>
      <c r="Y4">
        <v>333</v>
      </c>
      <c r="Z4" t="s">
        <v>387</v>
      </c>
      <c r="AA4" t="s">
        <v>388</v>
      </c>
    </row>
    <row r="5" spans="1:27">
      <c r="A5" t="s">
        <v>42</v>
      </c>
      <c r="B5">
        <v>2</v>
      </c>
      <c r="C5">
        <v>2</v>
      </c>
      <c r="D5" s="4" t="s">
        <v>389</v>
      </c>
      <c r="E5" s="4">
        <v>45078</v>
      </c>
      <c r="F5" s="4">
        <v>46173</v>
      </c>
      <c r="G5">
        <v>125000000</v>
      </c>
      <c r="H5" t="s">
        <v>390</v>
      </c>
      <c r="I5" t="s">
        <v>391</v>
      </c>
      <c r="K5">
        <v>1150000000</v>
      </c>
      <c r="L5" s="4">
        <v>46173</v>
      </c>
      <c r="M5" s="6">
        <v>7.2599999999999998E-2</v>
      </c>
      <c r="N5">
        <v>101</v>
      </c>
      <c r="O5">
        <v>4</v>
      </c>
      <c r="P5" s="5">
        <f t="shared" si="0"/>
        <v>4.2166566478047493E-2</v>
      </c>
      <c r="Q5" t="str">
        <f t="array" ref="Q5:R5">VLOOKUP(A5,$X$3:$AA$330,{3,4},0)</f>
        <v>Indemnity</v>
      </c>
      <c r="R5" t="str">
        <v>Per Occurrence</v>
      </c>
      <c r="X5" t="s">
        <v>37</v>
      </c>
      <c r="Y5">
        <v>334</v>
      </c>
      <c r="Z5" t="s">
        <v>382</v>
      </c>
      <c r="AA5" t="s">
        <v>388</v>
      </c>
    </row>
    <row r="6" spans="1:27">
      <c r="A6" t="s">
        <v>44</v>
      </c>
      <c r="B6">
        <v>4</v>
      </c>
      <c r="C6">
        <v>4</v>
      </c>
      <c r="D6" s="4" t="s">
        <v>392</v>
      </c>
      <c r="E6" s="4">
        <v>45444</v>
      </c>
      <c r="F6" s="4">
        <v>46538</v>
      </c>
      <c r="G6">
        <v>125000000</v>
      </c>
      <c r="H6" t="s">
        <v>390</v>
      </c>
      <c r="I6" t="s">
        <v>391</v>
      </c>
      <c r="K6">
        <v>400000000</v>
      </c>
      <c r="L6" s="4">
        <v>46538</v>
      </c>
      <c r="M6" s="6">
        <v>5.3900000000000003E-2</v>
      </c>
      <c r="N6">
        <v>100.25</v>
      </c>
      <c r="O6">
        <v>4</v>
      </c>
      <c r="P6" s="5">
        <f t="shared" si="0"/>
        <v>5.1932098317363472E-2</v>
      </c>
      <c r="Q6" t="str">
        <f t="array" ref="Q6:R6">VLOOKUP(A6,$X$3:$AA$330,{3,4},0)</f>
        <v>Indemnity</v>
      </c>
      <c r="R6" t="str">
        <v>Per Occurrence</v>
      </c>
      <c r="X6" t="s">
        <v>38</v>
      </c>
      <c r="Y6">
        <v>335</v>
      </c>
      <c r="Z6" t="s">
        <v>382</v>
      </c>
      <c r="AA6" t="s">
        <v>383</v>
      </c>
    </row>
    <row r="7" spans="1:27">
      <c r="A7" t="s">
        <v>45</v>
      </c>
      <c r="B7">
        <v>5</v>
      </c>
      <c r="C7">
        <v>5</v>
      </c>
      <c r="D7" s="4" t="s">
        <v>393</v>
      </c>
      <c r="E7" s="4">
        <v>45444</v>
      </c>
      <c r="F7" s="4">
        <v>46538</v>
      </c>
      <c r="G7">
        <v>100000000</v>
      </c>
      <c r="H7" t="s">
        <v>390</v>
      </c>
      <c r="I7" t="s">
        <v>391</v>
      </c>
      <c r="K7">
        <v>750000000</v>
      </c>
      <c r="L7" s="4">
        <v>46538</v>
      </c>
      <c r="M7" s="6">
        <v>8.3500000000000005E-2</v>
      </c>
      <c r="N7">
        <v>100.65</v>
      </c>
      <c r="O7">
        <v>4</v>
      </c>
      <c r="P7" s="5">
        <f t="shared" si="0"/>
        <v>7.8282775991882672E-2</v>
      </c>
      <c r="Q7" t="str">
        <f t="array" ref="Q7:R7">VLOOKUP(A7,$X$3:$AA$330,{3,4},0)</f>
        <v>Indemnity</v>
      </c>
      <c r="R7" t="str">
        <v>Per Occurrence</v>
      </c>
      <c r="X7" t="s">
        <v>39</v>
      </c>
      <c r="Y7">
        <v>336</v>
      </c>
      <c r="Z7" t="s">
        <v>387</v>
      </c>
      <c r="AA7" t="s">
        <v>388</v>
      </c>
    </row>
    <row r="8" spans="1:27">
      <c r="A8" t="s">
        <v>46</v>
      </c>
      <c r="B8">
        <v>6</v>
      </c>
      <c r="C8">
        <v>6</v>
      </c>
      <c r="D8" s="4" t="s">
        <v>394</v>
      </c>
      <c r="E8" s="4">
        <v>45885</v>
      </c>
      <c r="F8" s="4">
        <v>46996</v>
      </c>
      <c r="G8">
        <v>100000000</v>
      </c>
      <c r="H8" t="s">
        <v>395</v>
      </c>
      <c r="I8" t="s">
        <v>396</v>
      </c>
      <c r="K8">
        <v>5000000000</v>
      </c>
      <c r="L8" s="4">
        <v>46996</v>
      </c>
      <c r="M8" s="6">
        <v>0.11</v>
      </c>
      <c r="N8">
        <v>102.3</v>
      </c>
      <c r="O8">
        <v>4</v>
      </c>
      <c r="P8" s="5">
        <f t="shared" si="0"/>
        <v>9.9756932105917753E-2</v>
      </c>
      <c r="Q8" t="str">
        <f t="array" ref="Q8:R8">VLOOKUP(A8,$X$3:$AA$330,{3,4},0)</f>
        <v>Industry Loss</v>
      </c>
      <c r="R8" t="str">
        <v>Per Occurrence</v>
      </c>
      <c r="X8" t="s">
        <v>40</v>
      </c>
      <c r="Y8">
        <v>337</v>
      </c>
      <c r="Z8" t="s">
        <v>387</v>
      </c>
      <c r="AA8" t="s">
        <v>383</v>
      </c>
    </row>
    <row r="9" spans="1:27">
      <c r="A9" t="s">
        <v>48</v>
      </c>
      <c r="B9">
        <v>8</v>
      </c>
      <c r="C9">
        <v>8</v>
      </c>
      <c r="D9" s="4" t="s">
        <v>397</v>
      </c>
      <c r="E9" s="4">
        <v>45444</v>
      </c>
      <c r="F9" s="4">
        <v>46538</v>
      </c>
      <c r="G9">
        <v>100000000</v>
      </c>
      <c r="H9" t="s">
        <v>398</v>
      </c>
      <c r="I9" t="s">
        <v>399</v>
      </c>
      <c r="K9">
        <v>600000000</v>
      </c>
      <c r="L9" s="4">
        <v>46538</v>
      </c>
      <c r="M9" s="6">
        <v>7.306E-2</v>
      </c>
      <c r="N9">
        <v>102.6</v>
      </c>
      <c r="O9">
        <v>4</v>
      </c>
      <c r="P9" s="5">
        <f t="shared" si="0"/>
        <v>5.2717691687783862E-2</v>
      </c>
      <c r="Q9" t="str">
        <f t="array" ref="Q9:R9">VLOOKUP(A9,$X$3:$AA$330,{3,4},0)</f>
        <v>Industry Loss</v>
      </c>
      <c r="R9" t="str">
        <v>Per Occurrence</v>
      </c>
      <c r="X9" t="s">
        <v>41</v>
      </c>
      <c r="Y9">
        <v>1</v>
      </c>
      <c r="Z9" t="s">
        <v>387</v>
      </c>
      <c r="AA9" t="s">
        <v>388</v>
      </c>
    </row>
    <row r="10" spans="1:27">
      <c r="A10" t="s">
        <v>49</v>
      </c>
      <c r="B10">
        <v>9</v>
      </c>
      <c r="C10">
        <v>9</v>
      </c>
      <c r="D10" s="4" t="s">
        <v>400</v>
      </c>
      <c r="E10" s="4">
        <v>45444</v>
      </c>
      <c r="F10" s="4">
        <v>46538</v>
      </c>
      <c r="G10">
        <v>50000000</v>
      </c>
      <c r="H10" t="s">
        <v>398</v>
      </c>
      <c r="I10" t="s">
        <v>399</v>
      </c>
      <c r="K10">
        <v>420000000</v>
      </c>
      <c r="L10" s="4">
        <v>46538</v>
      </c>
      <c r="M10" s="6">
        <v>0.11323999999999999</v>
      </c>
      <c r="N10">
        <v>101.6</v>
      </c>
      <c r="O10">
        <v>4</v>
      </c>
      <c r="P10" s="5">
        <f t="shared" si="0"/>
        <v>0.10020784547332065</v>
      </c>
      <c r="Q10" t="str">
        <f t="array" ref="Q10:R10">VLOOKUP(A10,$X$3:$AA$330,{3,4},0)</f>
        <v>Industry Loss</v>
      </c>
      <c r="R10" t="str">
        <v>Per Occurrence and Annual Aggregate</v>
      </c>
      <c r="X10" t="s">
        <v>42</v>
      </c>
      <c r="Y10">
        <v>2</v>
      </c>
      <c r="Z10" t="s">
        <v>387</v>
      </c>
      <c r="AA10" t="s">
        <v>388</v>
      </c>
    </row>
    <row r="11" spans="1:27">
      <c r="A11" t="s">
        <v>50</v>
      </c>
      <c r="B11">
        <v>10</v>
      </c>
      <c r="C11">
        <v>10</v>
      </c>
      <c r="D11" s="4" t="s">
        <v>401</v>
      </c>
      <c r="E11" s="4">
        <v>45017</v>
      </c>
      <c r="F11" s="4">
        <v>46112</v>
      </c>
      <c r="G11">
        <v>500000000</v>
      </c>
      <c r="H11" t="s">
        <v>402</v>
      </c>
      <c r="I11" t="s">
        <v>399</v>
      </c>
      <c r="K11">
        <v>16626000000</v>
      </c>
      <c r="L11" s="4">
        <v>46112</v>
      </c>
      <c r="M11" s="6">
        <v>0.11</v>
      </c>
      <c r="N11">
        <v>100.1</v>
      </c>
      <c r="O11">
        <v>4</v>
      </c>
      <c r="P11" s="5">
        <f t="shared" si="0"/>
        <v>0.10295330803497826</v>
      </c>
      <c r="Q11" t="str">
        <f t="array" ref="Q11:R11">VLOOKUP(A11,$X$3:$AA$330,{3,4},0)</f>
        <v>Industry Loss</v>
      </c>
      <c r="R11" t="str">
        <v>Annual Aggregate</v>
      </c>
      <c r="X11" t="s">
        <v>43</v>
      </c>
      <c r="Y11">
        <v>3</v>
      </c>
      <c r="Z11" t="s">
        <v>387</v>
      </c>
      <c r="AA11" t="s">
        <v>388</v>
      </c>
    </row>
    <row r="12" spans="1:27">
      <c r="A12" t="s">
        <v>51</v>
      </c>
      <c r="B12">
        <v>11</v>
      </c>
      <c r="C12">
        <v>11</v>
      </c>
      <c r="D12" s="4" t="s">
        <v>403</v>
      </c>
      <c r="E12" s="4">
        <v>45658</v>
      </c>
      <c r="F12" s="4">
        <v>46752</v>
      </c>
      <c r="G12">
        <v>125000000</v>
      </c>
      <c r="H12" t="s">
        <v>404</v>
      </c>
      <c r="I12" t="s">
        <v>405</v>
      </c>
      <c r="K12">
        <v>100000000</v>
      </c>
      <c r="L12" s="4">
        <v>46752</v>
      </c>
      <c r="M12" s="6">
        <v>0.05</v>
      </c>
      <c r="N12">
        <v>102.6</v>
      </c>
      <c r="O12">
        <v>4</v>
      </c>
      <c r="P12" s="5">
        <f t="shared" si="0"/>
        <v>3.5895317016069843E-2</v>
      </c>
      <c r="Q12" t="str">
        <f t="array" ref="Q12:R12">VLOOKUP(A12,$X$3:$AA$330,{3,4},0)</f>
        <v>Industry Loss</v>
      </c>
      <c r="R12" t="str">
        <v>Annual Aggregate</v>
      </c>
      <c r="X12" t="s">
        <v>44</v>
      </c>
      <c r="Y12">
        <v>4</v>
      </c>
      <c r="Z12" t="s">
        <v>387</v>
      </c>
      <c r="AA12" t="s">
        <v>388</v>
      </c>
    </row>
    <row r="13" spans="1:27">
      <c r="A13" t="s">
        <v>54</v>
      </c>
      <c r="B13">
        <v>14</v>
      </c>
      <c r="C13">
        <v>14</v>
      </c>
      <c r="D13" s="4" t="s">
        <v>406</v>
      </c>
      <c r="E13" s="4">
        <v>45377</v>
      </c>
      <c r="F13" s="4">
        <v>46471</v>
      </c>
      <c r="G13">
        <v>450000000</v>
      </c>
      <c r="H13" t="s">
        <v>407</v>
      </c>
      <c r="I13" t="s">
        <v>408</v>
      </c>
      <c r="J13">
        <v>0</v>
      </c>
      <c r="K13">
        <v>450000000</v>
      </c>
      <c r="L13" s="4">
        <v>46471</v>
      </c>
      <c r="M13" s="6">
        <v>8.702E-2</v>
      </c>
      <c r="N13">
        <v>103.1</v>
      </c>
      <c r="O13">
        <v>4</v>
      </c>
      <c r="P13" s="5">
        <f t="shared" si="0"/>
        <v>5.8907616543021943E-2</v>
      </c>
      <c r="Q13" t="str">
        <f t="array" ref="Q13:R13">VLOOKUP(A13,$X$3:$AA$330,{3,4},0)</f>
        <v>Indemnity</v>
      </c>
      <c r="R13" t="str">
        <v>Annual Aggregate</v>
      </c>
      <c r="X13" t="s">
        <v>45</v>
      </c>
      <c r="Y13">
        <v>5</v>
      </c>
      <c r="Z13" t="s">
        <v>387</v>
      </c>
      <c r="AA13" t="s">
        <v>388</v>
      </c>
    </row>
    <row r="14" spans="1:27">
      <c r="A14" t="s">
        <v>55</v>
      </c>
      <c r="B14">
        <v>15</v>
      </c>
      <c r="C14">
        <v>15</v>
      </c>
      <c r="D14" s="4" t="s">
        <v>409</v>
      </c>
      <c r="E14" s="4">
        <v>45383</v>
      </c>
      <c r="F14" s="4">
        <v>46477</v>
      </c>
      <c r="G14">
        <v>105000000</v>
      </c>
      <c r="H14" t="s">
        <v>410</v>
      </c>
      <c r="I14" t="s">
        <v>411</v>
      </c>
      <c r="K14">
        <v>650000000</v>
      </c>
      <c r="L14" s="4">
        <v>46477</v>
      </c>
      <c r="M14" s="6">
        <v>5.1900000000000002E-2</v>
      </c>
      <c r="N14">
        <v>103.6</v>
      </c>
      <c r="O14">
        <v>4</v>
      </c>
      <c r="P14" s="5">
        <f t="shared" si="0"/>
        <v>2.058508077494671E-2</v>
      </c>
      <c r="Q14" t="str">
        <f t="array" ref="Q14:R14">VLOOKUP(A14,$X$3:$AA$330,{3,4},0)</f>
        <v>Indemnity</v>
      </c>
      <c r="R14" t="str">
        <v>Per Occurrence</v>
      </c>
      <c r="X14" t="s">
        <v>46</v>
      </c>
      <c r="Y14">
        <v>6</v>
      </c>
      <c r="Z14" t="s">
        <v>382</v>
      </c>
      <c r="AA14" t="s">
        <v>388</v>
      </c>
    </row>
    <row r="15" spans="1:27">
      <c r="A15" t="s">
        <v>56</v>
      </c>
      <c r="B15">
        <v>16</v>
      </c>
      <c r="C15">
        <v>16</v>
      </c>
      <c r="D15" s="4" t="s">
        <v>412</v>
      </c>
      <c r="E15" s="4">
        <v>45352</v>
      </c>
      <c r="F15" s="4">
        <v>46446</v>
      </c>
      <c r="G15">
        <v>100000000</v>
      </c>
      <c r="H15" t="s">
        <v>413</v>
      </c>
      <c r="I15" t="s">
        <v>414</v>
      </c>
      <c r="K15">
        <v>200000000</v>
      </c>
      <c r="L15" s="4">
        <v>46446</v>
      </c>
      <c r="M15" s="6">
        <v>6.4799999999999996E-2</v>
      </c>
      <c r="N15">
        <v>101.15</v>
      </c>
      <c r="O15">
        <v>4</v>
      </c>
      <c r="P15" s="5">
        <f t="shared" si="0"/>
        <v>5.3778199413613927E-2</v>
      </c>
      <c r="Q15" t="str">
        <f t="array" ref="Q15:R15">VLOOKUP(A15,$X$3:$AA$330,{3,4},0)</f>
        <v>Industry Loss</v>
      </c>
      <c r="R15" t="str">
        <v>Per Occurrence</v>
      </c>
      <c r="X15" t="s">
        <v>47</v>
      </c>
      <c r="Y15">
        <v>7</v>
      </c>
      <c r="Z15" t="s">
        <v>382</v>
      </c>
      <c r="AA15" t="s">
        <v>415</v>
      </c>
    </row>
    <row r="16" spans="1:27">
      <c r="A16" t="s">
        <v>57</v>
      </c>
      <c r="B16">
        <v>17</v>
      </c>
      <c r="C16">
        <v>17</v>
      </c>
      <c r="D16" s="4" t="s">
        <v>416</v>
      </c>
      <c r="E16" s="4">
        <v>45292</v>
      </c>
      <c r="F16" s="4">
        <v>46752</v>
      </c>
      <c r="G16">
        <v>200000000</v>
      </c>
      <c r="H16" t="s">
        <v>417</v>
      </c>
      <c r="I16" t="s">
        <v>418</v>
      </c>
      <c r="J16">
        <v>0</v>
      </c>
      <c r="K16">
        <v>420000000</v>
      </c>
      <c r="L16" s="4">
        <v>46752</v>
      </c>
      <c r="M16" s="6">
        <v>7.0000000000000007E-2</v>
      </c>
      <c r="N16">
        <v>101.95</v>
      </c>
      <c r="O16">
        <v>4</v>
      </c>
      <c r="P16" s="5">
        <f t="shared" si="0"/>
        <v>5.9147698171153222E-2</v>
      </c>
      <c r="Q16" t="str">
        <f t="array" ref="Q16:R16">VLOOKUP(A16,$X$3:$AA$330,{3,4},0)</f>
        <v>Industry Loss</v>
      </c>
      <c r="R16" t="str">
        <v>Per Occurrence</v>
      </c>
      <c r="X16" t="s">
        <v>48</v>
      </c>
      <c r="Y16">
        <v>8</v>
      </c>
      <c r="Z16" t="s">
        <v>382</v>
      </c>
      <c r="AA16" t="s">
        <v>388</v>
      </c>
    </row>
    <row r="17" spans="1:27">
      <c r="A17" t="s">
        <v>58</v>
      </c>
      <c r="B17">
        <v>327</v>
      </c>
      <c r="C17">
        <v>327</v>
      </c>
      <c r="D17" s="4" t="s">
        <v>419</v>
      </c>
      <c r="E17" s="4">
        <v>45292</v>
      </c>
      <c r="F17" s="4">
        <v>46387</v>
      </c>
      <c r="G17">
        <v>50000000</v>
      </c>
      <c r="H17" t="s">
        <v>420</v>
      </c>
      <c r="I17" t="s">
        <v>391</v>
      </c>
      <c r="K17">
        <v>600000000</v>
      </c>
      <c r="L17" s="4">
        <v>46387</v>
      </c>
      <c r="M17" s="6">
        <v>8.9200000000000002E-2</v>
      </c>
      <c r="N17">
        <v>102</v>
      </c>
      <c r="O17">
        <v>4</v>
      </c>
      <c r="P17" s="5">
        <f t="shared" si="0"/>
        <v>6.6483214129282819E-2</v>
      </c>
      <c r="Q17" t="str">
        <f t="array" ref="Q17:R17">VLOOKUP(A17,$X$3:$AA$330,{3,4},0)</f>
        <v>Indemnity</v>
      </c>
      <c r="R17" t="str">
        <v>Per Occurrence</v>
      </c>
      <c r="X17" t="s">
        <v>49</v>
      </c>
      <c r="Y17">
        <v>9</v>
      </c>
      <c r="Z17" t="s">
        <v>382</v>
      </c>
      <c r="AA17" t="s">
        <v>415</v>
      </c>
    </row>
    <row r="18" spans="1:27">
      <c r="A18" t="s">
        <v>59</v>
      </c>
      <c r="B18">
        <v>331</v>
      </c>
      <c r="C18">
        <v>331</v>
      </c>
      <c r="D18" s="4" t="s">
        <v>421</v>
      </c>
      <c r="E18" s="4">
        <v>45658</v>
      </c>
      <c r="F18" s="4">
        <v>46752</v>
      </c>
      <c r="G18">
        <v>75000000</v>
      </c>
      <c r="H18" t="s">
        <v>420</v>
      </c>
      <c r="I18" t="s">
        <v>391</v>
      </c>
      <c r="K18">
        <v>600000000</v>
      </c>
      <c r="L18" s="4">
        <v>46752</v>
      </c>
      <c r="M18" s="6">
        <v>8.2500000000000004E-2</v>
      </c>
      <c r="N18">
        <v>99.85</v>
      </c>
      <c r="O18">
        <v>4</v>
      </c>
      <c r="P18" s="5">
        <f t="shared" si="0"/>
        <v>8.3327976891849453E-2</v>
      </c>
      <c r="Q18" t="str">
        <f t="array" ref="Q18:R18">VLOOKUP(A18,$X$3:$AA$330,{3,4},0)</f>
        <v>Indemnity</v>
      </c>
      <c r="R18" t="str">
        <v>Per Occurrence</v>
      </c>
      <c r="X18" t="s">
        <v>50</v>
      </c>
      <c r="Y18">
        <v>10</v>
      </c>
      <c r="Z18" t="s">
        <v>382</v>
      </c>
      <c r="AA18" t="s">
        <v>383</v>
      </c>
    </row>
    <row r="19" spans="1:27">
      <c r="A19" t="s">
        <v>61</v>
      </c>
      <c r="B19">
        <v>19</v>
      </c>
      <c r="C19">
        <v>19</v>
      </c>
      <c r="D19" s="4" t="s">
        <v>422</v>
      </c>
      <c r="E19" s="4">
        <v>45674</v>
      </c>
      <c r="F19" s="4">
        <v>46752</v>
      </c>
      <c r="G19">
        <v>150000000</v>
      </c>
      <c r="H19" t="s">
        <v>423</v>
      </c>
      <c r="I19" t="s">
        <v>424</v>
      </c>
      <c r="K19">
        <v>150000000</v>
      </c>
      <c r="L19" s="4">
        <v>46752</v>
      </c>
      <c r="M19" s="6">
        <v>2.9000000000000001E-2</v>
      </c>
      <c r="N19">
        <v>102.8</v>
      </c>
      <c r="O19">
        <v>4</v>
      </c>
      <c r="P19" s="5">
        <f t="shared" si="0"/>
        <v>1.4164743133366582E-2</v>
      </c>
      <c r="Q19" t="str">
        <f t="array" ref="Q19:R19">VLOOKUP(A19,$X$3:$AA$330,{3,4},0)</f>
        <v>Indemnity</v>
      </c>
      <c r="R19" t="str">
        <v>Per Occurrence</v>
      </c>
      <c r="X19" t="s">
        <v>51</v>
      </c>
      <c r="Y19">
        <v>11</v>
      </c>
      <c r="Z19" t="s">
        <v>382</v>
      </c>
      <c r="AA19" t="s">
        <v>383</v>
      </c>
    </row>
    <row r="20" spans="1:27">
      <c r="A20" t="s">
        <v>63</v>
      </c>
      <c r="B20">
        <v>21</v>
      </c>
      <c r="C20">
        <v>21</v>
      </c>
      <c r="D20" s="4" t="s">
        <v>425</v>
      </c>
      <c r="E20" s="4">
        <v>45809</v>
      </c>
      <c r="F20" s="4">
        <v>46752</v>
      </c>
      <c r="G20">
        <v>75000000</v>
      </c>
      <c r="H20" t="s">
        <v>426</v>
      </c>
      <c r="I20" t="s">
        <v>391</v>
      </c>
      <c r="J20">
        <v>0</v>
      </c>
      <c r="K20">
        <v>330000000</v>
      </c>
      <c r="L20" s="4">
        <v>46752</v>
      </c>
      <c r="M20" s="6">
        <v>3.7499999999999999E-2</v>
      </c>
      <c r="N20">
        <v>104.6</v>
      </c>
      <c r="O20">
        <v>4</v>
      </c>
      <c r="P20" s="5">
        <f t="shared" si="0"/>
        <v>1.3154914847344422E-2</v>
      </c>
      <c r="Q20" t="str">
        <f t="array" ref="Q20:R20">VLOOKUP(A20,$X$3:$AA$330,{3,4},0)</f>
        <v>Indemnity</v>
      </c>
      <c r="R20" t="str">
        <v>Per Occurrence</v>
      </c>
      <c r="X20" t="s">
        <v>52</v>
      </c>
      <c r="Y20">
        <v>12</v>
      </c>
      <c r="Z20" t="s">
        <v>382</v>
      </c>
      <c r="AA20" t="s">
        <v>383</v>
      </c>
    </row>
    <row r="21" spans="1:27">
      <c r="A21" t="s">
        <v>64</v>
      </c>
      <c r="B21">
        <v>22</v>
      </c>
      <c r="C21">
        <v>22</v>
      </c>
      <c r="D21" s="4" t="s">
        <v>427</v>
      </c>
      <c r="E21" s="4">
        <v>45809</v>
      </c>
      <c r="F21" s="4">
        <v>46752</v>
      </c>
      <c r="G21">
        <v>200000000</v>
      </c>
      <c r="H21" t="s">
        <v>426</v>
      </c>
      <c r="I21" t="s">
        <v>391</v>
      </c>
      <c r="J21">
        <v>0</v>
      </c>
      <c r="K21">
        <v>200000000</v>
      </c>
      <c r="L21" s="4">
        <v>46752</v>
      </c>
      <c r="M21" s="6">
        <v>5.5E-2</v>
      </c>
      <c r="N21">
        <v>102.85</v>
      </c>
      <c r="O21">
        <v>4</v>
      </c>
      <c r="P21" s="5">
        <f t="shared" si="0"/>
        <v>3.9479371493042557E-2</v>
      </c>
      <c r="Q21" t="str">
        <f t="array" ref="Q21:R21">VLOOKUP(A21,$X$3:$AA$330,{3,4},0)</f>
        <v>Indemnity</v>
      </c>
      <c r="R21" t="str">
        <v>Per Occurrence</v>
      </c>
      <c r="X21" t="s">
        <v>53</v>
      </c>
      <c r="Y21">
        <v>13</v>
      </c>
      <c r="Z21" t="s">
        <v>387</v>
      </c>
      <c r="AA21" t="s">
        <v>383</v>
      </c>
    </row>
    <row r="22" spans="1:27">
      <c r="A22" t="s">
        <v>65</v>
      </c>
      <c r="B22">
        <v>23</v>
      </c>
      <c r="C22">
        <v>23</v>
      </c>
      <c r="D22" s="4" t="s">
        <v>428</v>
      </c>
      <c r="E22" s="4">
        <v>45748</v>
      </c>
      <c r="F22" s="4">
        <v>47208</v>
      </c>
      <c r="G22">
        <v>350000000</v>
      </c>
      <c r="H22" t="s">
        <v>429</v>
      </c>
      <c r="I22" t="s">
        <v>430</v>
      </c>
      <c r="J22">
        <v>0</v>
      </c>
      <c r="K22">
        <v>950000000</v>
      </c>
      <c r="L22" s="4">
        <v>47208</v>
      </c>
      <c r="M22" s="6">
        <v>5.3600000000000002E-2</v>
      </c>
      <c r="N22">
        <v>103.75</v>
      </c>
      <c r="O22">
        <v>4</v>
      </c>
      <c r="P22" s="5">
        <f t="shared" si="0"/>
        <v>4.0908806987923041E-2</v>
      </c>
      <c r="Q22" t="str">
        <f t="array" ref="Q22:R22">VLOOKUP(A22,$X$3:$AA$330,{3,4},0)</f>
        <v>Indemnity</v>
      </c>
      <c r="R22" t="str">
        <v>Per Occurrence</v>
      </c>
      <c r="X22" t="s">
        <v>54</v>
      </c>
      <c r="Y22">
        <v>14</v>
      </c>
      <c r="Z22" t="s">
        <v>387</v>
      </c>
      <c r="AA22" t="s">
        <v>383</v>
      </c>
    </row>
    <row r="23" spans="1:27">
      <c r="A23" t="s">
        <v>66</v>
      </c>
      <c r="B23">
        <v>24</v>
      </c>
      <c r="C23">
        <v>24</v>
      </c>
      <c r="D23" s="4" t="s">
        <v>431</v>
      </c>
      <c r="E23" s="4">
        <v>45658</v>
      </c>
      <c r="F23" s="4">
        <v>47208</v>
      </c>
      <c r="G23">
        <v>300000000</v>
      </c>
      <c r="H23" t="s">
        <v>429</v>
      </c>
      <c r="I23" t="s">
        <v>430</v>
      </c>
      <c r="J23">
        <v>0</v>
      </c>
      <c r="K23">
        <v>1999375000</v>
      </c>
      <c r="L23" s="4">
        <v>47208</v>
      </c>
      <c r="M23" s="6">
        <v>3.9899999999999998E-2</v>
      </c>
      <c r="N23">
        <v>101.85</v>
      </c>
      <c r="O23">
        <v>4</v>
      </c>
      <c r="P23" s="5">
        <f t="shared" si="0"/>
        <v>3.3712833916210466E-2</v>
      </c>
      <c r="Q23" t="str">
        <f t="array" ref="Q23:R23">VLOOKUP(A23,$X$3:$AA$330,{3,4},0)</f>
        <v>Indemnity</v>
      </c>
      <c r="R23" t="str">
        <v>Per Occurrence</v>
      </c>
      <c r="X23" t="s">
        <v>55</v>
      </c>
      <c r="Y23">
        <v>15</v>
      </c>
      <c r="Z23" t="s">
        <v>387</v>
      </c>
      <c r="AA23" t="s">
        <v>388</v>
      </c>
    </row>
    <row r="24" spans="1:27">
      <c r="A24" t="s">
        <v>68</v>
      </c>
      <c r="B24">
        <v>26</v>
      </c>
      <c r="C24">
        <v>26</v>
      </c>
      <c r="D24" s="4" t="s">
        <v>432</v>
      </c>
      <c r="E24" s="4">
        <v>45809</v>
      </c>
      <c r="F24" s="4">
        <v>47269</v>
      </c>
      <c r="G24">
        <v>50000000</v>
      </c>
      <c r="H24" t="s">
        <v>433</v>
      </c>
      <c r="I24" t="s">
        <v>391</v>
      </c>
      <c r="J24">
        <v>0</v>
      </c>
      <c r="K24">
        <v>800000000</v>
      </c>
      <c r="L24" s="4">
        <v>47269</v>
      </c>
      <c r="M24" s="6">
        <v>0.13</v>
      </c>
      <c r="N24">
        <v>102.8</v>
      </c>
      <c r="O24">
        <v>4</v>
      </c>
      <c r="P24" s="5">
        <f t="shared" si="0"/>
        <v>0.11965117882521288</v>
      </c>
      <c r="Q24" t="str">
        <f t="array" ref="Q24:R24">VLOOKUP(A24,$X$3:$AA$330,{3,4},0)</f>
        <v>Indemnity</v>
      </c>
      <c r="R24" t="str">
        <v>Annual Aggregate</v>
      </c>
      <c r="X24" t="s">
        <v>56</v>
      </c>
      <c r="Y24">
        <v>16</v>
      </c>
      <c r="Z24" t="s">
        <v>382</v>
      </c>
      <c r="AA24" t="s">
        <v>388</v>
      </c>
    </row>
    <row r="25" spans="1:27">
      <c r="A25" t="s">
        <v>69</v>
      </c>
      <c r="B25">
        <v>27</v>
      </c>
      <c r="C25">
        <v>27</v>
      </c>
      <c r="D25" s="4" t="s">
        <v>434</v>
      </c>
      <c r="E25" s="4">
        <v>45809</v>
      </c>
      <c r="F25" s="4">
        <v>47269</v>
      </c>
      <c r="G25">
        <v>150000000</v>
      </c>
      <c r="H25" t="s">
        <v>433</v>
      </c>
      <c r="I25" t="s">
        <v>391</v>
      </c>
      <c r="J25">
        <v>0</v>
      </c>
      <c r="K25">
        <v>1100000000</v>
      </c>
      <c r="L25" s="4">
        <v>47269</v>
      </c>
      <c r="M25" s="6">
        <v>7.7499999999999999E-2</v>
      </c>
      <c r="N25">
        <v>99.3</v>
      </c>
      <c r="O25">
        <v>4</v>
      </c>
      <c r="P25" s="5">
        <f t="shared" si="0"/>
        <v>7.9898131982206813E-2</v>
      </c>
      <c r="Q25" t="str">
        <f t="array" ref="Q25:R25">VLOOKUP(A25,$X$3:$AA$330,{3,4},0)</f>
        <v>Indemnity</v>
      </c>
      <c r="R25" t="str">
        <v>Annual Aggregate</v>
      </c>
      <c r="X25" t="s">
        <v>57</v>
      </c>
      <c r="Y25">
        <v>17</v>
      </c>
      <c r="Z25" t="s">
        <v>382</v>
      </c>
      <c r="AA25" t="s">
        <v>388</v>
      </c>
    </row>
    <row r="26" spans="1:27">
      <c r="A26" t="s">
        <v>70</v>
      </c>
      <c r="B26">
        <v>28</v>
      </c>
      <c r="C26">
        <v>28</v>
      </c>
      <c r="D26" s="4" t="s">
        <v>435</v>
      </c>
      <c r="E26" s="4">
        <v>45809</v>
      </c>
      <c r="F26" s="4">
        <v>47269</v>
      </c>
      <c r="G26">
        <v>225000000</v>
      </c>
      <c r="H26" t="s">
        <v>433</v>
      </c>
      <c r="I26" t="s">
        <v>391</v>
      </c>
      <c r="J26">
        <v>0</v>
      </c>
      <c r="K26">
        <v>450000000</v>
      </c>
      <c r="L26" s="4">
        <v>47269</v>
      </c>
      <c r="M26" s="6">
        <v>5.7500000000000002E-2</v>
      </c>
      <c r="N26">
        <v>103.1</v>
      </c>
      <c r="O26">
        <v>4</v>
      </c>
      <c r="P26" s="5">
        <f t="shared" si="0"/>
        <v>4.7385201043520356E-2</v>
      </c>
      <c r="Q26" t="str">
        <f t="array" ref="Q26:R26">VLOOKUP(A26,$X$3:$AA$330,{3,4},0)</f>
        <v>Indemnity</v>
      </c>
      <c r="R26" t="str">
        <v>Annual Aggregate</v>
      </c>
      <c r="X26" t="s">
        <v>58</v>
      </c>
      <c r="Y26">
        <v>327</v>
      </c>
      <c r="Z26" t="s">
        <v>387</v>
      </c>
      <c r="AA26" t="s">
        <v>388</v>
      </c>
    </row>
    <row r="27" spans="1:27">
      <c r="A27" t="s">
        <v>71</v>
      </c>
      <c r="B27">
        <v>29</v>
      </c>
      <c r="C27">
        <v>29</v>
      </c>
      <c r="D27" s="4" t="s">
        <v>436</v>
      </c>
      <c r="E27" s="4">
        <v>45292</v>
      </c>
      <c r="F27" s="4">
        <v>46387</v>
      </c>
      <c r="G27">
        <v>200000000</v>
      </c>
      <c r="H27" t="s">
        <v>437</v>
      </c>
      <c r="I27" t="s">
        <v>438</v>
      </c>
      <c r="J27">
        <v>0</v>
      </c>
      <c r="K27">
        <v>330000000</v>
      </c>
      <c r="L27" s="4">
        <v>46387</v>
      </c>
      <c r="M27" s="6">
        <v>7.4999999999999997E-2</v>
      </c>
      <c r="N27">
        <v>102.925</v>
      </c>
      <c r="O27">
        <v>4</v>
      </c>
      <c r="P27" s="5">
        <f t="shared" si="0"/>
        <v>4.2275852899259045E-2</v>
      </c>
      <c r="Q27" t="str">
        <f t="array" ref="Q27:R27">VLOOKUP(A27,$X$3:$AA$330,{3,4},0)</f>
        <v>Industry Loss</v>
      </c>
      <c r="R27" t="str">
        <v>Per Occurrence</v>
      </c>
      <c r="X27" t="s">
        <v>59</v>
      </c>
      <c r="Y27">
        <v>331</v>
      </c>
      <c r="Z27" t="s">
        <v>387</v>
      </c>
      <c r="AA27" t="s">
        <v>388</v>
      </c>
    </row>
    <row r="28" spans="1:27">
      <c r="A28" t="s">
        <v>72</v>
      </c>
      <c r="B28">
        <v>30</v>
      </c>
      <c r="C28">
        <v>30</v>
      </c>
      <c r="D28" s="4" t="s">
        <v>439</v>
      </c>
      <c r="E28" s="4">
        <v>45666</v>
      </c>
      <c r="F28" s="4">
        <v>46752</v>
      </c>
      <c r="G28">
        <v>250000000</v>
      </c>
      <c r="H28" t="s">
        <v>440</v>
      </c>
      <c r="I28" t="s">
        <v>441</v>
      </c>
      <c r="K28">
        <v>250000000</v>
      </c>
      <c r="L28" s="4">
        <v>46752</v>
      </c>
      <c r="M28" s="6">
        <v>0.04</v>
      </c>
      <c r="N28">
        <v>102.75</v>
      </c>
      <c r="O28">
        <v>4</v>
      </c>
      <c r="P28" s="5">
        <f t="shared" si="0"/>
        <v>2.5253159718891763E-2</v>
      </c>
      <c r="Q28" t="str">
        <f t="array" ref="Q28:R28">VLOOKUP(A28,$X$3:$AA$330,{3,4},0)</f>
        <v>Industry Loss</v>
      </c>
      <c r="R28" t="str">
        <v>Annual Aggregate</v>
      </c>
      <c r="X28" t="s">
        <v>60</v>
      </c>
      <c r="Y28">
        <v>18</v>
      </c>
      <c r="Z28" t="s">
        <v>382</v>
      </c>
      <c r="AA28" t="s">
        <v>388</v>
      </c>
    </row>
    <row r="29" spans="1:27">
      <c r="A29" t="s">
        <v>75</v>
      </c>
      <c r="B29">
        <v>33</v>
      </c>
      <c r="C29">
        <v>33</v>
      </c>
      <c r="D29" s="4" t="s">
        <v>442</v>
      </c>
      <c r="E29" s="4">
        <v>44896</v>
      </c>
      <c r="F29" s="4">
        <v>46356</v>
      </c>
      <c r="G29">
        <v>60000000</v>
      </c>
      <c r="H29" t="s">
        <v>443</v>
      </c>
      <c r="I29" t="s">
        <v>391</v>
      </c>
      <c r="J29">
        <v>0</v>
      </c>
      <c r="K29">
        <v>1300000000</v>
      </c>
      <c r="L29" s="4">
        <v>46356</v>
      </c>
      <c r="M29" s="6">
        <v>0.1066</v>
      </c>
      <c r="N29">
        <v>100</v>
      </c>
      <c r="O29">
        <v>4</v>
      </c>
      <c r="P29" s="5">
        <f t="shared" si="0"/>
        <v>0.1065010447377069</v>
      </c>
      <c r="Q29" t="str">
        <f t="array" ref="Q29:R29">VLOOKUP(A29,$X$3:$AA$330,{3,4},0)</f>
        <v>Indemnity</v>
      </c>
      <c r="R29" t="str">
        <v>Per Occurrence</v>
      </c>
      <c r="X29" t="s">
        <v>61</v>
      </c>
      <c r="Y29">
        <v>19</v>
      </c>
      <c r="Z29" t="s">
        <v>387</v>
      </c>
      <c r="AA29" t="s">
        <v>388</v>
      </c>
    </row>
    <row r="30" spans="1:27">
      <c r="A30" t="s">
        <v>76</v>
      </c>
      <c r="B30">
        <v>34</v>
      </c>
      <c r="C30">
        <v>34</v>
      </c>
      <c r="D30" s="4" t="s">
        <v>444</v>
      </c>
      <c r="E30" s="4">
        <v>44896</v>
      </c>
      <c r="F30" s="4">
        <v>46356</v>
      </c>
      <c r="G30">
        <v>135000000</v>
      </c>
      <c r="H30" t="s">
        <v>443</v>
      </c>
      <c r="I30" t="s">
        <v>391</v>
      </c>
      <c r="J30">
        <v>0</v>
      </c>
      <c r="K30">
        <v>500000000</v>
      </c>
      <c r="L30" s="4">
        <v>46356</v>
      </c>
      <c r="M30" s="6">
        <v>7.5899999999999995E-2</v>
      </c>
      <c r="N30">
        <v>104.5</v>
      </c>
      <c r="O30">
        <v>4</v>
      </c>
      <c r="P30" s="5">
        <f t="shared" si="0"/>
        <v>2.1263197023999661E-2</v>
      </c>
      <c r="Q30" t="str">
        <f t="array" ref="Q30:R30">VLOOKUP(A30,$X$3:$AA$330,{3,4},0)</f>
        <v>Indemnity</v>
      </c>
      <c r="R30" t="str">
        <v>Per Occurrence</v>
      </c>
      <c r="X30" t="s">
        <v>62</v>
      </c>
      <c r="Y30">
        <v>20</v>
      </c>
      <c r="Z30" t="s">
        <v>387</v>
      </c>
      <c r="AA30" t="s">
        <v>383</v>
      </c>
    </row>
    <row r="31" spans="1:27">
      <c r="A31" t="s">
        <v>77</v>
      </c>
      <c r="B31">
        <v>35</v>
      </c>
      <c r="C31">
        <v>35</v>
      </c>
      <c r="D31" s="4" t="s">
        <v>445</v>
      </c>
      <c r="E31" s="4">
        <v>45261</v>
      </c>
      <c r="F31" s="4">
        <v>46721</v>
      </c>
      <c r="G31">
        <v>150000000</v>
      </c>
      <c r="H31" t="s">
        <v>446</v>
      </c>
      <c r="I31" t="s">
        <v>391</v>
      </c>
      <c r="J31">
        <v>0</v>
      </c>
      <c r="K31">
        <v>1300000000</v>
      </c>
      <c r="L31" s="4">
        <v>46721</v>
      </c>
      <c r="M31" s="6">
        <v>8.6999999999999994E-2</v>
      </c>
      <c r="N31">
        <v>104.65</v>
      </c>
      <c r="O31">
        <v>4</v>
      </c>
      <c r="P31" s="5">
        <f t="shared" si="0"/>
        <v>6.0005195905753428E-2</v>
      </c>
      <c r="Q31" t="str">
        <f t="array" ref="Q31:R31">VLOOKUP(A31,$X$3:$AA$330,{3,4},0)</f>
        <v>Indemnity</v>
      </c>
      <c r="R31" t="str">
        <v>Per Occurrence</v>
      </c>
      <c r="X31" t="s">
        <v>63</v>
      </c>
      <c r="Y31">
        <v>21</v>
      </c>
      <c r="Z31" t="s">
        <v>387</v>
      </c>
      <c r="AA31" t="s">
        <v>388</v>
      </c>
    </row>
    <row r="32" spans="1:27">
      <c r="A32" t="s">
        <v>78</v>
      </c>
      <c r="B32">
        <v>36</v>
      </c>
      <c r="C32">
        <v>36</v>
      </c>
      <c r="D32" s="4" t="s">
        <v>447</v>
      </c>
      <c r="E32" s="4">
        <v>45261</v>
      </c>
      <c r="F32" s="4">
        <v>46721</v>
      </c>
      <c r="G32">
        <v>200000000</v>
      </c>
      <c r="H32" t="s">
        <v>446</v>
      </c>
      <c r="I32" t="s">
        <v>391</v>
      </c>
      <c r="K32">
        <v>600000000</v>
      </c>
      <c r="L32" s="4">
        <v>46721</v>
      </c>
      <c r="M32" s="6">
        <v>5.9700000000000003E-2</v>
      </c>
      <c r="N32">
        <v>105.2</v>
      </c>
      <c r="O32">
        <v>4</v>
      </c>
      <c r="P32" s="5">
        <f t="shared" si="0"/>
        <v>3.0423231021959152E-2</v>
      </c>
      <c r="Q32" t="str">
        <f t="array" ref="Q32:R32">VLOOKUP(A32,$X$3:$AA$330,{3,4},0)</f>
        <v>Indemnity</v>
      </c>
      <c r="R32" t="str">
        <v>Per Occurrence</v>
      </c>
      <c r="X32" t="s">
        <v>64</v>
      </c>
      <c r="Y32">
        <v>22</v>
      </c>
      <c r="Z32" t="s">
        <v>387</v>
      </c>
      <c r="AA32" t="s">
        <v>388</v>
      </c>
    </row>
    <row r="33" spans="1:27">
      <c r="A33" t="s">
        <v>79</v>
      </c>
      <c r="B33">
        <v>37</v>
      </c>
      <c r="C33">
        <v>37</v>
      </c>
      <c r="D33" s="4" t="s">
        <v>448</v>
      </c>
      <c r="E33" s="4">
        <v>45627</v>
      </c>
      <c r="F33" s="4">
        <v>47087</v>
      </c>
      <c r="G33">
        <v>75000000</v>
      </c>
      <c r="H33" t="s">
        <v>449</v>
      </c>
      <c r="I33" t="s">
        <v>391</v>
      </c>
      <c r="J33">
        <v>0</v>
      </c>
      <c r="K33">
        <v>1100000000</v>
      </c>
      <c r="L33" s="4">
        <v>47087</v>
      </c>
      <c r="M33" s="6">
        <v>0.13420000000000001</v>
      </c>
      <c r="N33">
        <v>105.4</v>
      </c>
      <c r="O33">
        <v>4</v>
      </c>
      <c r="P33" s="5">
        <f t="shared" si="0"/>
        <v>0.11166213980877157</v>
      </c>
      <c r="Q33" t="str">
        <f t="array" ref="Q33:R33">VLOOKUP(A33,$X$3:$AA$330,{3,4},0)</f>
        <v>Indemnity</v>
      </c>
      <c r="R33" t="str">
        <v>Per Occurrence</v>
      </c>
      <c r="X33" t="s">
        <v>65</v>
      </c>
      <c r="Y33">
        <v>23</v>
      </c>
      <c r="Z33" t="s">
        <v>387</v>
      </c>
      <c r="AA33" t="s">
        <v>388</v>
      </c>
    </row>
    <row r="34" spans="1:27">
      <c r="A34" t="s">
        <v>80</v>
      </c>
      <c r="B34">
        <v>38</v>
      </c>
      <c r="C34">
        <v>38</v>
      </c>
      <c r="D34" s="4" t="s">
        <v>450</v>
      </c>
      <c r="E34" s="4">
        <v>45627</v>
      </c>
      <c r="F34" s="4">
        <v>47087</v>
      </c>
      <c r="G34">
        <v>200000000</v>
      </c>
      <c r="H34" t="s">
        <v>449</v>
      </c>
      <c r="I34" t="s">
        <v>391</v>
      </c>
      <c r="J34">
        <v>0</v>
      </c>
      <c r="K34">
        <v>1300000000</v>
      </c>
      <c r="L34" s="4">
        <v>47087</v>
      </c>
      <c r="M34" s="6">
        <v>6.9400000000000003E-2</v>
      </c>
      <c r="N34">
        <v>107.85</v>
      </c>
      <c r="O34">
        <v>4</v>
      </c>
      <c r="P34" s="5">
        <f t="shared" si="0"/>
        <v>3.9951278606777128E-2</v>
      </c>
      <c r="Q34" t="str">
        <f t="array" ref="Q34:R34">VLOOKUP(A34,$X$3:$AA$330,{3,4},0)</f>
        <v>Indemnity</v>
      </c>
      <c r="R34" t="str">
        <v>Per Occurrence</v>
      </c>
      <c r="X34" t="s">
        <v>66</v>
      </c>
      <c r="Y34">
        <v>24</v>
      </c>
      <c r="Z34" t="s">
        <v>387</v>
      </c>
      <c r="AA34" t="s">
        <v>388</v>
      </c>
    </row>
    <row r="35" spans="1:27">
      <c r="A35" t="s">
        <v>81</v>
      </c>
      <c r="B35">
        <v>39</v>
      </c>
      <c r="C35">
        <v>39</v>
      </c>
      <c r="D35" s="4" t="s">
        <v>451</v>
      </c>
      <c r="E35" s="4">
        <v>45627</v>
      </c>
      <c r="F35" s="4">
        <v>47087</v>
      </c>
      <c r="G35">
        <v>175000000</v>
      </c>
      <c r="H35" t="s">
        <v>449</v>
      </c>
      <c r="I35" t="s">
        <v>391</v>
      </c>
      <c r="J35">
        <v>0</v>
      </c>
      <c r="K35">
        <v>500000000</v>
      </c>
      <c r="L35" s="4">
        <v>47087</v>
      </c>
      <c r="M35" s="6">
        <v>5.3800000000000001E-2</v>
      </c>
      <c r="N35">
        <v>108.35</v>
      </c>
      <c r="O35">
        <v>4</v>
      </c>
      <c r="P35" s="5">
        <f t="shared" si="0"/>
        <v>2.3258947861490846E-2</v>
      </c>
      <c r="Q35" t="str">
        <f t="array" ref="Q35:R35">VLOOKUP(A35,$X$3:$AA$330,{3,4},0)</f>
        <v>Indemnity</v>
      </c>
      <c r="R35" t="str">
        <v>Per Occurrence</v>
      </c>
      <c r="X35" t="s">
        <v>67</v>
      </c>
      <c r="Y35">
        <v>25</v>
      </c>
      <c r="Z35" t="s">
        <v>382</v>
      </c>
      <c r="AA35" t="s">
        <v>388</v>
      </c>
    </row>
    <row r="36" spans="1:27">
      <c r="A36" t="s">
        <v>82</v>
      </c>
      <c r="B36">
        <v>40</v>
      </c>
      <c r="C36">
        <v>40</v>
      </c>
      <c r="D36" s="4" t="s">
        <v>452</v>
      </c>
      <c r="E36" s="4">
        <v>45839</v>
      </c>
      <c r="F36" s="4">
        <v>47299</v>
      </c>
      <c r="G36">
        <v>250000000</v>
      </c>
      <c r="H36" t="s">
        <v>453</v>
      </c>
      <c r="I36" t="s">
        <v>454</v>
      </c>
      <c r="K36">
        <v>500000000</v>
      </c>
      <c r="L36" s="4">
        <v>47299</v>
      </c>
      <c r="M36" s="6">
        <v>3.7499999999999999E-2</v>
      </c>
      <c r="N36">
        <v>107.75</v>
      </c>
      <c r="O36">
        <v>4</v>
      </c>
      <c r="P36" s="5">
        <f t="shared" si="0"/>
        <v>1.422018148499416E-2</v>
      </c>
      <c r="Q36" t="str">
        <f t="array" ref="Q36:R36">VLOOKUP(A36,$X$3:$AA$330,{3,4},0)</f>
        <v>Indemnity</v>
      </c>
      <c r="R36" t="str">
        <v>Per Occurrence</v>
      </c>
      <c r="X36" t="s">
        <v>68</v>
      </c>
      <c r="Y36">
        <v>26</v>
      </c>
      <c r="Z36" t="s">
        <v>387</v>
      </c>
      <c r="AA36" t="s">
        <v>383</v>
      </c>
    </row>
    <row r="37" spans="1:27">
      <c r="A37" t="s">
        <v>83</v>
      </c>
      <c r="B37">
        <v>41</v>
      </c>
      <c r="C37">
        <v>41</v>
      </c>
      <c r="D37" s="4" t="s">
        <v>455</v>
      </c>
      <c r="E37" s="4">
        <v>45108</v>
      </c>
      <c r="F37" s="4">
        <v>46568</v>
      </c>
      <c r="G37">
        <v>100000000</v>
      </c>
      <c r="H37" t="s">
        <v>453</v>
      </c>
      <c r="I37" t="s">
        <v>454</v>
      </c>
      <c r="K37">
        <v>300000000</v>
      </c>
      <c r="L37" s="4">
        <v>46568</v>
      </c>
      <c r="M37" s="6">
        <v>5.0500000000000003E-2</v>
      </c>
      <c r="N37">
        <v>100</v>
      </c>
      <c r="O37">
        <v>4</v>
      </c>
      <c r="P37" s="5">
        <f t="shared" si="0"/>
        <v>5.0487061623138256E-2</v>
      </c>
      <c r="Q37" t="str">
        <f t="array" ref="Q37:R37">VLOOKUP(A37,$X$3:$AA$330,{3,4},0)</f>
        <v>Indemnity</v>
      </c>
      <c r="R37" t="str">
        <v>Per Occurrence</v>
      </c>
      <c r="X37" t="s">
        <v>69</v>
      </c>
      <c r="Y37">
        <v>27</v>
      </c>
      <c r="Z37" t="s">
        <v>387</v>
      </c>
      <c r="AA37" t="s">
        <v>383</v>
      </c>
    </row>
    <row r="38" spans="1:27">
      <c r="A38" t="s">
        <v>86</v>
      </c>
      <c r="B38">
        <v>44</v>
      </c>
      <c r="C38">
        <v>44</v>
      </c>
      <c r="D38" s="4" t="s">
        <v>456</v>
      </c>
      <c r="E38" s="4">
        <v>45474</v>
      </c>
      <c r="F38" s="4">
        <v>46568</v>
      </c>
      <c r="G38">
        <v>100000000</v>
      </c>
      <c r="H38" t="s">
        <v>457</v>
      </c>
      <c r="I38" t="s">
        <v>458</v>
      </c>
      <c r="K38">
        <v>500000000</v>
      </c>
      <c r="L38" s="4">
        <v>46568</v>
      </c>
      <c r="M38" s="6">
        <v>4.9250000000000002E-2</v>
      </c>
      <c r="N38">
        <v>101.25</v>
      </c>
      <c r="O38">
        <v>4</v>
      </c>
      <c r="P38" s="5">
        <f t="shared" si="0"/>
        <v>4.0119230039523349E-2</v>
      </c>
      <c r="Q38" t="str">
        <f t="array" ref="Q38:R38">VLOOKUP(A38,$X$3:$AA$330,{3,4},0)</f>
        <v>Indemnity</v>
      </c>
      <c r="R38" t="str">
        <v>Annual Aggregate</v>
      </c>
      <c r="X38" t="s">
        <v>70</v>
      </c>
      <c r="Y38">
        <v>28</v>
      </c>
      <c r="Z38" t="s">
        <v>387</v>
      </c>
      <c r="AA38" t="s">
        <v>383</v>
      </c>
    </row>
    <row r="39" spans="1:27">
      <c r="A39" t="s">
        <v>87</v>
      </c>
      <c r="B39">
        <v>45</v>
      </c>
      <c r="C39">
        <v>45</v>
      </c>
      <c r="D39" s="4" t="s">
        <v>459</v>
      </c>
      <c r="E39" s="4">
        <v>45839</v>
      </c>
      <c r="F39" s="4">
        <v>46934</v>
      </c>
      <c r="G39">
        <v>225000000</v>
      </c>
      <c r="H39" t="s">
        <v>457</v>
      </c>
      <c r="I39" t="s">
        <v>458</v>
      </c>
      <c r="K39">
        <v>600000000</v>
      </c>
      <c r="L39" s="4">
        <v>46934</v>
      </c>
      <c r="M39" s="6">
        <v>3.5000000000000003E-2</v>
      </c>
      <c r="N39">
        <v>104.2</v>
      </c>
      <c r="O39">
        <v>4</v>
      </c>
      <c r="P39" s="5">
        <f t="shared" si="0"/>
        <v>1.7217476573205413E-2</v>
      </c>
      <c r="Q39" t="str">
        <f t="array" ref="Q39:R39">VLOOKUP(A39,$X$3:$AA$330,{3,4},0)</f>
        <v>Indemnity</v>
      </c>
      <c r="R39" t="str">
        <v>Annual Aggregate</v>
      </c>
      <c r="X39" t="s">
        <v>71</v>
      </c>
      <c r="Y39">
        <v>29</v>
      </c>
      <c r="Z39" t="s">
        <v>382</v>
      </c>
      <c r="AA39" t="s">
        <v>388</v>
      </c>
    </row>
    <row r="40" spans="1:27">
      <c r="A40" t="s">
        <v>88</v>
      </c>
      <c r="B40">
        <v>46</v>
      </c>
      <c r="C40">
        <v>46</v>
      </c>
      <c r="D40" s="4" t="s">
        <v>460</v>
      </c>
      <c r="E40" s="4">
        <v>44713</v>
      </c>
      <c r="F40" s="4">
        <v>46173</v>
      </c>
      <c r="G40">
        <v>35000000</v>
      </c>
      <c r="H40" t="s">
        <v>443</v>
      </c>
      <c r="I40" t="s">
        <v>461</v>
      </c>
      <c r="J40">
        <v>0</v>
      </c>
      <c r="K40">
        <v>550000000</v>
      </c>
      <c r="L40" s="4">
        <v>46173</v>
      </c>
      <c r="M40" s="6">
        <v>0.12520000000000001</v>
      </c>
      <c r="N40">
        <v>103.15</v>
      </c>
      <c r="O40">
        <v>4</v>
      </c>
      <c r="P40" s="5">
        <f t="shared" si="0"/>
        <v>2.9800148598951585E-2</v>
      </c>
      <c r="Q40" t="str">
        <f t="array" ref="Q40:R40">VLOOKUP(A40,$X$3:$AA$330,{3,4},0)</f>
        <v>NULL</v>
      </c>
      <c r="R40" t="str">
        <v>NULL</v>
      </c>
      <c r="X40" t="s">
        <v>72</v>
      </c>
      <c r="Y40">
        <v>30</v>
      </c>
      <c r="Z40" t="s">
        <v>382</v>
      </c>
      <c r="AA40" t="s">
        <v>383</v>
      </c>
    </row>
    <row r="41" spans="1:27">
      <c r="A41" t="s">
        <v>89</v>
      </c>
      <c r="B41">
        <v>47</v>
      </c>
      <c r="C41">
        <v>47</v>
      </c>
      <c r="D41" s="4" t="s">
        <v>462</v>
      </c>
      <c r="E41" s="4">
        <v>44713</v>
      </c>
      <c r="F41" s="4">
        <v>46173</v>
      </c>
      <c r="G41">
        <v>60000000</v>
      </c>
      <c r="H41" t="s">
        <v>443</v>
      </c>
      <c r="I41" t="s">
        <v>461</v>
      </c>
      <c r="J41">
        <v>0</v>
      </c>
      <c r="K41">
        <v>600000000</v>
      </c>
      <c r="L41" s="4">
        <v>46173</v>
      </c>
      <c r="M41" s="6">
        <v>7.6799999999999993E-2</v>
      </c>
      <c r="N41">
        <v>102.35</v>
      </c>
      <c r="O41">
        <v>4</v>
      </c>
      <c r="P41" s="5">
        <f t="shared" si="0"/>
        <v>6.1633822312980356E-3</v>
      </c>
      <c r="Q41" t="str">
        <f t="array" ref="Q41:R41">VLOOKUP(A41,$X$3:$AA$330,{3,4},0)</f>
        <v>NULL</v>
      </c>
      <c r="R41" t="str">
        <v>NULL</v>
      </c>
      <c r="X41" t="s">
        <v>73</v>
      </c>
      <c r="Y41">
        <v>31</v>
      </c>
      <c r="Z41" t="s">
        <v>461</v>
      </c>
      <c r="AA41" t="s">
        <v>461</v>
      </c>
    </row>
    <row r="42" spans="1:27">
      <c r="A42" t="s">
        <v>92</v>
      </c>
      <c r="B42">
        <v>50</v>
      </c>
      <c r="C42">
        <v>50</v>
      </c>
      <c r="D42" s="4" t="s">
        <v>463</v>
      </c>
      <c r="E42" s="4">
        <v>45078</v>
      </c>
      <c r="F42" s="4">
        <v>46538</v>
      </c>
      <c r="G42">
        <v>125000000</v>
      </c>
      <c r="H42" t="s">
        <v>446</v>
      </c>
      <c r="I42" t="s">
        <v>391</v>
      </c>
      <c r="J42">
        <v>0</v>
      </c>
      <c r="K42">
        <v>600000000</v>
      </c>
      <c r="L42" s="4">
        <v>46538</v>
      </c>
      <c r="M42" s="6">
        <v>0.1104</v>
      </c>
      <c r="N42">
        <v>102.9</v>
      </c>
      <c r="O42">
        <v>4</v>
      </c>
      <c r="P42" s="5">
        <f t="shared" si="0"/>
        <v>8.7074314622914428E-2</v>
      </c>
      <c r="Q42" t="str">
        <f t="array" ref="Q42:R42">VLOOKUP(A42,$X$3:$AA$330,{3,4},0)</f>
        <v>Indemnity</v>
      </c>
      <c r="R42" t="str">
        <v>Annual Aggregate</v>
      </c>
      <c r="X42" t="s">
        <v>74</v>
      </c>
      <c r="Y42">
        <v>32</v>
      </c>
      <c r="Z42" t="s">
        <v>461</v>
      </c>
      <c r="AA42" t="s">
        <v>461</v>
      </c>
    </row>
    <row r="43" spans="1:27">
      <c r="A43" t="s">
        <v>93</v>
      </c>
      <c r="B43">
        <v>51</v>
      </c>
      <c r="C43">
        <v>51</v>
      </c>
      <c r="D43" s="4" t="s">
        <v>464</v>
      </c>
      <c r="E43" s="4">
        <v>45078</v>
      </c>
      <c r="F43" s="4">
        <v>46538</v>
      </c>
      <c r="G43">
        <v>275000000</v>
      </c>
      <c r="H43" t="s">
        <v>446</v>
      </c>
      <c r="I43" t="s">
        <v>391</v>
      </c>
      <c r="J43">
        <v>0</v>
      </c>
      <c r="K43">
        <v>900000000</v>
      </c>
      <c r="L43" s="4">
        <v>46538</v>
      </c>
      <c r="M43" s="6">
        <v>6.7599999999999993E-2</v>
      </c>
      <c r="N43">
        <v>107.2</v>
      </c>
      <c r="O43">
        <v>4</v>
      </c>
      <c r="P43" s="5">
        <f t="shared" si="0"/>
        <v>1.3036738902225254E-2</v>
      </c>
      <c r="Q43" t="str">
        <f t="array" ref="Q43:R43">VLOOKUP(A43,$X$3:$AA$330,{3,4},0)</f>
        <v>Indemnity</v>
      </c>
      <c r="R43" t="str">
        <v>Annual Aggregate</v>
      </c>
      <c r="X43" t="s">
        <v>75</v>
      </c>
      <c r="Y43">
        <v>33</v>
      </c>
      <c r="Z43" t="s">
        <v>387</v>
      </c>
      <c r="AA43" t="s">
        <v>388</v>
      </c>
    </row>
    <row r="44" spans="1:27">
      <c r="A44" t="s">
        <v>94</v>
      </c>
      <c r="B44">
        <v>52</v>
      </c>
      <c r="C44">
        <v>52</v>
      </c>
      <c r="D44" s="4" t="s">
        <v>465</v>
      </c>
      <c r="E44" s="4">
        <v>45444</v>
      </c>
      <c r="F44" s="4">
        <v>46904</v>
      </c>
      <c r="G44">
        <v>50000000</v>
      </c>
      <c r="H44" t="s">
        <v>449</v>
      </c>
      <c r="I44" t="s">
        <v>391</v>
      </c>
      <c r="J44">
        <v>0</v>
      </c>
      <c r="K44">
        <v>600000000</v>
      </c>
      <c r="L44" s="4">
        <v>46904</v>
      </c>
      <c r="M44" s="6">
        <v>9.6500000000000002E-2</v>
      </c>
      <c r="N44">
        <v>99.000846999999993</v>
      </c>
      <c r="O44">
        <v>4</v>
      </c>
      <c r="P44" s="5">
        <f t="shared" si="0"/>
        <v>0.10132931816341607</v>
      </c>
      <c r="Q44" t="str">
        <f t="array" ref="Q44:R44">VLOOKUP(A44,$X$3:$AA$330,{3,4},0)</f>
        <v>Indemnity</v>
      </c>
      <c r="R44" t="str">
        <v>Annual Aggregate</v>
      </c>
      <c r="X44" t="s">
        <v>76</v>
      </c>
      <c r="Y44">
        <v>34</v>
      </c>
      <c r="Z44" t="s">
        <v>387</v>
      </c>
      <c r="AA44" t="s">
        <v>388</v>
      </c>
    </row>
    <row r="45" spans="1:27">
      <c r="A45" t="s">
        <v>95</v>
      </c>
      <c r="B45">
        <v>53</v>
      </c>
      <c r="C45">
        <v>53</v>
      </c>
      <c r="D45" s="4" t="s">
        <v>466</v>
      </c>
      <c r="E45" s="4">
        <v>45444</v>
      </c>
      <c r="F45" s="4">
        <v>46904</v>
      </c>
      <c r="G45">
        <v>75000000</v>
      </c>
      <c r="H45" t="s">
        <v>449</v>
      </c>
      <c r="I45" t="s">
        <v>391</v>
      </c>
      <c r="J45">
        <v>0</v>
      </c>
      <c r="K45">
        <v>900000000</v>
      </c>
      <c r="L45" s="4">
        <v>46904</v>
      </c>
      <c r="M45" s="6">
        <v>5.9799999999999999E-2</v>
      </c>
      <c r="N45">
        <v>99.014825999999999</v>
      </c>
      <c r="O45">
        <v>4</v>
      </c>
      <c r="P45" s="5">
        <f t="shared" si="0"/>
        <v>6.4368656796735327E-2</v>
      </c>
      <c r="Q45" t="str">
        <f t="array" ref="Q45:R45">VLOOKUP(A45,$X$3:$AA$330,{3,4},0)</f>
        <v>Indemnity</v>
      </c>
      <c r="R45" t="str">
        <v>Annual Aggregate</v>
      </c>
      <c r="X45" t="s">
        <v>77</v>
      </c>
      <c r="Y45">
        <v>35</v>
      </c>
      <c r="Z45" t="s">
        <v>387</v>
      </c>
      <c r="AA45" t="s">
        <v>388</v>
      </c>
    </row>
    <row r="46" spans="1:27">
      <c r="A46" t="s">
        <v>96</v>
      </c>
      <c r="B46">
        <v>54</v>
      </c>
      <c r="C46">
        <v>54</v>
      </c>
      <c r="D46" s="4" t="s">
        <v>467</v>
      </c>
      <c r="E46" s="4">
        <v>45839</v>
      </c>
      <c r="F46" s="4">
        <v>46934</v>
      </c>
      <c r="G46">
        <v>110000000</v>
      </c>
      <c r="H46" t="s">
        <v>468</v>
      </c>
      <c r="I46" t="s">
        <v>469</v>
      </c>
      <c r="K46">
        <v>125000000</v>
      </c>
      <c r="L46" s="4">
        <v>46934</v>
      </c>
      <c r="M46" s="6">
        <v>4.2500000000000003E-2</v>
      </c>
      <c r="N46">
        <v>98.982583000000005</v>
      </c>
      <c r="O46">
        <v>4</v>
      </c>
      <c r="P46" s="5">
        <f t="shared" si="0"/>
        <v>4.6972054293853739E-2</v>
      </c>
      <c r="Q46" t="str">
        <f t="array" ref="Q46:R46">VLOOKUP(A46,$X$3:$AA$330,{3,4},0)</f>
        <v>Indemnity</v>
      </c>
      <c r="R46" t="str">
        <v>Per Occurrence</v>
      </c>
      <c r="X46" t="s">
        <v>78</v>
      </c>
      <c r="Y46">
        <v>36</v>
      </c>
      <c r="Z46" t="s">
        <v>387</v>
      </c>
      <c r="AA46" t="s">
        <v>388</v>
      </c>
    </row>
    <row r="47" spans="1:27">
      <c r="A47" t="s">
        <v>99</v>
      </c>
      <c r="B47">
        <v>57</v>
      </c>
      <c r="C47">
        <v>57</v>
      </c>
      <c r="D47" s="4" t="s">
        <v>470</v>
      </c>
      <c r="E47" s="4">
        <v>45839</v>
      </c>
      <c r="F47" s="4">
        <v>46934</v>
      </c>
      <c r="G47">
        <v>80000000</v>
      </c>
      <c r="H47" t="s">
        <v>468</v>
      </c>
      <c r="I47" t="s">
        <v>471</v>
      </c>
      <c r="K47">
        <v>400000000</v>
      </c>
      <c r="L47" s="4">
        <v>46934</v>
      </c>
      <c r="M47" s="6">
        <v>0.105</v>
      </c>
      <c r="N47">
        <v>99.597986000000006</v>
      </c>
      <c r="O47">
        <v>4</v>
      </c>
      <c r="P47" s="5">
        <f t="shared" si="0"/>
        <v>0.10687309381597142</v>
      </c>
      <c r="Q47" t="str">
        <f t="array" ref="Q47:R47">VLOOKUP(A47,$X$3:$AA$330,{3,4},0)</f>
        <v>Indemnity</v>
      </c>
      <c r="R47" t="str">
        <v>Per Occurrence</v>
      </c>
      <c r="X47" t="s">
        <v>79</v>
      </c>
      <c r="Y47">
        <v>37</v>
      </c>
      <c r="Z47" t="s">
        <v>387</v>
      </c>
      <c r="AA47" t="s">
        <v>388</v>
      </c>
    </row>
    <row r="48" spans="1:27">
      <c r="A48" t="s">
        <v>100</v>
      </c>
      <c r="B48">
        <v>58</v>
      </c>
      <c r="C48">
        <v>58</v>
      </c>
      <c r="D48" s="4" t="s">
        <v>472</v>
      </c>
      <c r="E48" s="4">
        <v>45839</v>
      </c>
      <c r="F48" s="4">
        <v>46568</v>
      </c>
      <c r="G48">
        <v>150000000</v>
      </c>
      <c r="H48" t="s">
        <v>468</v>
      </c>
      <c r="I48" t="s">
        <v>471</v>
      </c>
      <c r="J48">
        <v>200000000</v>
      </c>
      <c r="K48">
        <v>200000000</v>
      </c>
      <c r="L48" s="4">
        <v>46568</v>
      </c>
      <c r="M48" s="6">
        <v>9.5000000000000001E-2</v>
      </c>
      <c r="N48">
        <v>99.601875000000007</v>
      </c>
      <c r="O48">
        <v>4</v>
      </c>
      <c r="P48" s="5">
        <f t="shared" si="0"/>
        <v>9.7995339518721497E-2</v>
      </c>
      <c r="Q48" t="str">
        <f t="array" ref="Q48:R48">VLOOKUP(A48,$X$3:$AA$330,{3,4},0)</f>
        <v>Indemnity</v>
      </c>
      <c r="R48" t="str">
        <v>Per Occurrence</v>
      </c>
      <c r="X48" t="s">
        <v>80</v>
      </c>
      <c r="Y48">
        <v>38</v>
      </c>
      <c r="Z48" t="s">
        <v>387</v>
      </c>
      <c r="AA48" t="s">
        <v>388</v>
      </c>
    </row>
    <row r="49" spans="1:27">
      <c r="A49" t="s">
        <v>101</v>
      </c>
      <c r="B49">
        <v>59</v>
      </c>
      <c r="C49">
        <v>59</v>
      </c>
      <c r="D49" s="4" t="s">
        <v>473</v>
      </c>
      <c r="E49" s="4">
        <v>45839</v>
      </c>
      <c r="F49" s="4">
        <v>46934</v>
      </c>
      <c r="G49">
        <v>150000000</v>
      </c>
      <c r="H49" t="s">
        <v>468</v>
      </c>
      <c r="I49" t="s">
        <v>474</v>
      </c>
      <c r="K49">
        <v>250000000</v>
      </c>
      <c r="L49" s="4">
        <v>46934</v>
      </c>
      <c r="M49" s="6">
        <v>7.0000000000000007E-2</v>
      </c>
      <c r="N49">
        <v>98.938749999999999</v>
      </c>
      <c r="O49">
        <v>4</v>
      </c>
      <c r="P49" s="5">
        <f t="shared" si="0"/>
        <v>7.4824791078834635E-2</v>
      </c>
      <c r="Q49" t="str">
        <f t="array" ref="Q49:R49">VLOOKUP(A49,$X$3:$AA$330,{3,4},0)</f>
        <v>Indemnity</v>
      </c>
      <c r="R49" t="str">
        <v>Per Occurrence</v>
      </c>
      <c r="X49" t="s">
        <v>81</v>
      </c>
      <c r="Y49">
        <v>39</v>
      </c>
      <c r="Z49" t="s">
        <v>387</v>
      </c>
      <c r="AA49" t="s">
        <v>388</v>
      </c>
    </row>
    <row r="50" spans="1:27">
      <c r="A50" t="s">
        <v>102</v>
      </c>
      <c r="B50">
        <v>60</v>
      </c>
      <c r="C50">
        <v>60</v>
      </c>
      <c r="D50" s="4" t="s">
        <v>475</v>
      </c>
      <c r="E50" s="4">
        <v>45066</v>
      </c>
      <c r="F50" s="4">
        <v>46142</v>
      </c>
      <c r="G50">
        <v>100000000</v>
      </c>
      <c r="H50" t="s">
        <v>476</v>
      </c>
      <c r="I50" t="s">
        <v>477</v>
      </c>
      <c r="J50">
        <v>0</v>
      </c>
      <c r="K50">
        <v>100000000</v>
      </c>
      <c r="L50" s="4">
        <v>46142</v>
      </c>
      <c r="M50" s="6">
        <v>5.7500000000000002E-2</v>
      </c>
      <c r="N50">
        <v>98.933278000000001</v>
      </c>
      <c r="O50">
        <v>4</v>
      </c>
      <c r="P50" s="5">
        <f t="shared" si="0"/>
        <v>0.10124892455296995</v>
      </c>
      <c r="Q50" t="str">
        <f t="array" ref="Q50:R50">VLOOKUP(A50,$X$3:$AA$330,{3,4},0)</f>
        <v>2nd Gen Parametric</v>
      </c>
      <c r="R50" t="str">
        <v>Per Occurrence</v>
      </c>
      <c r="X50" t="s">
        <v>82</v>
      </c>
      <c r="Y50">
        <v>40</v>
      </c>
      <c r="Z50" t="s">
        <v>387</v>
      </c>
      <c r="AA50" t="s">
        <v>388</v>
      </c>
    </row>
    <row r="51" spans="1:27">
      <c r="A51" t="s">
        <v>103</v>
      </c>
      <c r="B51">
        <v>61</v>
      </c>
      <c r="C51">
        <v>61</v>
      </c>
      <c r="D51" s="4" t="s">
        <v>478</v>
      </c>
      <c r="E51" s="4">
        <v>45415</v>
      </c>
      <c r="F51" s="4">
        <v>46740</v>
      </c>
      <c r="G51">
        <v>150000000</v>
      </c>
      <c r="H51" t="s">
        <v>479</v>
      </c>
      <c r="I51" t="s">
        <v>480</v>
      </c>
      <c r="J51">
        <v>0</v>
      </c>
      <c r="K51">
        <v>150000000</v>
      </c>
      <c r="L51" s="4">
        <v>46740</v>
      </c>
      <c r="M51" s="6">
        <v>7.0000000000000007E-2</v>
      </c>
      <c r="N51">
        <v>98.908541999999997</v>
      </c>
      <c r="O51">
        <v>4</v>
      </c>
      <c r="P51" s="5">
        <f t="shared" si="0"/>
        <v>7.6252770304720247E-2</v>
      </c>
      <c r="Q51" t="str">
        <f t="array" ref="Q51:R51">VLOOKUP(A51,$X$3:$AA$330,{3,4},0)</f>
        <v>1st Gen Parametric</v>
      </c>
      <c r="R51" t="str">
        <v>Per Occurrence</v>
      </c>
      <c r="X51" t="s">
        <v>83</v>
      </c>
      <c r="Y51">
        <v>41</v>
      </c>
      <c r="Z51" t="s">
        <v>387</v>
      </c>
      <c r="AA51" t="s">
        <v>388</v>
      </c>
    </row>
    <row r="52" spans="1:27">
      <c r="A52" t="s">
        <v>104</v>
      </c>
      <c r="B52">
        <v>62</v>
      </c>
      <c r="C52">
        <v>62</v>
      </c>
      <c r="D52" s="4" t="s">
        <v>481</v>
      </c>
      <c r="E52" s="4">
        <v>45010</v>
      </c>
      <c r="F52" s="4">
        <v>46105</v>
      </c>
      <c r="G52">
        <v>350000000</v>
      </c>
      <c r="H52" t="s">
        <v>482</v>
      </c>
      <c r="I52" t="s">
        <v>483</v>
      </c>
      <c r="J52">
        <v>0</v>
      </c>
      <c r="K52">
        <v>350000000</v>
      </c>
      <c r="L52" s="4">
        <v>46105</v>
      </c>
      <c r="M52" s="6">
        <v>4.7500000000000001E-2</v>
      </c>
      <c r="N52">
        <v>98.920277999999996</v>
      </c>
      <c r="O52">
        <v>4</v>
      </c>
      <c r="P52" s="5">
        <f t="shared" si="0"/>
        <v>0.11930757421438082</v>
      </c>
      <c r="Q52" t="str">
        <f t="array" ref="Q52:R52">VLOOKUP(A52,$X$3:$AA$330,{3,4},0)</f>
        <v>1st Gen Parametric</v>
      </c>
      <c r="R52" t="str">
        <v>Per Occurrence</v>
      </c>
      <c r="X52" t="s">
        <v>84</v>
      </c>
      <c r="Y52">
        <v>42</v>
      </c>
      <c r="Z52" t="s">
        <v>387</v>
      </c>
      <c r="AA52" t="s">
        <v>383</v>
      </c>
    </row>
    <row r="53" spans="1:27">
      <c r="A53" t="s">
        <v>105</v>
      </c>
      <c r="B53">
        <v>63</v>
      </c>
      <c r="C53">
        <v>63</v>
      </c>
      <c r="D53" s="4" t="s">
        <v>484</v>
      </c>
      <c r="E53" s="4">
        <v>45779</v>
      </c>
      <c r="F53" s="4">
        <v>46843</v>
      </c>
      <c r="G53">
        <v>150000000</v>
      </c>
      <c r="H53" t="s">
        <v>485</v>
      </c>
      <c r="I53" t="s">
        <v>486</v>
      </c>
      <c r="K53">
        <v>300000000</v>
      </c>
      <c r="L53" s="4">
        <v>46843</v>
      </c>
      <c r="M53" s="6">
        <v>3.2500000000000001E-2</v>
      </c>
      <c r="N53">
        <v>100</v>
      </c>
      <c r="O53">
        <v>4</v>
      </c>
      <c r="P53" s="5">
        <f t="shared" si="0"/>
        <v>3.2496496438831263E-2</v>
      </c>
      <c r="Q53" t="str">
        <f t="array" ref="Q53:R53">VLOOKUP(A53,$X$3:$AA$330,{3,4},0)</f>
        <v>Indemnity</v>
      </c>
      <c r="R53" t="str">
        <v>Per Occurrence</v>
      </c>
      <c r="X53" t="s">
        <v>85</v>
      </c>
      <c r="Y53">
        <v>43</v>
      </c>
      <c r="Z53" t="s">
        <v>387</v>
      </c>
      <c r="AA53" t="s">
        <v>383</v>
      </c>
    </row>
    <row r="54" spans="1:27">
      <c r="A54" t="s">
        <v>106</v>
      </c>
      <c r="B54">
        <v>64</v>
      </c>
      <c r="C54">
        <v>64</v>
      </c>
      <c r="D54" s="4" t="s">
        <v>487</v>
      </c>
      <c r="E54" s="4">
        <v>45315</v>
      </c>
      <c r="F54" s="4">
        <v>46843</v>
      </c>
      <c r="G54">
        <v>400000000</v>
      </c>
      <c r="H54" t="s">
        <v>488</v>
      </c>
      <c r="I54" t="s">
        <v>430</v>
      </c>
      <c r="J54">
        <v>0</v>
      </c>
      <c r="K54">
        <v>1000000000</v>
      </c>
      <c r="L54" s="4">
        <v>46843</v>
      </c>
      <c r="M54" s="6">
        <v>5.5599999999999997E-2</v>
      </c>
      <c r="N54">
        <v>98.930750000000003</v>
      </c>
      <c r="O54">
        <v>4</v>
      </c>
      <c r="P54" s="5">
        <f t="shared" si="0"/>
        <v>6.0893556265075977E-2</v>
      </c>
      <c r="Q54" t="str">
        <f t="array" ref="Q54:R54">VLOOKUP(A54,$X$3:$AA$330,{3,4},0)</f>
        <v>Indemnity</v>
      </c>
      <c r="R54" t="str">
        <v>Per Occurrence</v>
      </c>
      <c r="X54" t="s">
        <v>86</v>
      </c>
      <c r="Y54">
        <v>44</v>
      </c>
      <c r="Z54" t="s">
        <v>387</v>
      </c>
      <c r="AA54" t="s">
        <v>383</v>
      </c>
    </row>
    <row r="55" spans="1:27">
      <c r="A55" t="s">
        <v>107</v>
      </c>
      <c r="B55">
        <v>65</v>
      </c>
      <c r="C55">
        <v>65</v>
      </c>
      <c r="D55" s="4" t="s">
        <v>489</v>
      </c>
      <c r="E55" s="4">
        <v>45017</v>
      </c>
      <c r="F55" s="4">
        <v>46477</v>
      </c>
      <c r="G55">
        <v>100000000</v>
      </c>
      <c r="H55" t="s">
        <v>488</v>
      </c>
      <c r="I55" t="s">
        <v>430</v>
      </c>
      <c r="J55">
        <v>0</v>
      </c>
      <c r="K55">
        <v>750000000</v>
      </c>
      <c r="L55" s="4">
        <v>46477</v>
      </c>
      <c r="M55" s="6">
        <v>5.4699999999999999E-2</v>
      </c>
      <c r="N55">
        <v>98.954999999999998</v>
      </c>
      <c r="O55">
        <v>4</v>
      </c>
      <c r="P55" s="5">
        <f t="shared" si="0"/>
        <v>6.4045818586521433E-2</v>
      </c>
      <c r="Q55" t="str">
        <f t="array" ref="Q55:R55">VLOOKUP(A55,$X$3:$AA$330,{3,4},0)</f>
        <v>Indemnity</v>
      </c>
      <c r="R55" t="str">
        <v>Per Occurrence</v>
      </c>
      <c r="X55" t="s">
        <v>87</v>
      </c>
      <c r="Y55">
        <v>45</v>
      </c>
      <c r="Z55" t="s">
        <v>387</v>
      </c>
      <c r="AA55" t="s">
        <v>383</v>
      </c>
    </row>
    <row r="56" spans="1:27">
      <c r="A56" t="s">
        <v>108</v>
      </c>
      <c r="B56">
        <v>66</v>
      </c>
      <c r="C56">
        <v>66</v>
      </c>
      <c r="D56" s="4" t="s">
        <v>490</v>
      </c>
      <c r="E56" s="4">
        <v>45017</v>
      </c>
      <c r="F56" s="4">
        <v>46477</v>
      </c>
      <c r="G56">
        <v>150000000</v>
      </c>
      <c r="H56" t="s">
        <v>488</v>
      </c>
      <c r="I56" t="s">
        <v>430</v>
      </c>
      <c r="J56">
        <v>0</v>
      </c>
      <c r="K56">
        <v>500000000</v>
      </c>
      <c r="L56" s="4">
        <v>46477</v>
      </c>
      <c r="M56" s="6">
        <v>0.15840000000000001</v>
      </c>
      <c r="N56">
        <v>99.988167000000004</v>
      </c>
      <c r="O56">
        <v>4</v>
      </c>
      <c r="P56" s="5">
        <f t="shared" si="0"/>
        <v>0.15835019353307789</v>
      </c>
      <c r="Q56" t="str">
        <f t="array" ref="Q56:R56">VLOOKUP(A56,$X$3:$AA$330,{3,4},0)</f>
        <v>Indemnity</v>
      </c>
      <c r="R56" t="str">
        <v>Annual Aggregate</v>
      </c>
      <c r="X56" t="s">
        <v>88</v>
      </c>
      <c r="Y56">
        <v>46</v>
      </c>
      <c r="Z56" t="s">
        <v>461</v>
      </c>
      <c r="AA56" t="s">
        <v>461</v>
      </c>
    </row>
    <row r="57" spans="1:27">
      <c r="A57" t="s">
        <v>109</v>
      </c>
      <c r="B57">
        <v>67</v>
      </c>
      <c r="C57">
        <v>67</v>
      </c>
      <c r="D57" s="4" t="s">
        <v>491</v>
      </c>
      <c r="E57" s="4">
        <v>44903</v>
      </c>
      <c r="F57" s="4">
        <v>46477</v>
      </c>
      <c r="G57">
        <v>100000000</v>
      </c>
      <c r="H57" t="s">
        <v>488</v>
      </c>
      <c r="I57" t="s">
        <v>430</v>
      </c>
      <c r="J57">
        <v>0</v>
      </c>
      <c r="K57">
        <v>250000000</v>
      </c>
      <c r="L57" s="4">
        <v>46477</v>
      </c>
      <c r="M57" s="6">
        <v>5.9900000000000002E-2</v>
      </c>
      <c r="N57">
        <v>99.905332999999999</v>
      </c>
      <c r="O57">
        <v>4</v>
      </c>
      <c r="P57" s="5">
        <f t="shared" si="0"/>
        <v>6.0724252558470707E-2</v>
      </c>
      <c r="Q57" t="str">
        <f t="array" ref="Q57:R57">VLOOKUP(A57,$X$3:$AA$330,{3,4},0)</f>
        <v>Indemnity</v>
      </c>
      <c r="R57" t="str">
        <v>Per Occurrence</v>
      </c>
      <c r="X57" t="s">
        <v>89</v>
      </c>
      <c r="Y57">
        <v>47</v>
      </c>
      <c r="Z57" t="s">
        <v>461</v>
      </c>
      <c r="AA57" t="s">
        <v>461</v>
      </c>
    </row>
    <row r="58" spans="1:27">
      <c r="A58" t="s">
        <v>110</v>
      </c>
      <c r="B58">
        <v>68</v>
      </c>
      <c r="C58">
        <v>68</v>
      </c>
      <c r="D58" s="4" t="s">
        <v>492</v>
      </c>
      <c r="E58" s="4">
        <v>44652</v>
      </c>
      <c r="F58" s="4">
        <v>46112</v>
      </c>
      <c r="G58">
        <v>200000000</v>
      </c>
      <c r="H58" t="s">
        <v>488</v>
      </c>
      <c r="I58" t="s">
        <v>430</v>
      </c>
      <c r="J58">
        <v>0</v>
      </c>
      <c r="K58">
        <v>750000000</v>
      </c>
      <c r="L58" s="4">
        <v>46112</v>
      </c>
      <c r="M58" s="6">
        <v>3.3399999999999999E-2</v>
      </c>
      <c r="N58">
        <v>99.021319000000005</v>
      </c>
      <c r="O58">
        <v>4</v>
      </c>
      <c r="P58" s="5">
        <f t="shared" si="0"/>
        <v>9.27705765683495E-2</v>
      </c>
      <c r="Q58" t="str">
        <f t="array" ref="Q58:R58">VLOOKUP(A58,$X$3:$AA$330,{3,4},0)</f>
        <v>Indemnity</v>
      </c>
      <c r="R58" t="str">
        <v>Per Occurrence</v>
      </c>
      <c r="X58" t="s">
        <v>90</v>
      </c>
      <c r="Y58">
        <v>48</v>
      </c>
      <c r="Z58" t="s">
        <v>461</v>
      </c>
      <c r="AA58" t="s">
        <v>461</v>
      </c>
    </row>
    <row r="59" spans="1:27">
      <c r="A59" t="s">
        <v>111</v>
      </c>
      <c r="B59">
        <v>69</v>
      </c>
      <c r="C59">
        <v>69</v>
      </c>
      <c r="D59" s="4" t="s">
        <v>490</v>
      </c>
      <c r="E59" s="4">
        <v>44652</v>
      </c>
      <c r="F59" s="4">
        <v>46112</v>
      </c>
      <c r="G59">
        <v>175000000</v>
      </c>
      <c r="H59" t="s">
        <v>488</v>
      </c>
      <c r="I59" t="s">
        <v>430</v>
      </c>
      <c r="J59">
        <v>0</v>
      </c>
      <c r="K59">
        <v>500000000</v>
      </c>
      <c r="L59" s="4">
        <v>46112</v>
      </c>
      <c r="M59" s="6">
        <v>0.1081</v>
      </c>
      <c r="N59">
        <v>99.014583000000002</v>
      </c>
      <c r="O59">
        <v>4</v>
      </c>
      <c r="P59" s="5">
        <f t="shared" si="0"/>
        <v>0.16736658479419445</v>
      </c>
      <c r="Q59" t="str">
        <f t="array" ref="Q59:R59">VLOOKUP(A59,$X$3:$AA$330,{3,4},0)</f>
        <v>Indemnity</v>
      </c>
      <c r="R59" t="str">
        <v>Per Occurrence and Annual Aggregate</v>
      </c>
      <c r="X59" t="s">
        <v>91</v>
      </c>
      <c r="Y59">
        <v>49</v>
      </c>
      <c r="Z59" t="s">
        <v>387</v>
      </c>
      <c r="AA59" t="s">
        <v>383</v>
      </c>
    </row>
    <row r="60" spans="1:27">
      <c r="A60" t="s">
        <v>112</v>
      </c>
      <c r="B60">
        <v>70</v>
      </c>
      <c r="C60">
        <v>70</v>
      </c>
      <c r="D60" s="4" t="s">
        <v>493</v>
      </c>
      <c r="E60" s="4">
        <v>44652</v>
      </c>
      <c r="F60" s="4">
        <v>46112</v>
      </c>
      <c r="G60">
        <v>175000000</v>
      </c>
      <c r="H60" t="s">
        <v>488</v>
      </c>
      <c r="I60" t="s">
        <v>391</v>
      </c>
      <c r="J60">
        <v>0</v>
      </c>
      <c r="K60">
        <v>500000000</v>
      </c>
      <c r="L60" s="4">
        <v>46112</v>
      </c>
      <c r="M60" s="6">
        <v>0.1232</v>
      </c>
      <c r="N60">
        <v>99.646944000000005</v>
      </c>
      <c r="O60">
        <v>4</v>
      </c>
      <c r="P60" s="5">
        <f t="shared" si="0"/>
        <v>0.14341728586457195</v>
      </c>
      <c r="Q60" t="str">
        <f t="array" ref="Q60:R60">VLOOKUP(A60,$X$3:$AA$330,{3,4},0)</f>
        <v>Indemnity</v>
      </c>
      <c r="R60" t="str">
        <v>Annual Aggregate</v>
      </c>
      <c r="X60" t="s">
        <v>92</v>
      </c>
      <c r="Y60">
        <v>50</v>
      </c>
      <c r="Z60" t="s">
        <v>387</v>
      </c>
      <c r="AA60" t="s">
        <v>383</v>
      </c>
    </row>
    <row r="61" spans="1:27">
      <c r="A61" t="s">
        <v>113</v>
      </c>
      <c r="B61">
        <v>71</v>
      </c>
      <c r="C61">
        <v>71</v>
      </c>
      <c r="D61" s="4" t="s">
        <v>494</v>
      </c>
      <c r="E61" s="4">
        <v>45748</v>
      </c>
      <c r="F61" s="4">
        <v>46843</v>
      </c>
      <c r="G61">
        <v>175000000</v>
      </c>
      <c r="H61" t="s">
        <v>429</v>
      </c>
      <c r="I61" t="s">
        <v>430</v>
      </c>
      <c r="J61">
        <v>0</v>
      </c>
      <c r="K61">
        <v>998636875</v>
      </c>
      <c r="L61" s="4">
        <v>46843</v>
      </c>
      <c r="M61" s="6">
        <v>0.04</v>
      </c>
      <c r="N61">
        <v>99.648235999999997</v>
      </c>
      <c r="O61">
        <v>4</v>
      </c>
      <c r="P61" s="5">
        <f t="shared" si="0"/>
        <v>4.1700830278302362E-2</v>
      </c>
      <c r="Q61" t="str">
        <f t="array" ref="Q61:R61">VLOOKUP(A61,$X$3:$AA$330,{3,4},0)</f>
        <v>Indemnity</v>
      </c>
      <c r="R61" t="str">
        <v>Per Occurrence</v>
      </c>
      <c r="X61" t="s">
        <v>93</v>
      </c>
      <c r="Y61">
        <v>51</v>
      </c>
      <c r="Z61" t="s">
        <v>387</v>
      </c>
      <c r="AA61" t="s">
        <v>383</v>
      </c>
    </row>
    <row r="62" spans="1:27">
      <c r="A62" t="s">
        <v>114</v>
      </c>
      <c r="B62">
        <v>72</v>
      </c>
      <c r="C62">
        <v>72</v>
      </c>
      <c r="D62" s="4" t="s">
        <v>495</v>
      </c>
      <c r="E62" s="4">
        <v>45748</v>
      </c>
      <c r="F62" s="4">
        <v>46843</v>
      </c>
      <c r="G62">
        <v>100000000</v>
      </c>
      <c r="H62" t="s">
        <v>429</v>
      </c>
      <c r="I62" t="s">
        <v>430</v>
      </c>
      <c r="J62">
        <v>0</v>
      </c>
      <c r="K62">
        <v>1999375000</v>
      </c>
      <c r="L62" s="4">
        <v>46843</v>
      </c>
      <c r="M62" s="6">
        <v>4.4999999999999998E-2</v>
      </c>
      <c r="N62">
        <v>99.570389000000006</v>
      </c>
      <c r="O62">
        <v>4</v>
      </c>
      <c r="P62" s="5">
        <f t="shared" si="0"/>
        <v>4.7090193241945744E-2</v>
      </c>
      <c r="Q62" t="str">
        <f t="array" ref="Q62:R62">VLOOKUP(A62,$X$3:$AA$330,{3,4},0)</f>
        <v>Indemnity</v>
      </c>
      <c r="R62" t="str">
        <v>Per Occurrence</v>
      </c>
      <c r="X62" t="s">
        <v>94</v>
      </c>
      <c r="Y62">
        <v>52</v>
      </c>
      <c r="Z62" t="s">
        <v>387</v>
      </c>
      <c r="AA62" t="s">
        <v>383</v>
      </c>
    </row>
    <row r="63" spans="1:27">
      <c r="A63" t="s">
        <v>115</v>
      </c>
      <c r="B63">
        <v>73</v>
      </c>
      <c r="C63">
        <v>73</v>
      </c>
      <c r="D63" s="4" t="s">
        <v>496</v>
      </c>
      <c r="E63" s="4">
        <v>45748</v>
      </c>
      <c r="F63" s="4">
        <v>47573</v>
      </c>
      <c r="G63">
        <v>175000000</v>
      </c>
      <c r="H63" t="s">
        <v>429</v>
      </c>
      <c r="I63" t="s">
        <v>430</v>
      </c>
      <c r="J63">
        <v>0</v>
      </c>
      <c r="K63">
        <v>998636875</v>
      </c>
      <c r="L63" s="4">
        <v>47573</v>
      </c>
      <c r="M63" s="6">
        <v>4.2500000000000003E-2</v>
      </c>
      <c r="N63">
        <v>99.498889000000005</v>
      </c>
      <c r="O63">
        <v>4</v>
      </c>
      <c r="P63" s="5">
        <f t="shared" si="0"/>
        <v>4.3818961422437706E-2</v>
      </c>
      <c r="Q63" t="str">
        <f t="array" ref="Q63:R63">VLOOKUP(A63,$X$3:$AA$330,{3,4},0)</f>
        <v>Indemnity</v>
      </c>
      <c r="R63" t="str">
        <v>Per Occurrence</v>
      </c>
      <c r="X63" t="s">
        <v>95</v>
      </c>
      <c r="Y63">
        <v>53</v>
      </c>
      <c r="Z63" t="s">
        <v>387</v>
      </c>
      <c r="AA63" t="s">
        <v>383</v>
      </c>
    </row>
    <row r="64" spans="1:27">
      <c r="A64" t="s">
        <v>116</v>
      </c>
      <c r="B64">
        <v>74</v>
      </c>
      <c r="C64">
        <v>74</v>
      </c>
      <c r="D64" s="4" t="s">
        <v>497</v>
      </c>
      <c r="E64" s="4">
        <v>45748</v>
      </c>
      <c r="F64" s="4">
        <v>47573</v>
      </c>
      <c r="G64">
        <v>300000000</v>
      </c>
      <c r="H64" t="s">
        <v>429</v>
      </c>
      <c r="I64" t="s">
        <v>430</v>
      </c>
      <c r="J64">
        <v>0</v>
      </c>
      <c r="K64">
        <v>1999375000</v>
      </c>
      <c r="L64" s="4">
        <v>47573</v>
      </c>
      <c r="M64" s="6">
        <v>4.7500000000000001E-2</v>
      </c>
      <c r="N64">
        <v>99.518638999999993</v>
      </c>
      <c r="O64">
        <v>4</v>
      </c>
      <c r="P64" s="5">
        <f t="shared" si="0"/>
        <v>4.8779386999965681E-2</v>
      </c>
      <c r="Q64" t="str">
        <f t="array" ref="Q64:R64">VLOOKUP(A64,$X$3:$AA$330,{3,4},0)</f>
        <v>Indemnity</v>
      </c>
      <c r="R64" t="str">
        <v>Per Occurrence</v>
      </c>
      <c r="X64" t="s">
        <v>96</v>
      </c>
      <c r="Y64">
        <v>54</v>
      </c>
      <c r="Z64" t="s">
        <v>387</v>
      </c>
      <c r="AA64" t="s">
        <v>388</v>
      </c>
    </row>
    <row r="65" spans="1:27">
      <c r="A65" t="s">
        <v>117</v>
      </c>
      <c r="B65">
        <v>75</v>
      </c>
      <c r="C65">
        <v>75</v>
      </c>
      <c r="D65" s="4" t="s">
        <v>498</v>
      </c>
      <c r="E65" s="4">
        <v>45915</v>
      </c>
      <c r="F65" s="4">
        <v>47026</v>
      </c>
      <c r="G65">
        <v>60000000</v>
      </c>
      <c r="H65" t="s">
        <v>499</v>
      </c>
      <c r="I65" t="s">
        <v>500</v>
      </c>
      <c r="J65">
        <v>0</v>
      </c>
      <c r="K65">
        <v>65000000000</v>
      </c>
      <c r="L65" s="4">
        <v>47026</v>
      </c>
      <c r="M65" s="6">
        <v>2.5000000000000001E-2</v>
      </c>
      <c r="N65">
        <v>99.529832999999996</v>
      </c>
      <c r="O65">
        <v>4</v>
      </c>
      <c r="P65" s="5">
        <f t="shared" si="0"/>
        <v>2.6831048705801178E-2</v>
      </c>
      <c r="Q65" t="str">
        <f t="array" ref="Q65:R65">VLOOKUP(A65,$X$3:$AA$330,{3,4},0)</f>
        <v>Industry Loss</v>
      </c>
      <c r="R65" t="str">
        <v>Annual Aggregate</v>
      </c>
      <c r="X65" t="s">
        <v>97</v>
      </c>
      <c r="Y65">
        <v>55</v>
      </c>
      <c r="Z65" t="s">
        <v>387</v>
      </c>
      <c r="AA65" t="s">
        <v>388</v>
      </c>
    </row>
    <row r="66" spans="1:27">
      <c r="A66" t="s">
        <v>118</v>
      </c>
      <c r="B66">
        <v>76</v>
      </c>
      <c r="C66">
        <v>76</v>
      </c>
      <c r="D66" s="4" t="s">
        <v>501</v>
      </c>
      <c r="E66" s="4">
        <v>45915</v>
      </c>
      <c r="F66" s="4">
        <v>47026</v>
      </c>
      <c r="G66">
        <v>40000000</v>
      </c>
      <c r="H66" t="s">
        <v>499</v>
      </c>
      <c r="I66" t="s">
        <v>500</v>
      </c>
      <c r="J66">
        <v>0</v>
      </c>
      <c r="K66">
        <v>24000000000</v>
      </c>
      <c r="L66" s="4">
        <v>47026</v>
      </c>
      <c r="M66" s="6">
        <v>3.7499999999999999E-2</v>
      </c>
      <c r="N66">
        <v>99.577250000000006</v>
      </c>
      <c r="O66">
        <v>4</v>
      </c>
      <c r="P66" s="5">
        <f t="shared" si="0"/>
        <v>3.9173273872250364E-2</v>
      </c>
      <c r="Q66" t="str">
        <f t="array" ref="Q66:R66">VLOOKUP(A66,$X$3:$AA$330,{3,4},0)</f>
        <v>Industry Loss</v>
      </c>
      <c r="R66" t="str">
        <v>Annual Aggregate</v>
      </c>
      <c r="X66" t="s">
        <v>98</v>
      </c>
      <c r="Y66">
        <v>56</v>
      </c>
      <c r="Z66" t="s">
        <v>387</v>
      </c>
      <c r="AA66" t="s">
        <v>388</v>
      </c>
    </row>
    <row r="67" spans="1:27">
      <c r="A67" t="s">
        <v>119</v>
      </c>
      <c r="B67">
        <v>77</v>
      </c>
      <c r="C67">
        <v>77</v>
      </c>
      <c r="D67" s="4" t="s">
        <v>502</v>
      </c>
      <c r="E67" s="4">
        <v>45415</v>
      </c>
      <c r="F67" s="4">
        <v>46509</v>
      </c>
      <c r="G67">
        <v>60000000</v>
      </c>
      <c r="H67" t="s">
        <v>503</v>
      </c>
      <c r="I67" t="s">
        <v>504</v>
      </c>
      <c r="K67">
        <v>1043000000</v>
      </c>
      <c r="L67" s="4">
        <v>46509</v>
      </c>
      <c r="M67" s="6">
        <v>0.14249999999999999</v>
      </c>
      <c r="N67">
        <v>99.764624999999995</v>
      </c>
      <c r="O67">
        <v>4</v>
      </c>
      <c r="P67" s="5">
        <f t="shared" ref="P67:P130" si="1">YIELD($O$1,L67,M67,N67,$P$1,O67)</f>
        <v>0.14458157727805357</v>
      </c>
      <c r="Q67" t="str">
        <f t="array" ref="Q67:R67">VLOOKUP(A67,$X$3:$AA$330,{3,4},0)</f>
        <v>Industry Loss</v>
      </c>
      <c r="R67" t="str">
        <v>Annual Aggregate</v>
      </c>
      <c r="X67" t="s">
        <v>99</v>
      </c>
      <c r="Y67">
        <v>57</v>
      </c>
      <c r="Z67" t="s">
        <v>387</v>
      </c>
      <c r="AA67" t="s">
        <v>388</v>
      </c>
    </row>
    <row r="68" spans="1:27">
      <c r="A68" t="s">
        <v>120</v>
      </c>
      <c r="B68">
        <v>78</v>
      </c>
      <c r="C68">
        <v>78</v>
      </c>
      <c r="D68" s="4" t="s">
        <v>505</v>
      </c>
      <c r="E68" s="4">
        <v>45415</v>
      </c>
      <c r="F68" s="4">
        <v>46509</v>
      </c>
      <c r="G68">
        <v>30000000</v>
      </c>
      <c r="H68" t="s">
        <v>503</v>
      </c>
      <c r="I68" t="s">
        <v>504</v>
      </c>
      <c r="K68">
        <v>1156000000</v>
      </c>
      <c r="L68" s="4">
        <v>46509</v>
      </c>
      <c r="M68" s="6">
        <v>0.22</v>
      </c>
      <c r="N68">
        <v>99.775000000000006</v>
      </c>
      <c r="O68">
        <v>4</v>
      </c>
      <c r="P68" s="5">
        <f t="shared" si="1"/>
        <v>0.22209111312670318</v>
      </c>
      <c r="Q68" t="str">
        <f t="array" ref="Q68:R68">VLOOKUP(A68,$X$3:$AA$330,{3,4},0)</f>
        <v>Industry Loss</v>
      </c>
      <c r="R68" t="str">
        <v>Annual Aggregate</v>
      </c>
      <c r="X68" t="s">
        <v>100</v>
      </c>
      <c r="Y68">
        <v>58</v>
      </c>
      <c r="Z68" t="s">
        <v>387</v>
      </c>
      <c r="AA68" t="s">
        <v>388</v>
      </c>
    </row>
    <row r="69" spans="1:27">
      <c r="A69" t="s">
        <v>121</v>
      </c>
      <c r="B69">
        <v>79</v>
      </c>
      <c r="C69">
        <v>79</v>
      </c>
      <c r="D69" s="4" t="s">
        <v>506</v>
      </c>
      <c r="E69" s="4">
        <v>45093</v>
      </c>
      <c r="F69" s="4">
        <v>46173</v>
      </c>
      <c r="G69">
        <v>75000000</v>
      </c>
      <c r="H69" t="s">
        <v>507</v>
      </c>
      <c r="I69" t="s">
        <v>508</v>
      </c>
      <c r="K69">
        <v>175000000</v>
      </c>
      <c r="L69" s="4">
        <v>46173</v>
      </c>
      <c r="M69" s="6">
        <v>5.3199999999999997E-2</v>
      </c>
      <c r="N69">
        <v>99.820667</v>
      </c>
      <c r="O69">
        <v>4</v>
      </c>
      <c r="P69" s="5">
        <f t="shared" si="1"/>
        <v>5.8606387276057208E-2</v>
      </c>
      <c r="Q69" t="str">
        <f t="array" ref="Q69:R69">VLOOKUP(A69,$X$3:$AA$330,{3,4},0)</f>
        <v>Industry Loss</v>
      </c>
      <c r="R69" t="str">
        <v>Per Occurrence</v>
      </c>
      <c r="X69" t="s">
        <v>101</v>
      </c>
      <c r="Y69">
        <v>59</v>
      </c>
      <c r="Z69" t="s">
        <v>387</v>
      </c>
      <c r="AA69" t="s">
        <v>388</v>
      </c>
    </row>
    <row r="70" spans="1:27">
      <c r="A70" t="s">
        <v>123</v>
      </c>
      <c r="B70">
        <v>81</v>
      </c>
      <c r="C70">
        <v>81</v>
      </c>
      <c r="D70" s="4" t="s">
        <v>509</v>
      </c>
      <c r="E70" s="4">
        <v>45292</v>
      </c>
      <c r="F70" s="4">
        <v>46387</v>
      </c>
      <c r="G70">
        <v>125000000</v>
      </c>
      <c r="H70" t="s">
        <v>420</v>
      </c>
      <c r="I70" t="s">
        <v>391</v>
      </c>
      <c r="K70">
        <v>875000000</v>
      </c>
      <c r="L70" s="4">
        <v>46387</v>
      </c>
      <c r="M70" s="6">
        <v>5.8000000000000003E-2</v>
      </c>
      <c r="N70">
        <v>99.747</v>
      </c>
      <c r="O70">
        <v>4</v>
      </c>
      <c r="P70" s="5">
        <f t="shared" si="1"/>
        <v>6.0831142968341023E-2</v>
      </c>
      <c r="Q70" t="str">
        <f t="array" ref="Q70:R70">VLOOKUP(A70,$X$3:$AA$330,{3,4},0)</f>
        <v>Indemnity</v>
      </c>
      <c r="R70" t="str">
        <v>Per Occurrence</v>
      </c>
      <c r="X70" t="s">
        <v>102</v>
      </c>
      <c r="Y70">
        <v>60</v>
      </c>
      <c r="Z70" t="s">
        <v>510</v>
      </c>
      <c r="AA70" t="s">
        <v>388</v>
      </c>
    </row>
    <row r="71" spans="1:27">
      <c r="A71" t="s">
        <v>124</v>
      </c>
      <c r="B71">
        <v>82</v>
      </c>
      <c r="C71">
        <v>82</v>
      </c>
      <c r="D71" s="4" t="s">
        <v>419</v>
      </c>
      <c r="E71" s="4">
        <v>45292</v>
      </c>
      <c r="F71" s="4">
        <v>46387</v>
      </c>
      <c r="G71">
        <v>50000000</v>
      </c>
      <c r="H71" t="s">
        <v>420</v>
      </c>
      <c r="I71" t="s">
        <v>391</v>
      </c>
      <c r="K71">
        <v>600000000</v>
      </c>
      <c r="L71" s="4">
        <v>46387</v>
      </c>
      <c r="M71" s="6">
        <v>8.9200000000000002E-2</v>
      </c>
      <c r="N71">
        <v>99.188056000000003</v>
      </c>
      <c r="O71">
        <v>4</v>
      </c>
      <c r="P71" s="5">
        <f t="shared" si="1"/>
        <v>9.8502545497207883E-2</v>
      </c>
      <c r="Q71" t="str">
        <f t="array" ref="Q71:R71">VLOOKUP(A71,$X$3:$AA$330,{3,4},0)</f>
        <v>Indemnity</v>
      </c>
      <c r="R71" t="str">
        <v>Per Occurrence</v>
      </c>
      <c r="X71" t="s">
        <v>103</v>
      </c>
      <c r="Y71">
        <v>61</v>
      </c>
      <c r="Z71" t="s">
        <v>511</v>
      </c>
      <c r="AA71" t="s">
        <v>388</v>
      </c>
    </row>
    <row r="72" spans="1:27">
      <c r="A72" t="s">
        <v>125</v>
      </c>
      <c r="B72">
        <v>83</v>
      </c>
      <c r="C72">
        <v>83</v>
      </c>
      <c r="D72" s="4" t="s">
        <v>512</v>
      </c>
      <c r="E72" s="4">
        <v>45658</v>
      </c>
      <c r="F72" s="4">
        <v>46752</v>
      </c>
      <c r="G72">
        <v>200000000</v>
      </c>
      <c r="H72" t="s">
        <v>420</v>
      </c>
      <c r="I72" t="s">
        <v>391</v>
      </c>
      <c r="K72">
        <v>200000000</v>
      </c>
      <c r="L72" s="4">
        <v>46752</v>
      </c>
      <c r="M72" s="6">
        <v>5.5E-2</v>
      </c>
      <c r="N72">
        <v>100</v>
      </c>
      <c r="O72">
        <v>4</v>
      </c>
      <c r="P72" s="5">
        <f t="shared" si="1"/>
        <v>5.498846742805797E-2</v>
      </c>
      <c r="Q72" t="str">
        <f t="array" ref="Q72:R72">VLOOKUP(A72,$X$3:$AA$330,{3,4},0)</f>
        <v>Indemnity</v>
      </c>
      <c r="R72" t="str">
        <v>Per Occurrence</v>
      </c>
      <c r="X72" t="s">
        <v>104</v>
      </c>
      <c r="Y72">
        <v>62</v>
      </c>
      <c r="Z72" t="s">
        <v>511</v>
      </c>
      <c r="AA72" t="s">
        <v>388</v>
      </c>
    </row>
    <row r="73" spans="1:27">
      <c r="A73" t="s">
        <v>126</v>
      </c>
      <c r="B73">
        <v>84</v>
      </c>
      <c r="C73">
        <v>84</v>
      </c>
      <c r="D73" s="4" t="s">
        <v>421</v>
      </c>
      <c r="E73" s="4">
        <v>45658</v>
      </c>
      <c r="F73" s="4">
        <v>46752</v>
      </c>
      <c r="G73">
        <v>75000000</v>
      </c>
      <c r="H73" t="s">
        <v>420</v>
      </c>
      <c r="I73" t="s">
        <v>391</v>
      </c>
      <c r="K73">
        <v>600000000</v>
      </c>
      <c r="L73" s="4">
        <v>46752</v>
      </c>
      <c r="M73" s="6">
        <v>8.2500000000000004E-2</v>
      </c>
      <c r="N73">
        <v>99.893056000000001</v>
      </c>
      <c r="O73">
        <v>4</v>
      </c>
      <c r="P73" s="5">
        <f t="shared" si="1"/>
        <v>8.3082523869350056E-2</v>
      </c>
      <c r="Q73" t="str">
        <f t="array" ref="Q73:R73">VLOOKUP(A73,$X$3:$AA$330,{3,4},0)</f>
        <v>Indemnity</v>
      </c>
      <c r="R73" t="str">
        <v>Per Occurrence</v>
      </c>
      <c r="X73" t="s">
        <v>105</v>
      </c>
      <c r="Y73">
        <v>63</v>
      </c>
      <c r="Z73" t="s">
        <v>387</v>
      </c>
      <c r="AA73" t="s">
        <v>388</v>
      </c>
    </row>
    <row r="74" spans="1:27">
      <c r="A74" t="s">
        <v>127</v>
      </c>
      <c r="B74">
        <v>85</v>
      </c>
      <c r="C74">
        <v>85</v>
      </c>
      <c r="D74" s="4" t="s">
        <v>513</v>
      </c>
      <c r="E74" s="4">
        <v>45839</v>
      </c>
      <c r="F74" s="4">
        <v>47299</v>
      </c>
      <c r="G74">
        <v>105000000</v>
      </c>
      <c r="H74" t="s">
        <v>514</v>
      </c>
      <c r="I74" t="s">
        <v>441</v>
      </c>
      <c r="K74">
        <v>1920000000</v>
      </c>
      <c r="L74" s="4">
        <v>47299</v>
      </c>
      <c r="M74" s="6">
        <v>3.7499999999999999E-2</v>
      </c>
      <c r="N74">
        <v>99.232485999999994</v>
      </c>
      <c r="O74">
        <v>4</v>
      </c>
      <c r="P74" s="5">
        <f t="shared" si="1"/>
        <v>3.9910943188813559E-2</v>
      </c>
      <c r="Q74" t="str">
        <f t="array" ref="Q74:R74">VLOOKUP(A74,$X$3:$AA$330,{3,4},0)</f>
        <v>Industry Loss</v>
      </c>
      <c r="R74" t="str">
        <v>Annual Aggregate</v>
      </c>
      <c r="X74" t="s">
        <v>106</v>
      </c>
      <c r="Y74">
        <v>64</v>
      </c>
      <c r="Z74" t="s">
        <v>387</v>
      </c>
      <c r="AA74" t="s">
        <v>388</v>
      </c>
    </row>
    <row r="75" spans="1:27">
      <c r="A75" t="s">
        <v>128</v>
      </c>
      <c r="B75">
        <v>86</v>
      </c>
      <c r="C75">
        <v>86</v>
      </c>
      <c r="D75" s="4" t="s">
        <v>515</v>
      </c>
      <c r="E75" s="4">
        <v>45839</v>
      </c>
      <c r="F75" s="4">
        <v>47299</v>
      </c>
      <c r="G75">
        <v>120000000</v>
      </c>
      <c r="H75" t="s">
        <v>514</v>
      </c>
      <c r="I75" t="s">
        <v>441</v>
      </c>
      <c r="K75">
        <v>1516000000</v>
      </c>
      <c r="L75" s="4">
        <v>47299</v>
      </c>
      <c r="M75" s="6">
        <v>6.25E-2</v>
      </c>
      <c r="N75">
        <v>99.245000000000005</v>
      </c>
      <c r="O75">
        <v>4</v>
      </c>
      <c r="P75" s="5">
        <f t="shared" si="1"/>
        <v>6.4972733741811409E-2</v>
      </c>
      <c r="Q75" t="str">
        <f t="array" ref="Q75:R75">VLOOKUP(A75,$X$3:$AA$330,{3,4},0)</f>
        <v>Industry Loss</v>
      </c>
      <c r="R75" t="str">
        <v>Annual Aggregate</v>
      </c>
      <c r="X75" t="s">
        <v>107</v>
      </c>
      <c r="Y75">
        <v>65</v>
      </c>
      <c r="Z75" t="s">
        <v>387</v>
      </c>
      <c r="AA75" t="s">
        <v>388</v>
      </c>
    </row>
    <row r="76" spans="1:27">
      <c r="A76" t="s">
        <v>129</v>
      </c>
      <c r="B76">
        <v>87</v>
      </c>
      <c r="C76">
        <v>87</v>
      </c>
      <c r="D76" s="4" t="s">
        <v>516</v>
      </c>
      <c r="E76" s="4">
        <v>45839</v>
      </c>
      <c r="F76" s="4">
        <v>47299</v>
      </c>
      <c r="G76">
        <v>170000000</v>
      </c>
      <c r="H76" t="s">
        <v>514</v>
      </c>
      <c r="I76" t="s">
        <v>441</v>
      </c>
      <c r="K76">
        <v>2295000000</v>
      </c>
      <c r="L76" s="4">
        <v>47299</v>
      </c>
      <c r="M76" s="6">
        <v>0.04</v>
      </c>
      <c r="N76">
        <v>99.245000000000005</v>
      </c>
      <c r="O76">
        <v>4</v>
      </c>
      <c r="P76" s="5">
        <f t="shared" si="1"/>
        <v>4.2381574559949731E-2</v>
      </c>
      <c r="Q76" t="str">
        <f t="array" ref="Q76:R76">VLOOKUP(A76,$X$3:$AA$330,{3,4},0)</f>
        <v>Industry Loss</v>
      </c>
      <c r="R76" t="str">
        <v>Per Occurrence</v>
      </c>
      <c r="X76" t="s">
        <v>108</v>
      </c>
      <c r="Y76">
        <v>66</v>
      </c>
      <c r="Z76" t="s">
        <v>387</v>
      </c>
      <c r="AA76" t="s">
        <v>383</v>
      </c>
    </row>
    <row r="77" spans="1:27">
      <c r="A77" t="s">
        <v>130</v>
      </c>
      <c r="B77">
        <v>88</v>
      </c>
      <c r="C77">
        <v>88</v>
      </c>
      <c r="D77" s="4" t="s">
        <v>517</v>
      </c>
      <c r="E77" s="4">
        <v>45839</v>
      </c>
      <c r="F77" s="4">
        <v>47299</v>
      </c>
      <c r="G77">
        <v>105000000</v>
      </c>
      <c r="H77" t="s">
        <v>514</v>
      </c>
      <c r="I77" t="s">
        <v>441</v>
      </c>
      <c r="K77">
        <v>1995000000</v>
      </c>
      <c r="L77" s="4">
        <v>47299</v>
      </c>
      <c r="M77" s="6">
        <v>6.5000000000000002E-2</v>
      </c>
      <c r="N77">
        <v>101</v>
      </c>
      <c r="O77">
        <v>4</v>
      </c>
      <c r="P77" s="5">
        <f t="shared" si="1"/>
        <v>6.1722249969417518E-2</v>
      </c>
      <c r="Q77" t="str">
        <f t="array" ref="Q77:R77">VLOOKUP(A77,$X$3:$AA$330,{3,4},0)</f>
        <v>Industry Loss</v>
      </c>
      <c r="R77" t="str">
        <v>Per Occurrence</v>
      </c>
      <c r="X77" t="s">
        <v>109</v>
      </c>
      <c r="Y77">
        <v>67</v>
      </c>
      <c r="Z77" t="s">
        <v>387</v>
      </c>
      <c r="AA77" t="s">
        <v>388</v>
      </c>
    </row>
    <row r="78" spans="1:27">
      <c r="A78" t="s">
        <v>131</v>
      </c>
      <c r="B78">
        <v>89</v>
      </c>
      <c r="C78">
        <v>89</v>
      </c>
      <c r="D78" s="4" t="s">
        <v>518</v>
      </c>
      <c r="E78" s="4">
        <v>45839</v>
      </c>
      <c r="F78" s="4">
        <v>47664</v>
      </c>
      <c r="G78">
        <v>105000000</v>
      </c>
      <c r="H78" t="s">
        <v>514</v>
      </c>
      <c r="I78" t="s">
        <v>441</v>
      </c>
      <c r="K78">
        <v>1920000000</v>
      </c>
      <c r="L78" s="4">
        <v>47664</v>
      </c>
      <c r="M78" s="6">
        <v>3.7499999999999999E-2</v>
      </c>
      <c r="N78">
        <v>100.2</v>
      </c>
      <c r="O78">
        <v>4</v>
      </c>
      <c r="P78" s="5">
        <f t="shared" si="1"/>
        <v>3.7004707833058488E-2</v>
      </c>
      <c r="Q78" t="str">
        <f t="array" ref="Q78:R78">VLOOKUP(A78,$X$3:$AA$330,{3,4},0)</f>
        <v>Industry Loss</v>
      </c>
      <c r="R78" t="str">
        <v>Annual Aggregate</v>
      </c>
      <c r="X78" t="s">
        <v>110</v>
      </c>
      <c r="Y78">
        <v>68</v>
      </c>
      <c r="Z78" t="s">
        <v>387</v>
      </c>
      <c r="AA78" t="s">
        <v>388</v>
      </c>
    </row>
    <row r="79" spans="1:27">
      <c r="A79" t="s">
        <v>132</v>
      </c>
      <c r="B79">
        <v>90</v>
      </c>
      <c r="C79">
        <v>90</v>
      </c>
      <c r="D79" s="4" t="s">
        <v>519</v>
      </c>
      <c r="E79" s="4">
        <v>45839</v>
      </c>
      <c r="F79" s="4">
        <v>47664</v>
      </c>
      <c r="G79">
        <v>120000000</v>
      </c>
      <c r="H79" t="s">
        <v>514</v>
      </c>
      <c r="I79" t="s">
        <v>441</v>
      </c>
      <c r="K79">
        <v>1516000000</v>
      </c>
      <c r="L79" s="4">
        <v>47664</v>
      </c>
      <c r="M79" s="6">
        <v>6.25E-2</v>
      </c>
      <c r="N79">
        <v>102.85</v>
      </c>
      <c r="O79">
        <v>4</v>
      </c>
      <c r="P79" s="5">
        <f t="shared" si="1"/>
        <v>5.5178679106767409E-2</v>
      </c>
      <c r="Q79" t="str">
        <f t="array" ref="Q79:R79">VLOOKUP(A79,$X$3:$AA$330,{3,4},0)</f>
        <v>Industry Loss</v>
      </c>
      <c r="R79" t="str">
        <v>Annual Aggregate</v>
      </c>
      <c r="X79" t="s">
        <v>111</v>
      </c>
      <c r="Y79">
        <v>69</v>
      </c>
      <c r="Z79" t="s">
        <v>387</v>
      </c>
      <c r="AA79" t="s">
        <v>415</v>
      </c>
    </row>
    <row r="80" spans="1:27">
      <c r="A80" t="s">
        <v>133</v>
      </c>
      <c r="B80">
        <v>91</v>
      </c>
      <c r="C80">
        <v>91</v>
      </c>
      <c r="D80" s="4" t="s">
        <v>520</v>
      </c>
      <c r="E80" s="4">
        <v>45839</v>
      </c>
      <c r="F80" s="4">
        <v>47664</v>
      </c>
      <c r="G80">
        <v>170000000</v>
      </c>
      <c r="H80" t="s">
        <v>514</v>
      </c>
      <c r="I80" t="s">
        <v>441</v>
      </c>
      <c r="K80">
        <v>2295000000</v>
      </c>
      <c r="L80" s="4">
        <v>47664</v>
      </c>
      <c r="M80" s="6">
        <v>0.04</v>
      </c>
      <c r="N80">
        <v>101</v>
      </c>
      <c r="O80">
        <v>4</v>
      </c>
      <c r="P80" s="5">
        <f t="shared" si="1"/>
        <v>3.7529877891704734E-2</v>
      </c>
      <c r="Q80" t="str">
        <f t="array" ref="Q80:R80">VLOOKUP(A80,$X$3:$AA$330,{3,4},0)</f>
        <v>Industry Loss</v>
      </c>
      <c r="R80" t="str">
        <v>Per Occurrence</v>
      </c>
      <c r="X80" t="s">
        <v>112</v>
      </c>
      <c r="Y80">
        <v>70</v>
      </c>
      <c r="Z80" t="s">
        <v>387</v>
      </c>
      <c r="AA80" t="s">
        <v>383</v>
      </c>
    </row>
    <row r="81" spans="1:27">
      <c r="A81" t="s">
        <v>134</v>
      </c>
      <c r="B81">
        <v>92</v>
      </c>
      <c r="C81">
        <v>92</v>
      </c>
      <c r="D81" s="4" t="s">
        <v>521</v>
      </c>
      <c r="E81" s="4">
        <v>45839</v>
      </c>
      <c r="F81" s="4">
        <v>47664</v>
      </c>
      <c r="G81">
        <v>105000000</v>
      </c>
      <c r="H81" t="s">
        <v>514</v>
      </c>
      <c r="I81" t="s">
        <v>441</v>
      </c>
      <c r="K81">
        <v>1995000000</v>
      </c>
      <c r="L81" s="4">
        <v>47664</v>
      </c>
      <c r="M81" s="6">
        <v>6.5000000000000002E-2</v>
      </c>
      <c r="N81">
        <v>103.95</v>
      </c>
      <c r="O81">
        <v>4</v>
      </c>
      <c r="P81" s="5">
        <f t="shared" si="1"/>
        <v>5.4862161048507281E-2</v>
      </c>
      <c r="Q81" t="str">
        <f t="array" ref="Q81:R81">VLOOKUP(A81,$X$3:$AA$330,{3,4},0)</f>
        <v>Industry Loss</v>
      </c>
      <c r="R81" t="str">
        <v>Per Occurrence</v>
      </c>
      <c r="X81" t="s">
        <v>113</v>
      </c>
      <c r="Y81">
        <v>71</v>
      </c>
      <c r="Z81" t="s">
        <v>387</v>
      </c>
      <c r="AA81" t="s">
        <v>388</v>
      </c>
    </row>
    <row r="82" spans="1:27">
      <c r="A82" t="s">
        <v>135</v>
      </c>
      <c r="B82">
        <v>93</v>
      </c>
      <c r="C82">
        <v>93</v>
      </c>
      <c r="D82" s="4" t="s">
        <v>522</v>
      </c>
      <c r="E82" s="4">
        <v>45471</v>
      </c>
      <c r="F82" s="4">
        <v>46931</v>
      </c>
      <c r="G82">
        <v>75000000</v>
      </c>
      <c r="H82" t="s">
        <v>514</v>
      </c>
      <c r="I82" t="s">
        <v>441</v>
      </c>
      <c r="K82">
        <v>1507000000</v>
      </c>
      <c r="L82" s="4">
        <v>46931</v>
      </c>
      <c r="M82" s="6">
        <v>6.25E-2</v>
      </c>
      <c r="N82">
        <v>100.25</v>
      </c>
      <c r="O82">
        <v>4</v>
      </c>
      <c r="P82" s="5">
        <f t="shared" si="1"/>
        <v>6.1361631995581679E-2</v>
      </c>
      <c r="Q82" t="str">
        <f t="array" ref="Q82:R82">VLOOKUP(A82,$X$3:$AA$330,{3,4},0)</f>
        <v>Industry Loss</v>
      </c>
      <c r="R82" t="str">
        <v>Per Occurrence</v>
      </c>
      <c r="X82" t="s">
        <v>114</v>
      </c>
      <c r="Y82">
        <v>72</v>
      </c>
      <c r="Z82" t="s">
        <v>387</v>
      </c>
      <c r="AA82" t="s">
        <v>388</v>
      </c>
    </row>
    <row r="83" spans="1:27">
      <c r="A83" t="s">
        <v>136</v>
      </c>
      <c r="B83">
        <v>94</v>
      </c>
      <c r="C83">
        <v>94</v>
      </c>
      <c r="D83" s="4" t="s">
        <v>523</v>
      </c>
      <c r="E83" s="4">
        <v>45471</v>
      </c>
      <c r="F83" s="4">
        <v>46931</v>
      </c>
      <c r="G83">
        <v>125000000</v>
      </c>
      <c r="H83" t="s">
        <v>514</v>
      </c>
      <c r="I83" t="s">
        <v>441</v>
      </c>
      <c r="K83">
        <v>1597000000</v>
      </c>
      <c r="L83" s="4">
        <v>46931</v>
      </c>
      <c r="M83" s="6">
        <v>7.2499999999999995E-2</v>
      </c>
      <c r="N83">
        <v>100.65</v>
      </c>
      <c r="O83">
        <v>4</v>
      </c>
      <c r="P83" s="5">
        <f t="shared" si="1"/>
        <v>6.9525614505877062E-2</v>
      </c>
      <c r="Q83" t="str">
        <f t="array" ref="Q83:R83">VLOOKUP(A83,$X$3:$AA$330,{3,4},0)</f>
        <v>Industry Loss</v>
      </c>
      <c r="R83" t="str">
        <v>Per Occurrence</v>
      </c>
      <c r="X83" t="s">
        <v>115</v>
      </c>
      <c r="Y83">
        <v>73</v>
      </c>
      <c r="Z83" t="s">
        <v>387</v>
      </c>
      <c r="AA83" t="s">
        <v>388</v>
      </c>
    </row>
    <row r="84" spans="1:27">
      <c r="A84" t="s">
        <v>137</v>
      </c>
      <c r="B84">
        <v>95</v>
      </c>
      <c r="C84">
        <v>95</v>
      </c>
      <c r="D84" s="4" t="s">
        <v>524</v>
      </c>
      <c r="E84" s="4">
        <v>44300</v>
      </c>
      <c r="F84" s="4">
        <v>46125</v>
      </c>
      <c r="G84">
        <v>150000000</v>
      </c>
      <c r="H84" t="s">
        <v>525</v>
      </c>
      <c r="I84" t="s">
        <v>461</v>
      </c>
      <c r="J84">
        <v>0</v>
      </c>
      <c r="K84">
        <v>320000000</v>
      </c>
      <c r="L84" s="4">
        <v>46125</v>
      </c>
      <c r="M84" s="6">
        <v>0.1236</v>
      </c>
      <c r="N84">
        <v>102.3</v>
      </c>
      <c r="O84">
        <v>4</v>
      </c>
      <c r="P84" s="5">
        <f t="shared" si="1"/>
        <v>8.2416990038881848E-3</v>
      </c>
      <c r="Q84" t="str">
        <f t="array" ref="Q84:R84">VLOOKUP(A84,$X$3:$AA$330,{3,4},0)</f>
        <v>NULL</v>
      </c>
      <c r="R84" t="str">
        <v>NULL</v>
      </c>
      <c r="X84" t="s">
        <v>116</v>
      </c>
      <c r="Y84">
        <v>74</v>
      </c>
      <c r="Z84" t="s">
        <v>387</v>
      </c>
      <c r="AA84" t="s">
        <v>388</v>
      </c>
    </row>
    <row r="85" spans="1:27">
      <c r="A85" t="s">
        <v>140</v>
      </c>
      <c r="B85">
        <v>98</v>
      </c>
      <c r="C85">
        <v>98</v>
      </c>
      <c r="D85" s="4" t="s">
        <v>526</v>
      </c>
      <c r="E85" s="4">
        <v>45778</v>
      </c>
      <c r="F85" s="4">
        <v>47118</v>
      </c>
      <c r="G85">
        <v>110000000</v>
      </c>
      <c r="H85" t="s">
        <v>527</v>
      </c>
      <c r="I85" t="s">
        <v>528</v>
      </c>
      <c r="J85">
        <v>0</v>
      </c>
      <c r="K85">
        <v>125000000</v>
      </c>
      <c r="L85" s="4">
        <v>47118</v>
      </c>
      <c r="M85" s="6">
        <v>7.7499999999999999E-2</v>
      </c>
      <c r="N85">
        <v>101.6</v>
      </c>
      <c r="O85">
        <v>4</v>
      </c>
      <c r="P85" s="5">
        <f t="shared" si="1"/>
        <v>7.1360440360389854E-2</v>
      </c>
      <c r="Q85" t="str">
        <f t="array" ref="Q85:R85">VLOOKUP(A85,$X$3:$AA$330,{3,4},0)</f>
        <v>Indemnity</v>
      </c>
      <c r="R85" t="str">
        <v xml:space="preserve">Per Occurrence </v>
      </c>
      <c r="X85" t="s">
        <v>117</v>
      </c>
      <c r="Y85">
        <v>75</v>
      </c>
      <c r="Z85" t="s">
        <v>382</v>
      </c>
      <c r="AA85" t="s">
        <v>383</v>
      </c>
    </row>
    <row r="86" spans="1:27">
      <c r="A86" t="s">
        <v>141</v>
      </c>
      <c r="B86">
        <v>99</v>
      </c>
      <c r="C86">
        <v>99</v>
      </c>
      <c r="D86" s="4" t="s">
        <v>529</v>
      </c>
      <c r="E86" s="4">
        <v>45778</v>
      </c>
      <c r="F86" s="4">
        <v>47118</v>
      </c>
      <c r="G86">
        <v>200000000</v>
      </c>
      <c r="H86" t="s">
        <v>527</v>
      </c>
      <c r="I86" t="s">
        <v>528</v>
      </c>
      <c r="J86">
        <v>0</v>
      </c>
      <c r="K86">
        <v>225000000</v>
      </c>
      <c r="L86" s="4">
        <v>47118</v>
      </c>
      <c r="M86" s="6">
        <v>5.5E-2</v>
      </c>
      <c r="N86">
        <v>100.1</v>
      </c>
      <c r="O86">
        <v>4</v>
      </c>
      <c r="P86" s="5">
        <f t="shared" si="1"/>
        <v>5.4619050443529292E-2</v>
      </c>
      <c r="Q86" t="str">
        <f t="array" ref="Q86:R86">VLOOKUP(A86,$X$3:$AA$330,{3,4},0)</f>
        <v>Indemnity</v>
      </c>
      <c r="R86" t="str">
        <v xml:space="preserve">Per Occurrence </v>
      </c>
      <c r="X86" t="s">
        <v>118</v>
      </c>
      <c r="Y86">
        <v>76</v>
      </c>
      <c r="Z86" t="s">
        <v>382</v>
      </c>
      <c r="AA86" t="s">
        <v>383</v>
      </c>
    </row>
    <row r="87" spans="1:27">
      <c r="A87" t="s">
        <v>142</v>
      </c>
      <c r="B87">
        <v>100</v>
      </c>
      <c r="C87">
        <v>100</v>
      </c>
      <c r="D87" s="4" t="s">
        <v>530</v>
      </c>
      <c r="E87" s="4">
        <v>45667</v>
      </c>
      <c r="F87" s="4">
        <v>47127</v>
      </c>
      <c r="G87">
        <v>200000000</v>
      </c>
      <c r="H87" t="s">
        <v>531</v>
      </c>
      <c r="I87" t="s">
        <v>532</v>
      </c>
      <c r="K87">
        <v>185000000</v>
      </c>
      <c r="L87" s="4">
        <v>47127</v>
      </c>
      <c r="M87" s="6">
        <v>0.1065</v>
      </c>
      <c r="N87">
        <v>102.6</v>
      </c>
      <c r="O87">
        <v>4</v>
      </c>
      <c r="P87" s="5">
        <f t="shared" si="1"/>
        <v>9.6215150561211854E-2</v>
      </c>
      <c r="Q87" t="str">
        <f t="array" ref="Q87:R87">VLOOKUP(A87,$X$3:$AA$330,{3,4},0)</f>
        <v>Industry Loss</v>
      </c>
      <c r="R87" t="str">
        <v>Annual Aggregate</v>
      </c>
      <c r="X87" t="s">
        <v>119</v>
      </c>
      <c r="Y87">
        <v>77</v>
      </c>
      <c r="Z87" t="s">
        <v>382</v>
      </c>
      <c r="AA87" t="s">
        <v>383</v>
      </c>
    </row>
    <row r="88" spans="1:27">
      <c r="A88" t="s">
        <v>143</v>
      </c>
      <c r="B88">
        <v>101</v>
      </c>
      <c r="C88">
        <v>101</v>
      </c>
      <c r="D88" s="4" t="s">
        <v>533</v>
      </c>
      <c r="E88" s="4">
        <v>45748</v>
      </c>
      <c r="F88" s="4">
        <v>47118</v>
      </c>
      <c r="G88">
        <v>100000000</v>
      </c>
      <c r="H88" t="s">
        <v>534</v>
      </c>
      <c r="I88" t="s">
        <v>535</v>
      </c>
      <c r="K88">
        <v>100000000</v>
      </c>
      <c r="L88" s="4">
        <v>47118</v>
      </c>
      <c r="M88" s="6">
        <v>7.4999999999999997E-2</v>
      </c>
      <c r="N88">
        <v>103.85</v>
      </c>
      <c r="O88">
        <v>4</v>
      </c>
      <c r="P88" s="5">
        <f t="shared" si="1"/>
        <v>6.0490271098741687E-2</v>
      </c>
      <c r="Q88" t="str">
        <f t="array" ref="Q88:R88">VLOOKUP(A88,$X$3:$AA$330,{3,4},0)</f>
        <v>Industry Loss</v>
      </c>
      <c r="R88" t="str">
        <v>Annual Aggregate</v>
      </c>
      <c r="X88" t="s">
        <v>120</v>
      </c>
      <c r="Y88">
        <v>78</v>
      </c>
      <c r="Z88" t="s">
        <v>382</v>
      </c>
      <c r="AA88" t="s">
        <v>383</v>
      </c>
    </row>
    <row r="89" spans="1:27">
      <c r="A89" t="s">
        <v>144</v>
      </c>
      <c r="B89">
        <v>102</v>
      </c>
      <c r="C89">
        <v>102</v>
      </c>
      <c r="D89" s="4" t="s">
        <v>536</v>
      </c>
      <c r="E89" s="4">
        <v>45128</v>
      </c>
      <c r="F89" s="4">
        <v>46203</v>
      </c>
      <c r="G89">
        <v>50000000</v>
      </c>
      <c r="H89" t="s">
        <v>468</v>
      </c>
      <c r="I89" t="s">
        <v>537</v>
      </c>
      <c r="J89">
        <v>57000000</v>
      </c>
      <c r="K89">
        <v>51000000</v>
      </c>
      <c r="L89" s="4">
        <v>46203</v>
      </c>
      <c r="M89" s="6">
        <v>0.10879999999999999</v>
      </c>
      <c r="N89">
        <v>102.4</v>
      </c>
      <c r="O89">
        <v>4</v>
      </c>
      <c r="P89" s="5">
        <f t="shared" si="1"/>
        <v>5.0144089447963704E-2</v>
      </c>
      <c r="Q89" t="str">
        <f t="array" ref="Q89:R89">VLOOKUP(A89,$X$3:$AA$330,{3,4},0)</f>
        <v>Industry Loss</v>
      </c>
      <c r="R89" t="str">
        <v>Annual Aggregate</v>
      </c>
      <c r="X89" t="s">
        <v>121</v>
      </c>
      <c r="Y89">
        <v>79</v>
      </c>
      <c r="Z89" t="s">
        <v>382</v>
      </c>
      <c r="AA89" t="s">
        <v>388</v>
      </c>
    </row>
    <row r="90" spans="1:27">
      <c r="A90" t="s">
        <v>145</v>
      </c>
      <c r="B90">
        <v>103</v>
      </c>
      <c r="C90">
        <v>103</v>
      </c>
      <c r="D90" s="4" t="s">
        <v>538</v>
      </c>
      <c r="E90" s="4">
        <v>45839</v>
      </c>
      <c r="F90" s="4">
        <v>47299</v>
      </c>
      <c r="G90">
        <v>125000000</v>
      </c>
      <c r="H90" t="s">
        <v>539</v>
      </c>
      <c r="I90" t="s">
        <v>540</v>
      </c>
      <c r="K90">
        <v>240000000</v>
      </c>
      <c r="L90" s="4">
        <v>47299</v>
      </c>
      <c r="M90" s="6">
        <v>4.4999999999999998E-2</v>
      </c>
      <c r="N90">
        <v>103.1</v>
      </c>
      <c r="O90">
        <v>4</v>
      </c>
      <c r="P90" s="5">
        <f t="shared" si="1"/>
        <v>3.5324898180414156E-2</v>
      </c>
      <c r="Q90" t="str">
        <f t="array" ref="Q90:R90">VLOOKUP(A90,$X$3:$AA$330,{3,4},0)</f>
        <v>Indemnity</v>
      </c>
      <c r="R90" t="str">
        <v>Per Occurrence</v>
      </c>
      <c r="X90" t="s">
        <v>122</v>
      </c>
      <c r="Y90">
        <v>80</v>
      </c>
      <c r="Z90" t="s">
        <v>387</v>
      </c>
      <c r="AA90" t="s">
        <v>388</v>
      </c>
    </row>
    <row r="91" spans="1:27">
      <c r="A91" t="s">
        <v>146</v>
      </c>
      <c r="B91">
        <v>104</v>
      </c>
      <c r="C91">
        <v>104</v>
      </c>
      <c r="D91" s="4" t="s">
        <v>541</v>
      </c>
      <c r="E91" s="4">
        <v>45382</v>
      </c>
      <c r="F91" s="4">
        <v>46476</v>
      </c>
      <c r="G91">
        <v>100000000</v>
      </c>
      <c r="H91" t="s">
        <v>542</v>
      </c>
      <c r="I91" t="s">
        <v>411</v>
      </c>
      <c r="J91">
        <v>0</v>
      </c>
      <c r="K91">
        <v>250000000</v>
      </c>
      <c r="L91" s="4">
        <v>46476</v>
      </c>
      <c r="M91" s="6">
        <v>5.45E-2</v>
      </c>
      <c r="N91">
        <v>103.6</v>
      </c>
      <c r="O91">
        <v>4</v>
      </c>
      <c r="P91" s="5">
        <f t="shared" si="1"/>
        <v>2.3127963156719691E-2</v>
      </c>
      <c r="Q91" t="str">
        <f t="array" ref="Q91:R91">VLOOKUP(A91,$X$3:$AA$330,{3,4},0)</f>
        <v>Indemnity</v>
      </c>
      <c r="R91" t="str">
        <v>Per Occurrence</v>
      </c>
      <c r="X91" t="s">
        <v>123</v>
      </c>
      <c r="Y91">
        <v>81</v>
      </c>
      <c r="Z91" t="s">
        <v>387</v>
      </c>
      <c r="AA91" t="s">
        <v>388</v>
      </c>
    </row>
    <row r="92" spans="1:27">
      <c r="A92" t="s">
        <v>147</v>
      </c>
      <c r="B92">
        <v>105</v>
      </c>
      <c r="C92">
        <v>105</v>
      </c>
      <c r="D92" s="4" t="s">
        <v>543</v>
      </c>
      <c r="E92" s="4">
        <v>45400</v>
      </c>
      <c r="F92" s="4">
        <v>46507</v>
      </c>
      <c r="G92">
        <v>200000000</v>
      </c>
      <c r="H92" t="s">
        <v>544</v>
      </c>
      <c r="I92" t="s">
        <v>399</v>
      </c>
      <c r="K92">
        <v>250000000</v>
      </c>
      <c r="L92" s="4">
        <v>46507</v>
      </c>
      <c r="M92" s="6">
        <v>0.10199999999999999</v>
      </c>
      <c r="N92">
        <v>101.15</v>
      </c>
      <c r="O92">
        <v>4</v>
      </c>
      <c r="P92" s="5">
        <f t="shared" si="1"/>
        <v>9.2154480739972192E-2</v>
      </c>
      <c r="Q92" t="str">
        <f t="array" ref="Q92:R92">VLOOKUP(A92,$X$3:$AA$330,{3,4},0)</f>
        <v>Indemnity</v>
      </c>
      <c r="R92" t="str">
        <v>Per Occurrence</v>
      </c>
      <c r="X92" t="s">
        <v>124</v>
      </c>
      <c r="Y92">
        <v>82</v>
      </c>
      <c r="Z92" t="s">
        <v>387</v>
      </c>
      <c r="AA92" t="s">
        <v>388</v>
      </c>
    </row>
    <row r="93" spans="1:27">
      <c r="A93" t="s">
        <v>149</v>
      </c>
      <c r="B93">
        <v>107</v>
      </c>
      <c r="C93">
        <v>107</v>
      </c>
      <c r="D93" s="4" t="s">
        <v>545</v>
      </c>
      <c r="E93" s="4">
        <v>45078</v>
      </c>
      <c r="F93" s="4">
        <v>46173</v>
      </c>
      <c r="G93">
        <v>50000000</v>
      </c>
      <c r="H93" t="s">
        <v>546</v>
      </c>
      <c r="I93" t="s">
        <v>547</v>
      </c>
      <c r="J93">
        <v>0</v>
      </c>
      <c r="K93">
        <v>125000000</v>
      </c>
      <c r="L93" s="4">
        <v>46173</v>
      </c>
      <c r="M93" s="6">
        <v>8.2199999999999995E-2</v>
      </c>
      <c r="N93">
        <v>102</v>
      </c>
      <c r="O93">
        <v>4</v>
      </c>
      <c r="P93" s="5">
        <f t="shared" si="1"/>
        <v>2.1781265951823576E-2</v>
      </c>
      <c r="Q93" t="str">
        <f t="array" ref="Q93:R93">VLOOKUP(A93,$X$3:$AA$330,{3,4},0)</f>
        <v>Indemnity</v>
      </c>
      <c r="R93" t="str">
        <v>Per Occurrence</v>
      </c>
      <c r="X93" t="s">
        <v>125</v>
      </c>
      <c r="Y93">
        <v>83</v>
      </c>
      <c r="Z93" t="s">
        <v>387</v>
      </c>
      <c r="AA93" t="s">
        <v>388</v>
      </c>
    </row>
    <row r="94" spans="1:27">
      <c r="A94" t="s">
        <v>150</v>
      </c>
      <c r="B94">
        <v>108</v>
      </c>
      <c r="C94">
        <v>108</v>
      </c>
      <c r="D94" s="4" t="s">
        <v>548</v>
      </c>
      <c r="E94" s="4">
        <v>45444</v>
      </c>
      <c r="F94" s="4">
        <v>46538</v>
      </c>
      <c r="G94">
        <v>215000000</v>
      </c>
      <c r="H94" t="s">
        <v>546</v>
      </c>
      <c r="I94" t="s">
        <v>549</v>
      </c>
      <c r="J94">
        <v>0</v>
      </c>
      <c r="K94">
        <v>400000000</v>
      </c>
      <c r="L94" s="4">
        <v>46538</v>
      </c>
      <c r="M94" s="6">
        <v>6.0359999999999997E-2</v>
      </c>
      <c r="N94">
        <v>99.85</v>
      </c>
      <c r="O94">
        <v>4</v>
      </c>
      <c r="P94" s="5">
        <f t="shared" si="1"/>
        <v>6.1520240102196144E-2</v>
      </c>
      <c r="Q94" t="str">
        <f t="array" ref="Q94:R94">VLOOKUP(A94,$X$3:$AA$330,{3,4},0)</f>
        <v>Indemnity</v>
      </c>
      <c r="R94" t="str">
        <v>Per Occurrence</v>
      </c>
      <c r="X94" t="s">
        <v>126</v>
      </c>
      <c r="Y94">
        <v>84</v>
      </c>
      <c r="Z94" t="s">
        <v>387</v>
      </c>
      <c r="AA94" t="s">
        <v>388</v>
      </c>
    </row>
    <row r="95" spans="1:27">
      <c r="A95" t="s">
        <v>151</v>
      </c>
      <c r="B95">
        <v>109</v>
      </c>
      <c r="C95">
        <v>109</v>
      </c>
      <c r="D95" s="4" t="s">
        <v>550</v>
      </c>
      <c r="E95" s="4">
        <v>45444</v>
      </c>
      <c r="F95" s="4">
        <v>46538</v>
      </c>
      <c r="G95">
        <v>130000000</v>
      </c>
      <c r="H95" t="s">
        <v>546</v>
      </c>
      <c r="I95" t="s">
        <v>549</v>
      </c>
      <c r="J95">
        <v>0</v>
      </c>
      <c r="K95">
        <v>250000000</v>
      </c>
      <c r="L95" s="4">
        <v>46538</v>
      </c>
      <c r="M95" s="6">
        <v>7.1059999999999998E-2</v>
      </c>
      <c r="N95">
        <v>101.95</v>
      </c>
      <c r="O95">
        <v>4</v>
      </c>
      <c r="P95" s="5">
        <f t="shared" si="1"/>
        <v>5.5761506513505851E-2</v>
      </c>
      <c r="Q95" t="str">
        <f t="array" ref="Q95:R95">VLOOKUP(A95,$X$3:$AA$330,{3,4},0)</f>
        <v>Indemnity</v>
      </c>
      <c r="R95" t="str">
        <v>Per Occurrence</v>
      </c>
      <c r="X95" t="s">
        <v>127</v>
      </c>
      <c r="Y95">
        <v>85</v>
      </c>
      <c r="Z95" t="s">
        <v>382</v>
      </c>
      <c r="AA95" t="s">
        <v>383</v>
      </c>
    </row>
    <row r="96" spans="1:27">
      <c r="A96" t="s">
        <v>152</v>
      </c>
      <c r="B96">
        <v>110</v>
      </c>
      <c r="C96">
        <v>110</v>
      </c>
      <c r="D96" s="4" t="s">
        <v>551</v>
      </c>
      <c r="E96" s="4">
        <v>45444</v>
      </c>
      <c r="F96" s="4">
        <v>46173</v>
      </c>
      <c r="G96">
        <v>75000000</v>
      </c>
      <c r="H96" t="s">
        <v>546</v>
      </c>
      <c r="I96" t="s">
        <v>549</v>
      </c>
      <c r="J96">
        <v>0</v>
      </c>
      <c r="K96">
        <v>200000000</v>
      </c>
      <c r="L96" s="4">
        <v>46173</v>
      </c>
      <c r="M96" s="6">
        <v>9.3780000000000002E-2</v>
      </c>
      <c r="N96">
        <v>102.8</v>
      </c>
      <c r="O96">
        <v>4</v>
      </c>
      <c r="P96" s="5">
        <f t="shared" si="1"/>
        <v>9.5278887556234926E-3</v>
      </c>
      <c r="Q96" t="str">
        <f t="array" ref="Q96:R96">VLOOKUP(A96,$X$3:$AA$330,{3,4},0)</f>
        <v>Indemnity</v>
      </c>
      <c r="R96" t="str">
        <v>Per Occurrence</v>
      </c>
      <c r="X96" t="s">
        <v>128</v>
      </c>
      <c r="Y96">
        <v>86</v>
      </c>
      <c r="Z96" t="s">
        <v>382</v>
      </c>
      <c r="AA96" t="s">
        <v>383</v>
      </c>
    </row>
    <row r="97" spans="1:27">
      <c r="A97" t="s">
        <v>153</v>
      </c>
      <c r="B97">
        <v>111</v>
      </c>
      <c r="C97">
        <v>111</v>
      </c>
      <c r="D97" s="4" t="s">
        <v>552</v>
      </c>
      <c r="E97" s="4">
        <v>45809</v>
      </c>
      <c r="F97" s="4">
        <v>46904</v>
      </c>
      <c r="G97">
        <v>150000000</v>
      </c>
      <c r="H97" t="s">
        <v>546</v>
      </c>
      <c r="I97" t="s">
        <v>549</v>
      </c>
      <c r="J97">
        <v>0</v>
      </c>
      <c r="K97">
        <v>200000000</v>
      </c>
      <c r="L97" s="4">
        <v>46904</v>
      </c>
      <c r="M97" s="6">
        <v>3.7499999999999999E-2</v>
      </c>
      <c r="N97">
        <v>102.5</v>
      </c>
      <c r="O97">
        <v>4</v>
      </c>
      <c r="P97" s="5">
        <f t="shared" si="1"/>
        <v>2.641378445474607E-2</v>
      </c>
      <c r="Q97" t="str">
        <f t="array" ref="Q97:R97">VLOOKUP(A97,$X$3:$AA$330,{3,4},0)</f>
        <v>Indemnity</v>
      </c>
      <c r="R97" t="str">
        <v>Per Occurrence</v>
      </c>
      <c r="X97" t="s">
        <v>129</v>
      </c>
      <c r="Y97">
        <v>87</v>
      </c>
      <c r="Z97" t="s">
        <v>382</v>
      </c>
      <c r="AA97" t="s">
        <v>388</v>
      </c>
    </row>
    <row r="98" spans="1:27">
      <c r="A98" t="s">
        <v>154</v>
      </c>
      <c r="B98">
        <v>112</v>
      </c>
      <c r="C98">
        <v>112</v>
      </c>
      <c r="D98" s="4" t="s">
        <v>553</v>
      </c>
      <c r="E98" s="4">
        <v>45809</v>
      </c>
      <c r="F98" s="4">
        <v>46904</v>
      </c>
      <c r="G98">
        <v>200000000</v>
      </c>
      <c r="H98" t="s">
        <v>546</v>
      </c>
      <c r="I98" t="s">
        <v>549</v>
      </c>
      <c r="J98">
        <v>0</v>
      </c>
      <c r="K98">
        <v>650000000</v>
      </c>
      <c r="L98" s="4">
        <v>46904</v>
      </c>
      <c r="M98" s="6">
        <v>4.4999999999999998E-2</v>
      </c>
      <c r="N98">
        <v>104.6</v>
      </c>
      <c r="O98">
        <v>4</v>
      </c>
      <c r="P98" s="5">
        <f t="shared" si="1"/>
        <v>2.4649284549802451E-2</v>
      </c>
      <c r="Q98" t="str">
        <f t="array" ref="Q98:R98">VLOOKUP(A98,$X$3:$AA$330,{3,4},0)</f>
        <v>Indemnity</v>
      </c>
      <c r="R98" t="str">
        <v>Per Occurrence</v>
      </c>
      <c r="X98" t="s">
        <v>130</v>
      </c>
      <c r="Y98">
        <v>88</v>
      </c>
      <c r="Z98" t="s">
        <v>382</v>
      </c>
      <c r="AA98" t="s">
        <v>388</v>
      </c>
    </row>
    <row r="99" spans="1:27">
      <c r="A99" t="s">
        <v>155</v>
      </c>
      <c r="B99">
        <v>113</v>
      </c>
      <c r="C99">
        <v>113</v>
      </c>
      <c r="D99" s="4" t="s">
        <v>554</v>
      </c>
      <c r="E99" s="4">
        <v>45809</v>
      </c>
      <c r="F99" s="4">
        <v>46904</v>
      </c>
      <c r="G99">
        <v>175000000</v>
      </c>
      <c r="H99" t="s">
        <v>546</v>
      </c>
      <c r="I99" t="s">
        <v>549</v>
      </c>
      <c r="J99">
        <v>0</v>
      </c>
      <c r="K99">
        <v>325000000</v>
      </c>
      <c r="L99" s="4">
        <v>46904</v>
      </c>
      <c r="M99" s="6">
        <v>6.5000000000000002E-2</v>
      </c>
      <c r="N99">
        <v>102.85</v>
      </c>
      <c r="O99">
        <v>4</v>
      </c>
      <c r="P99" s="5">
        <f t="shared" si="1"/>
        <v>5.1940900733949462E-2</v>
      </c>
      <c r="Q99" t="str">
        <f t="array" ref="Q99:R99">VLOOKUP(A99,$X$3:$AA$330,{3,4},0)</f>
        <v>Indemnity</v>
      </c>
      <c r="R99" t="str">
        <v>Per Occurrence</v>
      </c>
      <c r="X99" t="s">
        <v>131</v>
      </c>
      <c r="Y99">
        <v>89</v>
      </c>
      <c r="Z99" t="s">
        <v>382</v>
      </c>
      <c r="AA99" t="s">
        <v>383</v>
      </c>
    </row>
    <row r="100" spans="1:27">
      <c r="A100" t="s">
        <v>156</v>
      </c>
      <c r="B100">
        <v>114</v>
      </c>
      <c r="C100">
        <v>114</v>
      </c>
      <c r="D100" s="4" t="s">
        <v>555</v>
      </c>
      <c r="E100" s="4">
        <v>45818</v>
      </c>
      <c r="F100" s="4">
        <v>46904</v>
      </c>
      <c r="G100">
        <v>125000000</v>
      </c>
      <c r="H100" t="s">
        <v>556</v>
      </c>
      <c r="I100" t="s">
        <v>504</v>
      </c>
      <c r="K100">
        <v>125000000</v>
      </c>
      <c r="L100" s="4">
        <v>46904</v>
      </c>
      <c r="M100" s="6">
        <v>5.2499999999999998E-2</v>
      </c>
      <c r="N100">
        <v>103.75</v>
      </c>
      <c r="O100">
        <v>4</v>
      </c>
      <c r="P100" s="5">
        <f t="shared" si="1"/>
        <v>3.567309437770759E-2</v>
      </c>
      <c r="Q100" t="str">
        <f t="array" ref="Q100:R100">VLOOKUP(A100,$X$3:$AA$330,{3,4},0)</f>
        <v>Industry Loss</v>
      </c>
      <c r="R100" t="str">
        <v>Annual Aggregate</v>
      </c>
      <c r="X100" t="s">
        <v>132</v>
      </c>
      <c r="Y100">
        <v>90</v>
      </c>
      <c r="Z100" t="s">
        <v>382</v>
      </c>
      <c r="AA100" t="s">
        <v>383</v>
      </c>
    </row>
    <row r="101" spans="1:27">
      <c r="A101" t="s">
        <v>157</v>
      </c>
      <c r="B101">
        <v>115</v>
      </c>
      <c r="C101">
        <v>115</v>
      </c>
      <c r="D101" s="4" t="s">
        <v>557</v>
      </c>
      <c r="E101" s="4">
        <v>45400</v>
      </c>
      <c r="F101" s="4">
        <v>46860</v>
      </c>
      <c r="G101">
        <v>225000000</v>
      </c>
      <c r="H101" t="s">
        <v>558</v>
      </c>
      <c r="I101" t="s">
        <v>559</v>
      </c>
      <c r="J101">
        <v>0</v>
      </c>
      <c r="K101">
        <v>225000000</v>
      </c>
      <c r="L101" s="4">
        <v>46860</v>
      </c>
      <c r="M101" s="6">
        <v>0.04</v>
      </c>
      <c r="N101">
        <v>101.85</v>
      </c>
      <c r="O101">
        <v>4</v>
      </c>
      <c r="P101" s="5">
        <f t="shared" si="1"/>
        <v>3.1305163928033626E-2</v>
      </c>
      <c r="Q101" t="str">
        <f t="array" ref="Q101:R101">VLOOKUP(A101,$X$3:$AA$330,{3,4},0)</f>
        <v>1st Gen Parametric</v>
      </c>
      <c r="R101" t="str">
        <v>Per Occurrence</v>
      </c>
      <c r="X101" t="s">
        <v>133</v>
      </c>
      <c r="Y101">
        <v>91</v>
      </c>
      <c r="Z101" t="s">
        <v>382</v>
      </c>
      <c r="AA101" t="s">
        <v>388</v>
      </c>
    </row>
    <row r="102" spans="1:27">
      <c r="A102" t="s">
        <v>158</v>
      </c>
      <c r="B102">
        <v>116</v>
      </c>
      <c r="C102">
        <v>116</v>
      </c>
      <c r="D102" s="4" t="s">
        <v>560</v>
      </c>
      <c r="E102" s="4">
        <v>45400</v>
      </c>
      <c r="F102" s="4">
        <v>46860</v>
      </c>
      <c r="G102">
        <v>70000000</v>
      </c>
      <c r="H102" t="s">
        <v>561</v>
      </c>
      <c r="I102" t="s">
        <v>559</v>
      </c>
      <c r="J102">
        <v>0</v>
      </c>
      <c r="K102">
        <v>70000000</v>
      </c>
      <c r="L102" s="4">
        <v>46860</v>
      </c>
      <c r="M102" s="6">
        <v>0.11</v>
      </c>
      <c r="N102">
        <v>101.6</v>
      </c>
      <c r="O102">
        <v>4</v>
      </c>
      <c r="P102" s="5">
        <f t="shared" si="1"/>
        <v>0.1018044180665488</v>
      </c>
      <c r="Q102" t="str">
        <f t="array" ref="Q102:R102">VLOOKUP(A102,$X$3:$AA$330,{3,4},0)</f>
        <v>1st Gen Parametric</v>
      </c>
      <c r="R102" t="str">
        <v>Per Occurrence</v>
      </c>
      <c r="X102" t="s">
        <v>134</v>
      </c>
      <c r="Y102">
        <v>92</v>
      </c>
      <c r="Z102" t="s">
        <v>382</v>
      </c>
      <c r="AA102" t="s">
        <v>388</v>
      </c>
    </row>
    <row r="103" spans="1:27">
      <c r="A103" t="s">
        <v>159</v>
      </c>
      <c r="B103">
        <v>117</v>
      </c>
      <c r="C103">
        <v>117</v>
      </c>
      <c r="D103" s="4" t="s">
        <v>562</v>
      </c>
      <c r="E103" s="4">
        <v>45400</v>
      </c>
      <c r="F103" s="4">
        <v>46860</v>
      </c>
      <c r="G103">
        <v>125000000</v>
      </c>
      <c r="H103" t="s">
        <v>563</v>
      </c>
      <c r="I103" t="s">
        <v>564</v>
      </c>
      <c r="J103">
        <v>0</v>
      </c>
      <c r="K103">
        <v>125000000</v>
      </c>
      <c r="L103" s="4">
        <v>46860</v>
      </c>
      <c r="M103" s="6">
        <v>0.13500000000000001</v>
      </c>
      <c r="N103">
        <v>102.8</v>
      </c>
      <c r="O103">
        <v>4</v>
      </c>
      <c r="P103" s="5">
        <f t="shared" si="1"/>
        <v>0.12035443130839411</v>
      </c>
      <c r="Q103" t="str">
        <f t="array" ref="Q103:R103">VLOOKUP(A103,$X$3:$AA$330,{3,4},0)</f>
        <v>1st Gen Parametric</v>
      </c>
      <c r="R103" t="str">
        <v>Per Occurrence</v>
      </c>
      <c r="X103" t="s">
        <v>135</v>
      </c>
      <c r="Y103">
        <v>93</v>
      </c>
      <c r="Z103" t="s">
        <v>382</v>
      </c>
      <c r="AA103" t="s">
        <v>388</v>
      </c>
    </row>
    <row r="104" spans="1:27">
      <c r="A104" t="s">
        <v>160</v>
      </c>
      <c r="B104">
        <v>118</v>
      </c>
      <c r="C104">
        <v>118</v>
      </c>
      <c r="D104" s="4" t="s">
        <v>565</v>
      </c>
      <c r="E104" s="4">
        <v>45428</v>
      </c>
      <c r="F104" s="4">
        <v>46860</v>
      </c>
      <c r="G104">
        <v>175000000</v>
      </c>
      <c r="H104" t="s">
        <v>566</v>
      </c>
      <c r="I104" t="s">
        <v>567</v>
      </c>
      <c r="J104">
        <v>0</v>
      </c>
      <c r="K104">
        <v>175000000</v>
      </c>
      <c r="L104" s="4">
        <v>46860</v>
      </c>
      <c r="M104" s="6">
        <v>0.12</v>
      </c>
      <c r="N104">
        <v>99.3</v>
      </c>
      <c r="O104">
        <v>4</v>
      </c>
      <c r="P104" s="5">
        <f t="shared" si="1"/>
        <v>0.12363531690864228</v>
      </c>
      <c r="Q104" t="str">
        <f t="array" ref="Q104:R104">VLOOKUP(A104,$X$3:$AA$330,{3,4},0)</f>
        <v>1st Gen Parametric</v>
      </c>
      <c r="R104" t="str">
        <v>Per Occurrence</v>
      </c>
      <c r="X104" t="s">
        <v>136</v>
      </c>
      <c r="Y104">
        <v>94</v>
      </c>
      <c r="Z104" t="s">
        <v>382</v>
      </c>
      <c r="AA104" t="s">
        <v>388</v>
      </c>
    </row>
    <row r="105" spans="1:27">
      <c r="A105" t="s">
        <v>161</v>
      </c>
      <c r="B105">
        <v>119</v>
      </c>
      <c r="C105">
        <v>119</v>
      </c>
      <c r="D105" s="4" t="s">
        <v>568</v>
      </c>
      <c r="E105" s="4">
        <v>45474</v>
      </c>
      <c r="F105" s="4">
        <v>46568</v>
      </c>
      <c r="G105">
        <v>80000000</v>
      </c>
      <c r="H105" t="s">
        <v>569</v>
      </c>
      <c r="I105" t="s">
        <v>570</v>
      </c>
      <c r="K105">
        <v>77000000</v>
      </c>
      <c r="L105" s="4">
        <v>46568</v>
      </c>
      <c r="M105" s="6">
        <v>7.0000000000000007E-2</v>
      </c>
      <c r="N105">
        <v>103.1</v>
      </c>
      <c r="O105">
        <v>4</v>
      </c>
      <c r="P105" s="5">
        <f t="shared" si="1"/>
        <v>4.7231757968182464E-2</v>
      </c>
      <c r="Q105" t="str">
        <f t="array" ref="Q105:R105">VLOOKUP(A105,$X$3:$AA$330,{3,4},0)</f>
        <v>Industry Loss</v>
      </c>
      <c r="R105" t="str">
        <v>Per Occurrence</v>
      </c>
      <c r="X105" t="s">
        <v>137</v>
      </c>
      <c r="Y105">
        <v>95</v>
      </c>
      <c r="Z105" t="s">
        <v>461</v>
      </c>
      <c r="AA105" t="s">
        <v>461</v>
      </c>
    </row>
    <row r="106" spans="1:27">
      <c r="A106" t="s">
        <v>162</v>
      </c>
      <c r="B106">
        <v>120</v>
      </c>
      <c r="C106">
        <v>120</v>
      </c>
      <c r="D106" s="4" t="s">
        <v>571</v>
      </c>
      <c r="E106" s="4">
        <v>45474</v>
      </c>
      <c r="F106" s="4">
        <v>46568</v>
      </c>
      <c r="G106">
        <v>60000000</v>
      </c>
      <c r="H106" t="s">
        <v>569</v>
      </c>
      <c r="I106" t="s">
        <v>572</v>
      </c>
      <c r="K106">
        <v>80000000</v>
      </c>
      <c r="L106" s="4">
        <v>46568</v>
      </c>
      <c r="M106" s="6">
        <v>0.18</v>
      </c>
      <c r="N106">
        <v>102.925</v>
      </c>
      <c r="O106">
        <v>4</v>
      </c>
      <c r="P106" s="5">
        <f t="shared" si="1"/>
        <v>0.15642798107094932</v>
      </c>
      <c r="Q106" t="str">
        <f t="array" ref="Q106:R106">VLOOKUP(A106,$X$3:$AA$330,{3,4},0)</f>
        <v>Industry Loss</v>
      </c>
      <c r="R106" t="str">
        <v>Per Occurrence</v>
      </c>
      <c r="X106" t="s">
        <v>138</v>
      </c>
      <c r="Y106">
        <v>96</v>
      </c>
      <c r="Z106" t="s">
        <v>461</v>
      </c>
      <c r="AA106" t="s">
        <v>461</v>
      </c>
    </row>
    <row r="107" spans="1:27">
      <c r="A107" t="s">
        <v>163</v>
      </c>
      <c r="B107">
        <v>121</v>
      </c>
      <c r="C107">
        <v>121</v>
      </c>
      <c r="D107" s="4" t="s">
        <v>573</v>
      </c>
      <c r="E107" s="4">
        <v>45809</v>
      </c>
      <c r="F107" s="4">
        <v>46904</v>
      </c>
      <c r="G107">
        <v>150000000</v>
      </c>
      <c r="H107" t="s">
        <v>569</v>
      </c>
      <c r="I107" t="s">
        <v>574</v>
      </c>
      <c r="J107">
        <v>0</v>
      </c>
      <c r="K107">
        <v>10000000000</v>
      </c>
      <c r="L107" s="4">
        <v>46904</v>
      </c>
      <c r="M107" s="6">
        <v>7.4999999999999997E-2</v>
      </c>
      <c r="N107">
        <v>102.75</v>
      </c>
      <c r="O107">
        <v>4</v>
      </c>
      <c r="P107" s="5">
        <f t="shared" si="1"/>
        <v>6.2231684730329369E-2</v>
      </c>
      <c r="Q107" t="str">
        <f t="array" ref="Q107:R107">VLOOKUP(A107,$X$3:$AA$330,{3,4},0)</f>
        <v>Industry Loss</v>
      </c>
      <c r="R107" t="str">
        <v>Per Occurrence (Named Storm) ; Annual Aggregate (Earthquake)</v>
      </c>
      <c r="X107" t="s">
        <v>139</v>
      </c>
      <c r="Y107">
        <v>97</v>
      </c>
      <c r="Z107" t="s">
        <v>461</v>
      </c>
      <c r="AA107" t="s">
        <v>461</v>
      </c>
    </row>
    <row r="108" spans="1:27">
      <c r="A108" t="s">
        <v>165</v>
      </c>
      <c r="B108">
        <v>123</v>
      </c>
      <c r="C108">
        <v>123</v>
      </c>
      <c r="D108" s="4" t="s">
        <v>575</v>
      </c>
      <c r="E108" s="4">
        <v>45430</v>
      </c>
      <c r="F108" s="4">
        <v>46524</v>
      </c>
      <c r="G108">
        <v>145000000</v>
      </c>
      <c r="H108" t="s">
        <v>576</v>
      </c>
      <c r="I108" t="s">
        <v>408</v>
      </c>
      <c r="J108">
        <v>0</v>
      </c>
      <c r="K108">
        <v>145000000</v>
      </c>
      <c r="L108" s="4">
        <v>46524</v>
      </c>
      <c r="M108" s="6">
        <v>0.17932000000000001</v>
      </c>
      <c r="N108">
        <v>102.9</v>
      </c>
      <c r="O108">
        <v>4</v>
      </c>
      <c r="P108" s="5">
        <f t="shared" si="1"/>
        <v>0.15407315272501584</v>
      </c>
      <c r="Q108" t="str">
        <f t="array" ref="Q108:R108">VLOOKUP(A108,$X$3:$AA$330,{3,4},0)</f>
        <v>Indemnity</v>
      </c>
      <c r="R108" t="str">
        <v>Annual Aggregate</v>
      </c>
      <c r="X108" t="s">
        <v>140</v>
      </c>
      <c r="Y108">
        <v>98</v>
      </c>
      <c r="Z108" t="s">
        <v>387</v>
      </c>
      <c r="AA108" t="s">
        <v>577</v>
      </c>
    </row>
    <row r="109" spans="1:27">
      <c r="A109" t="s">
        <v>166</v>
      </c>
      <c r="B109">
        <v>124</v>
      </c>
      <c r="C109">
        <v>124</v>
      </c>
      <c r="D109" s="4" t="s">
        <v>578</v>
      </c>
      <c r="E109" s="4">
        <v>44986</v>
      </c>
      <c r="F109" s="4">
        <v>46081</v>
      </c>
      <c r="G109">
        <v>75000000</v>
      </c>
      <c r="H109" t="s">
        <v>579</v>
      </c>
      <c r="I109" t="s">
        <v>461</v>
      </c>
      <c r="K109">
        <v>100000000</v>
      </c>
      <c r="L109" s="4">
        <v>46081</v>
      </c>
      <c r="M109" s="6">
        <v>6.7879999999999996E-2</v>
      </c>
      <c r="N109">
        <v>100</v>
      </c>
      <c r="O109">
        <v>4</v>
      </c>
      <c r="P109" s="5">
        <f t="shared" si="1"/>
        <v>7.1914973363254836E-2</v>
      </c>
      <c r="Q109" t="str">
        <f t="array" ref="Q109:R109">VLOOKUP(A109,$X$3:$AA$330,{3,4},0)</f>
        <v>NULL</v>
      </c>
      <c r="R109" t="str">
        <v>NULL</v>
      </c>
      <c r="X109" t="s">
        <v>141</v>
      </c>
      <c r="Y109">
        <v>99</v>
      </c>
      <c r="Z109" t="s">
        <v>387</v>
      </c>
      <c r="AA109" t="s">
        <v>577</v>
      </c>
    </row>
    <row r="110" spans="1:27">
      <c r="A110" t="s">
        <v>168</v>
      </c>
      <c r="B110">
        <v>126</v>
      </c>
      <c r="C110">
        <v>126</v>
      </c>
      <c r="D110" s="4" t="s">
        <v>580</v>
      </c>
      <c r="E110" s="4">
        <v>45352</v>
      </c>
      <c r="F110" s="4">
        <v>46446</v>
      </c>
      <c r="G110">
        <v>175000000</v>
      </c>
      <c r="H110" t="s">
        <v>579</v>
      </c>
      <c r="I110" t="s">
        <v>547</v>
      </c>
      <c r="K110">
        <v>225000000</v>
      </c>
      <c r="L110" s="4">
        <v>46446</v>
      </c>
      <c r="M110" s="6">
        <v>4.7379999999999999E-2</v>
      </c>
      <c r="N110">
        <v>104.65</v>
      </c>
      <c r="O110">
        <v>4</v>
      </c>
      <c r="P110" s="5">
        <f t="shared" si="1"/>
        <v>4.3315799757577232E-3</v>
      </c>
      <c r="Q110" t="str">
        <f t="array" ref="Q110:R110">VLOOKUP(A110,$X$3:$AA$330,{3,4},0)</f>
        <v>Indemnity</v>
      </c>
      <c r="R110" t="str">
        <v>Per Occurrence</v>
      </c>
      <c r="X110" t="s">
        <v>142</v>
      </c>
      <c r="Y110">
        <v>100</v>
      </c>
      <c r="Z110" t="s">
        <v>382</v>
      </c>
      <c r="AA110" t="s">
        <v>383</v>
      </c>
    </row>
    <row r="111" spans="1:27">
      <c r="A111" t="s">
        <v>169</v>
      </c>
      <c r="B111">
        <v>127</v>
      </c>
      <c r="C111">
        <v>127</v>
      </c>
      <c r="D111" s="4" t="s">
        <v>581</v>
      </c>
      <c r="E111" s="4">
        <v>45717</v>
      </c>
      <c r="F111" s="4">
        <v>46812</v>
      </c>
      <c r="G111">
        <v>300000000</v>
      </c>
      <c r="H111" t="s">
        <v>579</v>
      </c>
      <c r="I111" t="s">
        <v>547</v>
      </c>
      <c r="K111">
        <v>300000000</v>
      </c>
      <c r="L111" s="4">
        <v>46812</v>
      </c>
      <c r="M111" s="6">
        <v>3.5000000000000003E-2</v>
      </c>
      <c r="N111">
        <v>105.2</v>
      </c>
      <c r="O111">
        <v>4</v>
      </c>
      <c r="P111" s="5">
        <f t="shared" si="1"/>
        <v>9.7539692134053866E-3</v>
      </c>
      <c r="Q111" t="str">
        <f t="array" ref="Q111:R111">VLOOKUP(A111,$X$3:$AA$330,{3,4},0)</f>
        <v>Indemnity</v>
      </c>
      <c r="R111" t="str">
        <v>Per Occurrence</v>
      </c>
      <c r="X111" t="s">
        <v>143</v>
      </c>
      <c r="Y111">
        <v>101</v>
      </c>
      <c r="Z111" t="s">
        <v>382</v>
      </c>
      <c r="AA111" t="s">
        <v>383</v>
      </c>
    </row>
    <row r="112" spans="1:27">
      <c r="A112" t="s">
        <v>170</v>
      </c>
      <c r="B112">
        <v>128</v>
      </c>
      <c r="C112">
        <v>128</v>
      </c>
      <c r="D112" s="4" t="s">
        <v>582</v>
      </c>
      <c r="E112" s="4">
        <v>45717</v>
      </c>
      <c r="F112" s="4">
        <v>46812</v>
      </c>
      <c r="G112">
        <v>150000000</v>
      </c>
      <c r="H112" t="s">
        <v>579</v>
      </c>
      <c r="I112" t="s">
        <v>547</v>
      </c>
      <c r="K112">
        <v>150000000</v>
      </c>
      <c r="L112" s="4">
        <v>46812</v>
      </c>
      <c r="M112" s="6">
        <v>0.05</v>
      </c>
      <c r="N112">
        <v>105.4</v>
      </c>
      <c r="O112">
        <v>4</v>
      </c>
      <c r="P112" s="5">
        <f t="shared" si="1"/>
        <v>2.3364439511310106E-2</v>
      </c>
      <c r="Q112" t="str">
        <f t="array" ref="Q112:R112">VLOOKUP(A112,$X$3:$AA$330,{3,4},0)</f>
        <v>Indemnity</v>
      </c>
      <c r="R112" t="str">
        <v>Per Occurrence</v>
      </c>
      <c r="X112" t="s">
        <v>144</v>
      </c>
      <c r="Y112">
        <v>102</v>
      </c>
      <c r="Z112" t="s">
        <v>382</v>
      </c>
      <c r="AA112" t="s">
        <v>383</v>
      </c>
    </row>
    <row r="113" spans="1:27">
      <c r="A113" t="s">
        <v>171</v>
      </c>
      <c r="B113">
        <v>129</v>
      </c>
      <c r="C113">
        <v>129</v>
      </c>
      <c r="D113" s="4" t="s">
        <v>583</v>
      </c>
      <c r="E113" s="4">
        <v>45748</v>
      </c>
      <c r="F113" s="4">
        <v>46843</v>
      </c>
      <c r="G113">
        <v>140000000</v>
      </c>
      <c r="H113" t="s">
        <v>584</v>
      </c>
      <c r="I113" t="s">
        <v>585</v>
      </c>
      <c r="K113">
        <v>600000000</v>
      </c>
      <c r="L113" s="4">
        <v>46843</v>
      </c>
      <c r="M113" s="6">
        <v>5.7500000000000002E-2</v>
      </c>
      <c r="N113">
        <v>107.85</v>
      </c>
      <c r="O113">
        <v>4</v>
      </c>
      <c r="P113" s="5">
        <f t="shared" si="1"/>
        <v>2.0367923956391878E-2</v>
      </c>
      <c r="Q113" t="str">
        <f t="array" ref="Q113:R113">VLOOKUP(A113,$X$3:$AA$330,{3,4},0)</f>
        <v>Indemnity</v>
      </c>
      <c r="R113" t="str">
        <v>Annual Aggregate</v>
      </c>
      <c r="X113" t="s">
        <v>145</v>
      </c>
      <c r="Y113">
        <v>103</v>
      </c>
      <c r="Z113" t="s">
        <v>387</v>
      </c>
      <c r="AA113" t="s">
        <v>388</v>
      </c>
    </row>
    <row r="114" spans="1:27">
      <c r="A114" t="s">
        <v>172</v>
      </c>
      <c r="B114">
        <v>130</v>
      </c>
      <c r="C114">
        <v>130</v>
      </c>
      <c r="D114" s="4" t="s">
        <v>586</v>
      </c>
      <c r="E114" s="4">
        <v>45464</v>
      </c>
      <c r="F114" s="4">
        <v>46538</v>
      </c>
      <c r="G114">
        <v>85000000</v>
      </c>
      <c r="H114" t="s">
        <v>587</v>
      </c>
      <c r="I114" t="s">
        <v>588</v>
      </c>
      <c r="J114">
        <v>0</v>
      </c>
      <c r="K114">
        <v>85000000</v>
      </c>
      <c r="L114" s="4">
        <v>46538</v>
      </c>
      <c r="M114" s="6">
        <v>0.09</v>
      </c>
      <c r="N114">
        <v>108.35</v>
      </c>
      <c r="O114">
        <v>4</v>
      </c>
      <c r="P114" s="5">
        <f t="shared" si="1"/>
        <v>2.6064285274857029E-2</v>
      </c>
      <c r="Q114" t="str">
        <f t="array" ref="Q114:R114">VLOOKUP(A114,$X$3:$AA$330,{3,4},0)</f>
        <v>1st Gen Parametric</v>
      </c>
      <c r="R114" t="str">
        <v>Per Occurrence</v>
      </c>
      <c r="X114" t="s">
        <v>146</v>
      </c>
      <c r="Y114">
        <v>104</v>
      </c>
      <c r="Z114" t="s">
        <v>387</v>
      </c>
      <c r="AA114" t="s">
        <v>388</v>
      </c>
    </row>
    <row r="115" spans="1:27">
      <c r="A115" t="s">
        <v>173</v>
      </c>
      <c r="B115">
        <v>131</v>
      </c>
      <c r="C115">
        <v>131</v>
      </c>
      <c r="D115" s="4" t="s">
        <v>589</v>
      </c>
      <c r="E115" s="4">
        <v>45776</v>
      </c>
      <c r="F115" s="4">
        <v>46871</v>
      </c>
      <c r="G115">
        <v>50000000</v>
      </c>
      <c r="H115" t="s">
        <v>590</v>
      </c>
      <c r="I115" t="s">
        <v>591</v>
      </c>
      <c r="K115">
        <v>50000000</v>
      </c>
      <c r="L115" s="4">
        <v>46871</v>
      </c>
      <c r="M115" s="6">
        <v>0.08</v>
      </c>
      <c r="N115">
        <v>107.75</v>
      </c>
      <c r="O115">
        <v>4</v>
      </c>
      <c r="P115" s="5">
        <f t="shared" si="1"/>
        <v>4.3524278419448642E-2</v>
      </c>
      <c r="Q115" t="str">
        <f t="array" ref="Q115:R115">VLOOKUP(A115,$X$3:$AA$330,{3,4},0)</f>
        <v>Industry Loss</v>
      </c>
      <c r="R115" t="str">
        <v>Per Occurrence</v>
      </c>
      <c r="X115" t="s">
        <v>147</v>
      </c>
      <c r="Y115">
        <v>105</v>
      </c>
      <c r="Z115" t="s">
        <v>387</v>
      </c>
      <c r="AA115" t="s">
        <v>388</v>
      </c>
    </row>
    <row r="116" spans="1:27">
      <c r="A116" t="s">
        <v>174</v>
      </c>
      <c r="B116">
        <v>132</v>
      </c>
      <c r="C116">
        <v>132</v>
      </c>
      <c r="D116" s="4" t="s">
        <v>592</v>
      </c>
      <c r="E116" s="4">
        <v>45809</v>
      </c>
      <c r="F116" s="4">
        <v>46904</v>
      </c>
      <c r="G116">
        <v>100000000</v>
      </c>
      <c r="H116" t="s">
        <v>593</v>
      </c>
      <c r="I116" t="s">
        <v>594</v>
      </c>
      <c r="K116">
        <v>200000000</v>
      </c>
      <c r="L116" s="4">
        <v>46904</v>
      </c>
      <c r="M116" s="6">
        <v>7.7499999999999999E-2</v>
      </c>
      <c r="N116">
        <v>100</v>
      </c>
      <c r="O116">
        <v>4</v>
      </c>
      <c r="P116" s="5">
        <f t="shared" si="1"/>
        <v>7.7480460364837689E-2</v>
      </c>
      <c r="Q116" t="str">
        <f t="array" ref="Q116:R116">VLOOKUP(A116,$X$3:$AA$330,{3,4},0)</f>
        <v>Indemnity</v>
      </c>
      <c r="R116" t="str">
        <v>Per Occurrence</v>
      </c>
      <c r="X116" t="s">
        <v>148</v>
      </c>
      <c r="Y116">
        <v>106</v>
      </c>
      <c r="Z116" t="s">
        <v>387</v>
      </c>
      <c r="AA116" t="s">
        <v>388</v>
      </c>
    </row>
    <row r="117" spans="1:27">
      <c r="A117" t="s">
        <v>177</v>
      </c>
      <c r="B117">
        <v>135</v>
      </c>
      <c r="C117">
        <v>135</v>
      </c>
      <c r="D117" s="4" t="s">
        <v>595</v>
      </c>
      <c r="E117" s="4">
        <v>45067</v>
      </c>
      <c r="F117" s="4">
        <v>46173</v>
      </c>
      <c r="G117">
        <v>115000000</v>
      </c>
      <c r="H117" t="s">
        <v>593</v>
      </c>
      <c r="I117" t="s">
        <v>570</v>
      </c>
      <c r="J117">
        <v>0</v>
      </c>
      <c r="K117">
        <v>115000000</v>
      </c>
      <c r="L117" s="4">
        <v>46173</v>
      </c>
      <c r="M117" s="6">
        <v>8.7099999999999997E-2</v>
      </c>
      <c r="N117">
        <v>101.25</v>
      </c>
      <c r="O117">
        <v>4</v>
      </c>
      <c r="P117" s="5">
        <f t="shared" si="1"/>
        <v>4.8974329882062947E-2</v>
      </c>
      <c r="Q117" t="str">
        <f t="array" ref="Q117:R117">VLOOKUP(A117,$X$3:$AA$330,{3,4},0)</f>
        <v>Indemnity</v>
      </c>
      <c r="R117" t="str">
        <v>Per Occurrence</v>
      </c>
      <c r="X117" t="s">
        <v>149</v>
      </c>
      <c r="Y117">
        <v>107</v>
      </c>
      <c r="Z117" t="s">
        <v>387</v>
      </c>
      <c r="AA117" t="s">
        <v>388</v>
      </c>
    </row>
    <row r="118" spans="1:27">
      <c r="A118" t="s">
        <v>178</v>
      </c>
      <c r="B118">
        <v>136</v>
      </c>
      <c r="C118">
        <v>136</v>
      </c>
      <c r="D118" s="4" t="s">
        <v>596</v>
      </c>
      <c r="E118" s="4">
        <v>45444</v>
      </c>
      <c r="F118" s="4">
        <v>46538</v>
      </c>
      <c r="G118">
        <v>50000000</v>
      </c>
      <c r="H118" t="s">
        <v>593</v>
      </c>
      <c r="I118" t="s">
        <v>594</v>
      </c>
      <c r="K118">
        <v>100000000</v>
      </c>
      <c r="L118" s="4">
        <v>46538</v>
      </c>
      <c r="M118" s="6">
        <v>9.1899999999999996E-2</v>
      </c>
      <c r="N118">
        <v>104.2</v>
      </c>
      <c r="O118">
        <v>4</v>
      </c>
      <c r="P118" s="5">
        <f t="shared" si="1"/>
        <v>5.8886692852262092E-2</v>
      </c>
      <c r="Q118" t="str">
        <f t="array" ref="Q118:R118">VLOOKUP(A118,$X$3:$AA$330,{3,4},0)</f>
        <v>Indemnity</v>
      </c>
      <c r="R118" t="str">
        <v>Per Occurrence</v>
      </c>
      <c r="X118" t="s">
        <v>150</v>
      </c>
      <c r="Y118">
        <v>108</v>
      </c>
      <c r="Z118" t="s">
        <v>387</v>
      </c>
      <c r="AA118" t="s">
        <v>388</v>
      </c>
    </row>
    <row r="119" spans="1:27">
      <c r="A119" t="s">
        <v>179</v>
      </c>
      <c r="B119">
        <v>137</v>
      </c>
      <c r="C119">
        <v>137</v>
      </c>
      <c r="D119" s="4" t="s">
        <v>597</v>
      </c>
      <c r="E119" s="4">
        <v>45444</v>
      </c>
      <c r="F119" s="4">
        <v>46538</v>
      </c>
      <c r="G119">
        <v>50000000</v>
      </c>
      <c r="H119" t="s">
        <v>593</v>
      </c>
      <c r="I119" t="s">
        <v>594</v>
      </c>
      <c r="K119">
        <v>140000000</v>
      </c>
      <c r="L119" s="4">
        <v>46538</v>
      </c>
      <c r="M119" s="6">
        <v>0.10440000000000001</v>
      </c>
      <c r="N119">
        <v>103.15</v>
      </c>
      <c r="O119">
        <v>4</v>
      </c>
      <c r="P119" s="5">
        <f t="shared" si="1"/>
        <v>7.9226804476040899E-2</v>
      </c>
      <c r="Q119" t="str">
        <f t="array" ref="Q119:R119">VLOOKUP(A119,$X$3:$AA$330,{3,4},0)</f>
        <v>Indemnity</v>
      </c>
      <c r="R119" t="str">
        <v>Per Occurrence</v>
      </c>
      <c r="X119" t="s">
        <v>151</v>
      </c>
      <c r="Y119">
        <v>109</v>
      </c>
      <c r="Z119" t="s">
        <v>387</v>
      </c>
      <c r="AA119" t="s">
        <v>388</v>
      </c>
    </row>
    <row r="120" spans="1:27">
      <c r="A120" t="s">
        <v>180</v>
      </c>
      <c r="B120">
        <v>138</v>
      </c>
      <c r="C120">
        <v>138</v>
      </c>
      <c r="D120" s="4" t="s">
        <v>598</v>
      </c>
      <c r="E120" s="4">
        <v>45292</v>
      </c>
      <c r="F120" s="4">
        <v>46387</v>
      </c>
      <c r="G120">
        <v>200000000</v>
      </c>
      <c r="H120" t="s">
        <v>599</v>
      </c>
      <c r="I120" t="s">
        <v>408</v>
      </c>
      <c r="J120">
        <v>0</v>
      </c>
      <c r="K120">
        <v>600000000</v>
      </c>
      <c r="L120" s="4">
        <v>46387</v>
      </c>
      <c r="M120" s="6">
        <v>5.2499999999999998E-2</v>
      </c>
      <c r="N120">
        <v>102.35</v>
      </c>
      <c r="O120">
        <v>4</v>
      </c>
      <c r="P120" s="5">
        <f t="shared" si="1"/>
        <v>2.645619075946537E-2</v>
      </c>
      <c r="Q120" t="str">
        <f t="array" ref="Q120:R120">VLOOKUP(A120,$X$3:$AA$330,{3,4},0)</f>
        <v>Indemnity</v>
      </c>
      <c r="R120" t="str">
        <v>Per Occurrence</v>
      </c>
      <c r="X120" t="s">
        <v>152</v>
      </c>
      <c r="Y120">
        <v>110</v>
      </c>
      <c r="Z120" t="s">
        <v>387</v>
      </c>
      <c r="AA120" t="s">
        <v>388</v>
      </c>
    </row>
    <row r="121" spans="1:27">
      <c r="A121" t="s">
        <v>181</v>
      </c>
      <c r="B121">
        <v>139</v>
      </c>
      <c r="C121">
        <v>139</v>
      </c>
      <c r="D121" s="4" t="s">
        <v>600</v>
      </c>
      <c r="E121" s="4">
        <v>45292</v>
      </c>
      <c r="F121" s="4">
        <v>46387</v>
      </c>
      <c r="G121">
        <v>200000000</v>
      </c>
      <c r="H121" t="s">
        <v>599</v>
      </c>
      <c r="I121" t="s">
        <v>408</v>
      </c>
      <c r="J121">
        <v>0</v>
      </c>
      <c r="K121">
        <v>500000000</v>
      </c>
      <c r="L121" s="4">
        <v>46387</v>
      </c>
      <c r="M121" s="6">
        <v>7.9899999999999999E-2</v>
      </c>
      <c r="N121">
        <v>105.6</v>
      </c>
      <c r="O121">
        <v>4</v>
      </c>
      <c r="P121" s="5">
        <f t="shared" si="1"/>
        <v>1.8149917588217351E-2</v>
      </c>
      <c r="Q121" t="str">
        <f t="array" ref="Q121:R121">VLOOKUP(A121,$X$3:$AA$330,{3,4},0)</f>
        <v>Indemnity</v>
      </c>
      <c r="R121" t="str">
        <v>Per Occurrence</v>
      </c>
      <c r="X121" t="s">
        <v>153</v>
      </c>
      <c r="Y121">
        <v>111</v>
      </c>
      <c r="Z121" t="s">
        <v>387</v>
      </c>
      <c r="AA121" t="s">
        <v>388</v>
      </c>
    </row>
    <row r="122" spans="1:27">
      <c r="A122" t="s">
        <v>182</v>
      </c>
      <c r="B122">
        <v>140</v>
      </c>
      <c r="C122">
        <v>140</v>
      </c>
      <c r="D122" s="4" t="s">
        <v>601</v>
      </c>
      <c r="E122" s="4">
        <v>45647</v>
      </c>
      <c r="F122" s="4">
        <v>46752</v>
      </c>
      <c r="G122">
        <v>200000000</v>
      </c>
      <c r="H122" t="s">
        <v>544</v>
      </c>
      <c r="I122" t="s">
        <v>399</v>
      </c>
      <c r="K122">
        <v>200000000</v>
      </c>
      <c r="L122" s="4">
        <v>46752</v>
      </c>
      <c r="M122" s="6">
        <v>8.5000000000000006E-2</v>
      </c>
      <c r="N122">
        <v>103</v>
      </c>
      <c r="O122">
        <v>4</v>
      </c>
      <c r="P122" s="5">
        <f t="shared" si="1"/>
        <v>6.8148229772400745E-2</v>
      </c>
      <c r="Q122" t="str">
        <f t="array" ref="Q122:R122">VLOOKUP(A122,$X$3:$AA$330,{3,4},0)</f>
        <v>Indemnity</v>
      </c>
      <c r="R122" t="str">
        <v>Per Occurrence</v>
      </c>
      <c r="X122" t="s">
        <v>154</v>
      </c>
      <c r="Y122">
        <v>112</v>
      </c>
      <c r="Z122" t="s">
        <v>387</v>
      </c>
      <c r="AA122" t="s">
        <v>388</v>
      </c>
    </row>
    <row r="123" spans="1:27">
      <c r="A123" t="s">
        <v>183</v>
      </c>
      <c r="B123">
        <v>141</v>
      </c>
      <c r="C123">
        <v>141</v>
      </c>
      <c r="D123" s="4" t="s">
        <v>602</v>
      </c>
      <c r="E123" s="4">
        <v>45720</v>
      </c>
      <c r="F123" s="4">
        <v>46815</v>
      </c>
      <c r="G123">
        <v>600000000</v>
      </c>
      <c r="H123" t="s">
        <v>407</v>
      </c>
      <c r="I123" t="s">
        <v>408</v>
      </c>
      <c r="J123">
        <v>0</v>
      </c>
      <c r="K123">
        <v>600000000</v>
      </c>
      <c r="L123" s="4">
        <v>46815</v>
      </c>
      <c r="M123" s="6">
        <v>6.9000000000000006E-2</v>
      </c>
      <c r="N123">
        <v>102.9</v>
      </c>
      <c r="O123">
        <v>4</v>
      </c>
      <c r="P123" s="5">
        <f t="shared" si="1"/>
        <v>5.4208834905678391E-2</v>
      </c>
      <c r="Q123" t="str">
        <f t="array" ref="Q123:R123">VLOOKUP(A123,$X$3:$AA$330,{3,4},0)</f>
        <v>Indemnity</v>
      </c>
      <c r="R123" t="str">
        <v>Annual Aggregate</v>
      </c>
      <c r="X123" t="s">
        <v>155</v>
      </c>
      <c r="Y123">
        <v>113</v>
      </c>
      <c r="Z123" t="s">
        <v>387</v>
      </c>
      <c r="AA123" t="s">
        <v>388</v>
      </c>
    </row>
    <row r="124" spans="1:27">
      <c r="A124" t="s">
        <v>185</v>
      </c>
      <c r="B124">
        <v>143</v>
      </c>
      <c r="C124">
        <v>143</v>
      </c>
      <c r="D124" s="4" t="s">
        <v>603</v>
      </c>
      <c r="E124" s="4">
        <v>45065</v>
      </c>
      <c r="F124" s="4">
        <v>46160</v>
      </c>
      <c r="G124">
        <v>75000000</v>
      </c>
      <c r="H124" t="s">
        <v>604</v>
      </c>
      <c r="I124" t="s">
        <v>605</v>
      </c>
      <c r="J124">
        <v>0</v>
      </c>
      <c r="K124">
        <v>310000000</v>
      </c>
      <c r="L124" s="4">
        <v>46160</v>
      </c>
      <c r="M124" s="6">
        <v>0.19700000000000001</v>
      </c>
      <c r="N124">
        <v>99.000846999999993</v>
      </c>
      <c r="O124">
        <v>4</v>
      </c>
      <c r="P124" s="5">
        <f t="shared" si="1"/>
        <v>0.23198838124419244</v>
      </c>
      <c r="Q124" t="str">
        <f t="array" ref="Q124:R124">VLOOKUP(A124,$X$3:$AA$330,{3,4},0)</f>
        <v>Indemnity</v>
      </c>
      <c r="R124" t="str">
        <v>Per Occurrence</v>
      </c>
      <c r="X124" t="s">
        <v>156</v>
      </c>
      <c r="Y124">
        <v>114</v>
      </c>
      <c r="Z124" t="s">
        <v>382</v>
      </c>
      <c r="AA124" t="s">
        <v>383</v>
      </c>
    </row>
    <row r="125" spans="1:27">
      <c r="A125" t="s">
        <v>186</v>
      </c>
      <c r="B125">
        <v>144</v>
      </c>
      <c r="C125">
        <v>144</v>
      </c>
      <c r="D125" s="4" t="s">
        <v>606</v>
      </c>
      <c r="E125" s="4">
        <v>45809</v>
      </c>
      <c r="F125" s="4">
        <v>46904</v>
      </c>
      <c r="G125">
        <v>125000000</v>
      </c>
      <c r="H125" t="s">
        <v>607</v>
      </c>
      <c r="I125" t="s">
        <v>608</v>
      </c>
      <c r="K125">
        <v>257000000</v>
      </c>
      <c r="L125" s="4">
        <v>46904</v>
      </c>
      <c r="M125" s="6">
        <v>7.2499999999999995E-2</v>
      </c>
      <c r="N125">
        <v>99.014825999999999</v>
      </c>
      <c r="O125">
        <v>4</v>
      </c>
      <c r="P125" s="5">
        <f t="shared" si="1"/>
        <v>7.7135808409574749E-2</v>
      </c>
      <c r="Q125" t="str">
        <f t="array" ref="Q125:R125">VLOOKUP(A125,$X$3:$AA$330,{3,4},0)</f>
        <v>Indemnity</v>
      </c>
      <c r="R125" t="str">
        <v>Per Occurrence</v>
      </c>
      <c r="X125" t="s">
        <v>157</v>
      </c>
      <c r="Y125">
        <v>115</v>
      </c>
      <c r="Z125" t="s">
        <v>511</v>
      </c>
      <c r="AA125" t="s">
        <v>388</v>
      </c>
    </row>
    <row r="126" spans="1:27">
      <c r="A126" t="s">
        <v>187</v>
      </c>
      <c r="B126">
        <v>145</v>
      </c>
      <c r="C126">
        <v>145</v>
      </c>
      <c r="D126" s="4" t="s">
        <v>609</v>
      </c>
      <c r="E126" s="4">
        <v>45809</v>
      </c>
      <c r="F126" s="4">
        <v>46904</v>
      </c>
      <c r="G126">
        <v>125000000</v>
      </c>
      <c r="H126" t="s">
        <v>607</v>
      </c>
      <c r="I126" t="s">
        <v>608</v>
      </c>
      <c r="K126">
        <v>250000000</v>
      </c>
      <c r="L126" s="4">
        <v>46904</v>
      </c>
      <c r="M126" s="6">
        <v>7.7499999999999999E-2</v>
      </c>
      <c r="N126">
        <v>98.982583000000005</v>
      </c>
      <c r="O126">
        <v>4</v>
      </c>
      <c r="P126" s="5">
        <f t="shared" si="1"/>
        <v>8.2316210634690593E-2</v>
      </c>
      <c r="Q126" t="str">
        <f t="array" ref="Q126:R126">VLOOKUP(A126,$X$3:$AA$330,{3,4},0)</f>
        <v>Indemnity</v>
      </c>
      <c r="R126" t="str">
        <v>Per Occurrence</v>
      </c>
      <c r="X126" t="s">
        <v>158</v>
      </c>
      <c r="Y126">
        <v>116</v>
      </c>
      <c r="Z126" t="s">
        <v>511</v>
      </c>
      <c r="AA126" t="s">
        <v>388</v>
      </c>
    </row>
    <row r="127" spans="1:27">
      <c r="A127" t="s">
        <v>188</v>
      </c>
      <c r="B127">
        <v>146</v>
      </c>
      <c r="C127">
        <v>146</v>
      </c>
      <c r="D127" s="4" t="s">
        <v>610</v>
      </c>
      <c r="E127" s="4">
        <v>45444</v>
      </c>
      <c r="F127" s="4">
        <v>46538</v>
      </c>
      <c r="G127">
        <v>210000000</v>
      </c>
      <c r="H127" t="s">
        <v>607</v>
      </c>
      <c r="I127" t="s">
        <v>608</v>
      </c>
      <c r="K127">
        <v>300000000</v>
      </c>
      <c r="L127" s="4">
        <v>46538</v>
      </c>
      <c r="M127" s="6">
        <v>9.1259999999999994E-2</v>
      </c>
      <c r="N127">
        <v>98.985917000000001</v>
      </c>
      <c r="O127">
        <v>4</v>
      </c>
      <c r="P127" s="5">
        <f t="shared" si="1"/>
        <v>9.9424393175821954E-2</v>
      </c>
      <c r="Q127" t="str">
        <f t="array" ref="Q127:R127">VLOOKUP(A127,$X$3:$AA$330,{3,4},0)</f>
        <v>Indemnity</v>
      </c>
      <c r="R127" t="str">
        <v>Per Occurrence</v>
      </c>
      <c r="X127" t="s">
        <v>159</v>
      </c>
      <c r="Y127">
        <v>117</v>
      </c>
      <c r="Z127" t="s">
        <v>511</v>
      </c>
      <c r="AA127" t="s">
        <v>388</v>
      </c>
    </row>
    <row r="128" spans="1:27">
      <c r="A128" t="s">
        <v>189</v>
      </c>
      <c r="B128">
        <v>147</v>
      </c>
      <c r="C128">
        <v>147</v>
      </c>
      <c r="D128" s="4" t="s">
        <v>611</v>
      </c>
      <c r="E128" s="4">
        <v>45113</v>
      </c>
      <c r="F128" s="4">
        <v>46173</v>
      </c>
      <c r="G128">
        <v>100000000</v>
      </c>
      <c r="H128" t="s">
        <v>607</v>
      </c>
      <c r="I128" t="s">
        <v>608</v>
      </c>
      <c r="K128">
        <v>100000000</v>
      </c>
      <c r="L128" s="4">
        <v>46173</v>
      </c>
      <c r="M128" s="6">
        <v>0.10580000000000001</v>
      </c>
      <c r="N128">
        <v>99.259749999999997</v>
      </c>
      <c r="O128">
        <v>4</v>
      </c>
      <c r="P128" s="5">
        <f t="shared" si="1"/>
        <v>0.1285517470115507</v>
      </c>
      <c r="Q128" t="str">
        <f t="array" ref="Q128:R128">VLOOKUP(A128,$X$3:$AA$330,{3,4},0)</f>
        <v>Indemnity</v>
      </c>
      <c r="R128" t="str">
        <v>Per Occurrence</v>
      </c>
      <c r="X128" t="s">
        <v>160</v>
      </c>
      <c r="Y128">
        <v>118</v>
      </c>
      <c r="Z128" t="s">
        <v>511</v>
      </c>
      <c r="AA128" t="s">
        <v>388</v>
      </c>
    </row>
    <row r="129" spans="1:27">
      <c r="A129" t="s">
        <v>190</v>
      </c>
      <c r="B129">
        <v>148</v>
      </c>
      <c r="C129">
        <v>148</v>
      </c>
      <c r="D129" s="4" t="s">
        <v>612</v>
      </c>
      <c r="E129" s="4">
        <v>45034</v>
      </c>
      <c r="F129" s="4">
        <v>46129</v>
      </c>
      <c r="G129">
        <v>100000000</v>
      </c>
      <c r="H129" t="s">
        <v>607</v>
      </c>
      <c r="I129" t="s">
        <v>608</v>
      </c>
      <c r="J129">
        <v>0</v>
      </c>
      <c r="K129">
        <v>100000000</v>
      </c>
      <c r="L129" s="4">
        <v>46129</v>
      </c>
      <c r="M129" s="6">
        <v>0.13009999999999999</v>
      </c>
      <c r="N129">
        <v>99.597986000000006</v>
      </c>
      <c r="O129">
        <v>4</v>
      </c>
      <c r="P129" s="5">
        <f t="shared" si="1"/>
        <v>0.14705301649703406</v>
      </c>
      <c r="Q129" t="str">
        <f t="array" ref="Q129:R129">VLOOKUP(A129,$X$3:$AA$330,{3,4},0)</f>
        <v>Indemnity</v>
      </c>
      <c r="R129" t="str">
        <v>Per Occurrence</v>
      </c>
      <c r="X129" t="s">
        <v>161</v>
      </c>
      <c r="Y129">
        <v>119</v>
      </c>
      <c r="Z129" t="s">
        <v>382</v>
      </c>
      <c r="AA129" t="s">
        <v>388</v>
      </c>
    </row>
    <row r="130" spans="1:27">
      <c r="A130" t="s">
        <v>191</v>
      </c>
      <c r="B130">
        <v>149</v>
      </c>
      <c r="C130">
        <v>149</v>
      </c>
      <c r="D130" s="4" t="s">
        <v>613</v>
      </c>
      <c r="E130" s="4">
        <v>45041</v>
      </c>
      <c r="F130" s="4">
        <v>46867</v>
      </c>
      <c r="G130">
        <v>75000000</v>
      </c>
      <c r="H130" t="s">
        <v>614</v>
      </c>
      <c r="I130" t="s">
        <v>615</v>
      </c>
      <c r="J130">
        <v>0</v>
      </c>
      <c r="K130">
        <v>75000000</v>
      </c>
      <c r="L130" s="4">
        <v>46867</v>
      </c>
      <c r="M130" s="6">
        <v>2.5000000000000001E-2</v>
      </c>
      <c r="N130">
        <v>99.601875000000007</v>
      </c>
      <c r="O130">
        <v>4</v>
      </c>
      <c r="P130" s="5">
        <f t="shared" si="1"/>
        <v>2.684412568083247E-2</v>
      </c>
      <c r="Q130" t="str">
        <f t="array" ref="Q130:R130">VLOOKUP(A130,$X$3:$AA$330,{3,4},0)</f>
        <v>Indemnity</v>
      </c>
      <c r="R130" t="str">
        <v>Annual Aggregate</v>
      </c>
      <c r="X130" t="s">
        <v>162</v>
      </c>
      <c r="Y130">
        <v>120</v>
      </c>
      <c r="Z130" t="s">
        <v>382</v>
      </c>
      <c r="AA130" t="s">
        <v>388</v>
      </c>
    </row>
    <row r="131" spans="1:27">
      <c r="A131" t="s">
        <v>192</v>
      </c>
      <c r="B131">
        <v>150</v>
      </c>
      <c r="C131">
        <v>150</v>
      </c>
      <c r="D131" s="4" t="s">
        <v>616</v>
      </c>
      <c r="E131" s="4">
        <v>45041</v>
      </c>
      <c r="F131" s="4">
        <v>46867</v>
      </c>
      <c r="G131">
        <v>150000000</v>
      </c>
      <c r="H131" t="s">
        <v>614</v>
      </c>
      <c r="I131" t="s">
        <v>615</v>
      </c>
      <c r="J131">
        <v>0</v>
      </c>
      <c r="K131">
        <v>150000000</v>
      </c>
      <c r="L131" s="4">
        <v>46867</v>
      </c>
      <c r="M131" s="6">
        <v>0.04</v>
      </c>
      <c r="N131">
        <v>98.938749999999999</v>
      </c>
      <c r="O131">
        <v>4</v>
      </c>
      <c r="P131" s="5">
        <f t="shared" ref="P131:P194" si="2">YIELD($O$1,L131,M131,N131,$P$1,O131)</f>
        <v>4.5025505031463686E-2</v>
      </c>
      <c r="Q131" t="str">
        <f t="array" ref="Q131:R131">VLOOKUP(A131,$X$3:$AA$330,{3,4},0)</f>
        <v>Indemnity</v>
      </c>
      <c r="R131" t="str">
        <v>Annual Aggregate</v>
      </c>
      <c r="X131" t="s">
        <v>163</v>
      </c>
      <c r="Y131">
        <v>121</v>
      </c>
      <c r="Z131" t="s">
        <v>382</v>
      </c>
      <c r="AA131" t="s">
        <v>617</v>
      </c>
    </row>
    <row r="132" spans="1:27">
      <c r="A132" t="s">
        <v>193</v>
      </c>
      <c r="B132">
        <v>151</v>
      </c>
      <c r="C132">
        <v>151</v>
      </c>
      <c r="D132" s="4" t="s">
        <v>618</v>
      </c>
      <c r="E132" s="4">
        <v>45771</v>
      </c>
      <c r="F132" s="4">
        <v>46843</v>
      </c>
      <c r="G132">
        <v>150000000</v>
      </c>
      <c r="H132" t="s">
        <v>619</v>
      </c>
      <c r="I132" t="s">
        <v>615</v>
      </c>
      <c r="J132">
        <v>0</v>
      </c>
      <c r="K132">
        <v>150000000</v>
      </c>
      <c r="L132" s="4">
        <v>46843</v>
      </c>
      <c r="M132" s="6">
        <v>2.35E-2</v>
      </c>
      <c r="N132">
        <v>98.933278000000001</v>
      </c>
      <c r="O132">
        <v>4</v>
      </c>
      <c r="P132" s="5">
        <f t="shared" si="2"/>
        <v>2.8592759520935249E-2</v>
      </c>
      <c r="Q132" t="str">
        <f t="array" ref="Q132:R132">VLOOKUP(A132,$X$3:$AA$330,{3,4},0)</f>
        <v>Indemnity</v>
      </c>
      <c r="R132" t="str">
        <v>Term Aggregate (Three-Year)</v>
      </c>
      <c r="X132" t="s">
        <v>164</v>
      </c>
      <c r="Y132">
        <v>122</v>
      </c>
      <c r="Z132" t="s">
        <v>387</v>
      </c>
      <c r="AA132" t="s">
        <v>388</v>
      </c>
    </row>
    <row r="133" spans="1:27">
      <c r="A133" t="s">
        <v>194</v>
      </c>
      <c r="B133">
        <v>152</v>
      </c>
      <c r="C133">
        <v>152</v>
      </c>
      <c r="D133" s="4" t="s">
        <v>620</v>
      </c>
      <c r="E133" s="4">
        <v>45764</v>
      </c>
      <c r="F133" s="4">
        <v>46858</v>
      </c>
      <c r="G133">
        <v>100000000</v>
      </c>
      <c r="H133" t="s">
        <v>619</v>
      </c>
      <c r="I133" t="s">
        <v>615</v>
      </c>
      <c r="J133">
        <v>0</v>
      </c>
      <c r="K133">
        <v>100000000</v>
      </c>
      <c r="L133" s="4">
        <v>46858</v>
      </c>
      <c r="M133" s="6">
        <v>2.1000000000000001E-2</v>
      </c>
      <c r="N133">
        <v>98.908541999999997</v>
      </c>
      <c r="O133">
        <v>4</v>
      </c>
      <c r="P133" s="5">
        <f t="shared" si="2"/>
        <v>2.6107479573747566E-2</v>
      </c>
      <c r="Q133" t="str">
        <f t="array" ref="Q133:R133">VLOOKUP(A133,$X$3:$AA$330,{3,4},0)</f>
        <v>Indemnity</v>
      </c>
      <c r="R133" t="str">
        <v>Term Aggregate (Three-Year)</v>
      </c>
      <c r="X133" t="s">
        <v>165</v>
      </c>
      <c r="Y133">
        <v>123</v>
      </c>
      <c r="Z133" t="s">
        <v>387</v>
      </c>
      <c r="AA133" t="s">
        <v>383</v>
      </c>
    </row>
    <row r="134" spans="1:27">
      <c r="A134" t="s">
        <v>195</v>
      </c>
      <c r="B134">
        <v>153</v>
      </c>
      <c r="C134">
        <v>153</v>
      </c>
      <c r="D134" s="4" t="s">
        <v>621</v>
      </c>
      <c r="E134" s="4">
        <v>45200</v>
      </c>
      <c r="F134" s="4">
        <v>46295</v>
      </c>
      <c r="G134">
        <v>550000000</v>
      </c>
      <c r="H134" t="s">
        <v>619</v>
      </c>
      <c r="I134" t="s">
        <v>615</v>
      </c>
      <c r="J134">
        <v>0</v>
      </c>
      <c r="K134">
        <v>550000000</v>
      </c>
      <c r="L134" s="4">
        <v>46295</v>
      </c>
      <c r="M134" s="6">
        <v>2.0500000000000001E-2</v>
      </c>
      <c r="N134">
        <v>98.920277999999996</v>
      </c>
      <c r="O134">
        <v>4</v>
      </c>
      <c r="P134" s="5">
        <f t="shared" si="2"/>
        <v>3.6962923888766062E-2</v>
      </c>
      <c r="Q134" t="str">
        <f t="array" ref="Q134:R134">VLOOKUP(A134,$X$3:$AA$330,{3,4},0)</f>
        <v>Indemnity</v>
      </c>
      <c r="R134" t="str">
        <v>Term Aggregate (Three-Year)</v>
      </c>
      <c r="X134" t="s">
        <v>166</v>
      </c>
      <c r="Y134">
        <v>124</v>
      </c>
      <c r="Z134" t="s">
        <v>461</v>
      </c>
      <c r="AA134" t="s">
        <v>461</v>
      </c>
    </row>
    <row r="135" spans="1:27">
      <c r="A135" t="s">
        <v>196</v>
      </c>
      <c r="B135">
        <v>154</v>
      </c>
      <c r="C135">
        <v>154</v>
      </c>
      <c r="D135" s="4" t="s">
        <v>622</v>
      </c>
      <c r="E135" s="4">
        <v>45200</v>
      </c>
      <c r="F135" s="4">
        <v>46295</v>
      </c>
      <c r="G135">
        <v>225000000</v>
      </c>
      <c r="H135" t="s">
        <v>619</v>
      </c>
      <c r="I135" t="s">
        <v>615</v>
      </c>
      <c r="J135">
        <v>0</v>
      </c>
      <c r="K135">
        <v>225000000</v>
      </c>
      <c r="L135" s="4">
        <v>46295</v>
      </c>
      <c r="M135" s="6">
        <v>2.75E-2</v>
      </c>
      <c r="N135">
        <v>100</v>
      </c>
      <c r="O135">
        <v>4</v>
      </c>
      <c r="P135" s="5">
        <f t="shared" si="2"/>
        <v>2.7492055532327624E-2</v>
      </c>
      <c r="Q135" t="str">
        <f t="array" ref="Q135:R135">VLOOKUP(A135,$X$3:$AA$330,{3,4},0)</f>
        <v>Indemnity</v>
      </c>
      <c r="R135" t="str">
        <v>Term Aggregate (Three-Year)</v>
      </c>
      <c r="X135" t="s">
        <v>167</v>
      </c>
      <c r="Y135">
        <v>125</v>
      </c>
      <c r="Z135" t="s">
        <v>461</v>
      </c>
      <c r="AA135" t="s">
        <v>461</v>
      </c>
    </row>
    <row r="136" spans="1:27">
      <c r="A136" t="s">
        <v>197</v>
      </c>
      <c r="B136">
        <v>155</v>
      </c>
      <c r="C136">
        <v>155</v>
      </c>
      <c r="D136" s="4" t="s">
        <v>623</v>
      </c>
      <c r="E136" s="4">
        <v>45444</v>
      </c>
      <c r="F136" s="4">
        <v>46538</v>
      </c>
      <c r="G136">
        <v>175000000</v>
      </c>
      <c r="H136" t="s">
        <v>624</v>
      </c>
      <c r="I136" t="s">
        <v>418</v>
      </c>
      <c r="K136">
        <v>300000000</v>
      </c>
      <c r="L136" s="4">
        <v>46538</v>
      </c>
      <c r="M136" s="6">
        <v>0.1222</v>
      </c>
      <c r="N136">
        <v>98.930750000000003</v>
      </c>
      <c r="O136">
        <v>4</v>
      </c>
      <c r="P136" s="5">
        <f t="shared" si="2"/>
        <v>0.13097936914888827</v>
      </c>
      <c r="Q136" t="str">
        <f t="array" ref="Q136:R136">VLOOKUP(A136,$X$3:$AA$330,{3,4},0)</f>
        <v>Industry Loss</v>
      </c>
      <c r="R136" t="str">
        <v>Annual Aggregate</v>
      </c>
      <c r="X136" t="s">
        <v>168</v>
      </c>
      <c r="Y136">
        <v>126</v>
      </c>
      <c r="Z136" t="s">
        <v>387</v>
      </c>
      <c r="AA136" t="s">
        <v>388</v>
      </c>
    </row>
    <row r="137" spans="1:27">
      <c r="A137" t="s">
        <v>200</v>
      </c>
      <c r="B137">
        <v>158</v>
      </c>
      <c r="C137">
        <v>158</v>
      </c>
      <c r="D137" s="4" t="s">
        <v>625</v>
      </c>
      <c r="E137" s="4">
        <v>45292</v>
      </c>
      <c r="F137" s="4">
        <v>46752</v>
      </c>
      <c r="G137">
        <v>120000000</v>
      </c>
      <c r="H137" t="s">
        <v>626</v>
      </c>
      <c r="I137" t="s">
        <v>627</v>
      </c>
      <c r="J137">
        <v>0</v>
      </c>
      <c r="K137">
        <v>382000000</v>
      </c>
      <c r="L137" s="4">
        <v>46752</v>
      </c>
      <c r="M137" s="6">
        <v>8.4279999999999994E-2</v>
      </c>
      <c r="N137">
        <v>99.905332999999999</v>
      </c>
      <c r="O137">
        <v>4</v>
      </c>
      <c r="P137" s="5">
        <f t="shared" si="2"/>
        <v>8.4792344700726954E-2</v>
      </c>
      <c r="Q137" t="str">
        <f t="array" ref="Q137:R137">VLOOKUP(A137,$X$3:$AA$330,{3,4},0)</f>
        <v>Indemnity</v>
      </c>
      <c r="R137" t="str">
        <v>Per Occurrence</v>
      </c>
      <c r="X137" t="s">
        <v>169</v>
      </c>
      <c r="Y137">
        <v>127</v>
      </c>
      <c r="Z137" t="s">
        <v>387</v>
      </c>
      <c r="AA137" t="s">
        <v>388</v>
      </c>
    </row>
    <row r="138" spans="1:27">
      <c r="A138" t="s">
        <v>202</v>
      </c>
      <c r="B138">
        <v>160</v>
      </c>
      <c r="C138">
        <v>160</v>
      </c>
      <c r="D138" s="4" t="s">
        <v>628</v>
      </c>
      <c r="E138" s="4">
        <v>45809</v>
      </c>
      <c r="F138" s="4">
        <v>46904</v>
      </c>
      <c r="G138">
        <v>250000000</v>
      </c>
      <c r="H138" t="s">
        <v>629</v>
      </c>
      <c r="I138" t="s">
        <v>630</v>
      </c>
      <c r="K138">
        <v>1427000000</v>
      </c>
      <c r="L138" s="4">
        <v>46904</v>
      </c>
      <c r="M138" s="6">
        <v>5.7500000000000002E-2</v>
      </c>
      <c r="N138">
        <v>99.014583000000002</v>
      </c>
      <c r="O138">
        <v>4</v>
      </c>
      <c r="P138" s="5">
        <f t="shared" si="2"/>
        <v>6.2057563886155138E-2</v>
      </c>
      <c r="Q138" t="str">
        <f t="array" ref="Q138:R138">VLOOKUP(A138,$X$3:$AA$330,{3,4},0)</f>
        <v>Indemnity</v>
      </c>
      <c r="R138" t="str">
        <v>Annual Aggregate</v>
      </c>
      <c r="X138" t="s">
        <v>170</v>
      </c>
      <c r="Y138">
        <v>128</v>
      </c>
      <c r="Z138" t="s">
        <v>387</v>
      </c>
      <c r="AA138" t="s">
        <v>388</v>
      </c>
    </row>
    <row r="139" spans="1:27">
      <c r="A139" t="s">
        <v>203</v>
      </c>
      <c r="B139">
        <v>161</v>
      </c>
      <c r="C139">
        <v>161</v>
      </c>
      <c r="D139" s="4" t="s">
        <v>631</v>
      </c>
      <c r="E139" s="4">
        <v>45809</v>
      </c>
      <c r="F139" s="4">
        <v>46904</v>
      </c>
      <c r="G139">
        <v>200000000</v>
      </c>
      <c r="H139" t="s">
        <v>629</v>
      </c>
      <c r="I139" t="s">
        <v>630</v>
      </c>
      <c r="K139">
        <v>800000000</v>
      </c>
      <c r="L139" s="4">
        <v>46904</v>
      </c>
      <c r="M139" s="6">
        <v>8.5000000000000006E-2</v>
      </c>
      <c r="N139">
        <v>99.646944000000005</v>
      </c>
      <c r="O139">
        <v>4</v>
      </c>
      <c r="P139" s="5">
        <f t="shared" si="2"/>
        <v>8.6663293918059062E-2</v>
      </c>
      <c r="Q139" t="str">
        <f t="array" ref="Q139:R139">VLOOKUP(A139,$X$3:$AA$330,{3,4},0)</f>
        <v>Indemnity</v>
      </c>
      <c r="R139" t="str">
        <v>Annual Aggregate</v>
      </c>
      <c r="X139" t="s">
        <v>171</v>
      </c>
      <c r="Y139">
        <v>129</v>
      </c>
      <c r="Z139" t="s">
        <v>387</v>
      </c>
      <c r="AA139" t="s">
        <v>383</v>
      </c>
    </row>
    <row r="140" spans="1:27">
      <c r="A140" t="s">
        <v>204</v>
      </c>
      <c r="B140">
        <v>162</v>
      </c>
      <c r="C140">
        <v>162</v>
      </c>
      <c r="D140" s="4" t="s">
        <v>632</v>
      </c>
      <c r="E140" s="4">
        <v>45809</v>
      </c>
      <c r="F140" s="4">
        <v>46904</v>
      </c>
      <c r="G140">
        <v>100000000</v>
      </c>
      <c r="H140" t="s">
        <v>629</v>
      </c>
      <c r="I140" t="s">
        <v>630</v>
      </c>
      <c r="K140">
        <v>1000000000</v>
      </c>
      <c r="L140" s="4">
        <v>46904</v>
      </c>
      <c r="M140" s="6">
        <v>0.11749999999999999</v>
      </c>
      <c r="N140">
        <v>99.648235999999997</v>
      </c>
      <c r="O140">
        <v>4</v>
      </c>
      <c r="P140" s="5">
        <f t="shared" si="2"/>
        <v>0.11920139656885841</v>
      </c>
      <c r="Q140" t="str">
        <f t="array" ref="Q140:R140">VLOOKUP(A140,$X$3:$AA$330,{3,4},0)</f>
        <v>Indemnity</v>
      </c>
      <c r="R140" t="str">
        <v>Annual Aggregate</v>
      </c>
      <c r="X140" t="s">
        <v>172</v>
      </c>
      <c r="Y140">
        <v>130</v>
      </c>
      <c r="Z140" t="s">
        <v>511</v>
      </c>
      <c r="AA140" t="s">
        <v>388</v>
      </c>
    </row>
    <row r="141" spans="1:27">
      <c r="A141" t="s">
        <v>205</v>
      </c>
      <c r="B141">
        <v>163</v>
      </c>
      <c r="C141">
        <v>163</v>
      </c>
      <c r="D141" s="4" t="s">
        <v>633</v>
      </c>
      <c r="E141" s="4">
        <v>45839</v>
      </c>
      <c r="F141" s="4">
        <v>46538</v>
      </c>
      <c r="G141">
        <v>200000000</v>
      </c>
      <c r="H141" t="s">
        <v>629</v>
      </c>
      <c r="I141" t="s">
        <v>634</v>
      </c>
      <c r="K141">
        <v>320000000</v>
      </c>
      <c r="L141" s="4">
        <v>46538</v>
      </c>
      <c r="M141" s="6">
        <v>0.12</v>
      </c>
      <c r="N141">
        <v>99.570389000000006</v>
      </c>
      <c r="O141">
        <v>4</v>
      </c>
      <c r="P141" s="5">
        <f t="shared" si="2"/>
        <v>0.12346019120861101</v>
      </c>
      <c r="Q141" t="str">
        <f t="array" ref="Q141:R141">VLOOKUP(A141,$X$3:$AA$330,{3,4},0)</f>
        <v>Indemnity</v>
      </c>
      <c r="R141" t="str">
        <v>Per Occurrence</v>
      </c>
      <c r="X141" t="s">
        <v>173</v>
      </c>
      <c r="Y141">
        <v>131</v>
      </c>
      <c r="Z141" t="s">
        <v>382</v>
      </c>
      <c r="AA141" t="s">
        <v>388</v>
      </c>
    </row>
    <row r="142" spans="1:27">
      <c r="A142" t="s">
        <v>206</v>
      </c>
      <c r="B142">
        <v>164</v>
      </c>
      <c r="C142">
        <v>164</v>
      </c>
      <c r="D142" s="4" t="s">
        <v>635</v>
      </c>
      <c r="E142" s="4">
        <v>45809</v>
      </c>
      <c r="F142" s="4">
        <v>46817</v>
      </c>
      <c r="G142">
        <v>200000000</v>
      </c>
      <c r="H142" t="s">
        <v>636</v>
      </c>
      <c r="I142" t="s">
        <v>399</v>
      </c>
      <c r="J142">
        <v>0</v>
      </c>
      <c r="K142">
        <v>200000000</v>
      </c>
      <c r="L142" s="4">
        <v>46817</v>
      </c>
      <c r="M142" s="6">
        <v>6.7500000000000004E-2</v>
      </c>
      <c r="N142">
        <v>99.498889000000005</v>
      </c>
      <c r="O142">
        <v>4</v>
      </c>
      <c r="P142" s="5">
        <f t="shared" si="2"/>
        <v>7.0075465360292258E-2</v>
      </c>
      <c r="Q142" t="str">
        <f t="array" ref="Q142:R142">VLOOKUP(A142,$X$3:$AA$330,{3,4},0)</f>
        <v>Indemnity</v>
      </c>
      <c r="R142" t="str">
        <v>Per Occurrence</v>
      </c>
      <c r="X142" t="s">
        <v>174</v>
      </c>
      <c r="Y142">
        <v>132</v>
      </c>
      <c r="Z142" t="s">
        <v>387</v>
      </c>
      <c r="AA142" t="s">
        <v>388</v>
      </c>
    </row>
    <row r="143" spans="1:27">
      <c r="A143" t="s">
        <v>207</v>
      </c>
      <c r="B143">
        <v>165</v>
      </c>
      <c r="C143">
        <v>165</v>
      </c>
      <c r="D143" s="4" t="s">
        <v>637</v>
      </c>
      <c r="E143" s="4">
        <v>45809</v>
      </c>
      <c r="F143" s="4">
        <v>46817</v>
      </c>
      <c r="G143">
        <v>100000000</v>
      </c>
      <c r="H143" t="s">
        <v>636</v>
      </c>
      <c r="I143" t="s">
        <v>399</v>
      </c>
      <c r="J143">
        <v>0</v>
      </c>
      <c r="K143">
        <v>200000000</v>
      </c>
      <c r="L143" s="4">
        <v>46817</v>
      </c>
      <c r="M143" s="6">
        <v>8.2500000000000004E-2</v>
      </c>
      <c r="N143">
        <v>99.518638999999993</v>
      </c>
      <c r="O143">
        <v>4</v>
      </c>
      <c r="P143" s="5">
        <f t="shared" si="2"/>
        <v>8.5006359585920788E-2</v>
      </c>
      <c r="Q143" t="str">
        <f t="array" ref="Q143:R143">VLOOKUP(A143,$X$3:$AA$330,{3,4},0)</f>
        <v>Indemnity</v>
      </c>
      <c r="R143" t="str">
        <v>Per Occurrence</v>
      </c>
      <c r="X143" t="s">
        <v>175</v>
      </c>
      <c r="Y143">
        <v>133</v>
      </c>
      <c r="Z143" t="s">
        <v>387</v>
      </c>
      <c r="AA143" t="s">
        <v>388</v>
      </c>
    </row>
    <row r="144" spans="1:27">
      <c r="A144" t="s">
        <v>208</v>
      </c>
      <c r="B144">
        <v>166</v>
      </c>
      <c r="C144">
        <v>166</v>
      </c>
      <c r="D144" s="4" t="s">
        <v>638</v>
      </c>
      <c r="E144" s="4">
        <v>45078</v>
      </c>
      <c r="F144" s="4">
        <v>46110</v>
      </c>
      <c r="G144">
        <v>100000000</v>
      </c>
      <c r="H144" t="s">
        <v>636</v>
      </c>
      <c r="I144" t="s">
        <v>399</v>
      </c>
      <c r="K144">
        <v>200000000</v>
      </c>
      <c r="L144" s="4">
        <v>46110</v>
      </c>
      <c r="M144" s="6">
        <v>0.1075</v>
      </c>
      <c r="N144">
        <v>99.529832999999996</v>
      </c>
      <c r="O144">
        <v>4</v>
      </c>
      <c r="P144" s="5">
        <f t="shared" si="2"/>
        <v>0.13371707465669097</v>
      </c>
      <c r="Q144" t="str">
        <f t="array" ref="Q144:R144">VLOOKUP(A144,$X$3:$AA$330,{3,4},0)</f>
        <v>Indemnity</v>
      </c>
      <c r="R144" t="str">
        <v>Per Occurrence</v>
      </c>
      <c r="X144" t="s">
        <v>176</v>
      </c>
      <c r="Y144">
        <v>134</v>
      </c>
      <c r="Z144" t="s">
        <v>387</v>
      </c>
      <c r="AA144" t="s">
        <v>388</v>
      </c>
    </row>
    <row r="145" spans="1:27">
      <c r="A145" t="s">
        <v>209</v>
      </c>
      <c r="B145">
        <v>167</v>
      </c>
      <c r="C145">
        <v>167</v>
      </c>
      <c r="D145" s="4" t="s">
        <v>639</v>
      </c>
      <c r="E145" s="4">
        <v>45836</v>
      </c>
      <c r="F145" s="4">
        <v>46931</v>
      </c>
      <c r="G145">
        <v>150000000</v>
      </c>
      <c r="H145" t="s">
        <v>640</v>
      </c>
      <c r="I145" t="s">
        <v>418</v>
      </c>
      <c r="K145">
        <v>20000000000</v>
      </c>
      <c r="L145" s="4">
        <v>46931</v>
      </c>
      <c r="M145" s="6">
        <v>8.5000000000000006E-2</v>
      </c>
      <c r="N145">
        <v>99.577250000000006</v>
      </c>
      <c r="O145">
        <v>4</v>
      </c>
      <c r="P145" s="5">
        <f t="shared" si="2"/>
        <v>8.6941566731794387E-2</v>
      </c>
      <c r="Q145" t="str">
        <f t="array" ref="Q145:R145">VLOOKUP(A145,$X$3:$AA$330,{3,4},0)</f>
        <v>Industry Loss</v>
      </c>
      <c r="R145" t="str">
        <v>Annual Aggregate</v>
      </c>
      <c r="X145" t="s">
        <v>177</v>
      </c>
      <c r="Y145">
        <v>135</v>
      </c>
      <c r="Z145" t="s">
        <v>387</v>
      </c>
      <c r="AA145" t="s">
        <v>388</v>
      </c>
    </row>
    <row r="146" spans="1:27">
      <c r="A146" t="s">
        <v>211</v>
      </c>
      <c r="B146">
        <v>169</v>
      </c>
      <c r="C146">
        <v>169</v>
      </c>
      <c r="D146" s="4" t="s">
        <v>641</v>
      </c>
      <c r="E146" s="4">
        <v>45809</v>
      </c>
      <c r="F146" s="4">
        <v>46538</v>
      </c>
      <c r="G146">
        <v>50000000</v>
      </c>
      <c r="H146" t="s">
        <v>642</v>
      </c>
      <c r="I146" t="s">
        <v>643</v>
      </c>
      <c r="J146">
        <v>0</v>
      </c>
      <c r="K146">
        <v>268800000</v>
      </c>
      <c r="L146" s="4">
        <v>46538</v>
      </c>
      <c r="M146" s="6">
        <v>0.08</v>
      </c>
      <c r="N146">
        <v>99.775000000000006</v>
      </c>
      <c r="O146">
        <v>4</v>
      </c>
      <c r="P146" s="5">
        <f t="shared" si="2"/>
        <v>8.1762346248095308E-2</v>
      </c>
      <c r="Q146" t="str">
        <f t="array" ref="Q146:R146">VLOOKUP(A146,$X$3:$AA$330,{3,4},0)</f>
        <v>Indemnity</v>
      </c>
      <c r="R146" t="str">
        <v>Per Occurrence</v>
      </c>
      <c r="X146" t="s">
        <v>178</v>
      </c>
      <c r="Y146">
        <v>136</v>
      </c>
      <c r="Z146" t="s">
        <v>387</v>
      </c>
      <c r="AA146" t="s">
        <v>388</v>
      </c>
    </row>
    <row r="147" spans="1:27">
      <c r="A147" t="s">
        <v>212</v>
      </c>
      <c r="B147">
        <v>170</v>
      </c>
      <c r="C147">
        <v>170</v>
      </c>
      <c r="D147" s="4" t="s">
        <v>644</v>
      </c>
      <c r="E147" s="4">
        <v>45809</v>
      </c>
      <c r="F147" s="4">
        <v>46538</v>
      </c>
      <c r="G147">
        <v>50000000</v>
      </c>
      <c r="H147" t="s">
        <v>642</v>
      </c>
      <c r="I147" t="s">
        <v>643</v>
      </c>
      <c r="J147">
        <v>0</v>
      </c>
      <c r="K147">
        <v>290100000</v>
      </c>
      <c r="L147" s="4">
        <v>46538</v>
      </c>
      <c r="M147" s="6">
        <v>9.7500000000000003E-2</v>
      </c>
      <c r="N147">
        <v>99.820667</v>
      </c>
      <c r="O147">
        <v>4</v>
      </c>
      <c r="P147" s="5">
        <f t="shared" si="2"/>
        <v>9.8898524669566598E-2</v>
      </c>
      <c r="Q147" t="str">
        <f t="array" ref="Q147:R147">VLOOKUP(A147,$X$3:$AA$330,{3,4},0)</f>
        <v>Indemnity</v>
      </c>
      <c r="R147" t="str">
        <v>Per Occurrence</v>
      </c>
      <c r="X147" t="s">
        <v>179</v>
      </c>
      <c r="Y147">
        <v>137</v>
      </c>
      <c r="Z147" t="s">
        <v>387</v>
      </c>
      <c r="AA147" t="s">
        <v>388</v>
      </c>
    </row>
    <row r="148" spans="1:27">
      <c r="A148" t="s">
        <v>213</v>
      </c>
      <c r="B148">
        <v>171</v>
      </c>
      <c r="C148">
        <v>171</v>
      </c>
      <c r="D148" s="4" t="s">
        <v>645</v>
      </c>
      <c r="E148" s="4">
        <v>45809</v>
      </c>
      <c r="F148" s="4">
        <v>46904</v>
      </c>
      <c r="G148">
        <v>165000000</v>
      </c>
      <c r="H148" t="s">
        <v>642</v>
      </c>
      <c r="I148" t="s">
        <v>643</v>
      </c>
      <c r="J148">
        <v>0</v>
      </c>
      <c r="K148">
        <v>285300000</v>
      </c>
      <c r="L148" s="4">
        <v>46904</v>
      </c>
      <c r="M148" s="6">
        <v>0.1225</v>
      </c>
      <c r="N148">
        <v>99.084083000000007</v>
      </c>
      <c r="O148">
        <v>4</v>
      </c>
      <c r="P148" s="5">
        <f t="shared" si="2"/>
        <v>0.12704394001897321</v>
      </c>
      <c r="Q148" t="str">
        <f t="array" ref="Q148:R148">VLOOKUP(A148,$X$3:$AA$330,{3,4},0)</f>
        <v>Indemnity</v>
      </c>
      <c r="R148" t="str">
        <v>Per Occurrence</v>
      </c>
      <c r="X148" t="s">
        <v>180</v>
      </c>
      <c r="Y148">
        <v>138</v>
      </c>
      <c r="Z148" t="s">
        <v>387</v>
      </c>
      <c r="AA148" t="s">
        <v>388</v>
      </c>
    </row>
    <row r="149" spans="1:27">
      <c r="A149" t="s">
        <v>214</v>
      </c>
      <c r="B149">
        <v>172</v>
      </c>
      <c r="C149">
        <v>172</v>
      </c>
      <c r="D149" s="4" t="s">
        <v>646</v>
      </c>
      <c r="E149" s="4">
        <v>45809</v>
      </c>
      <c r="F149" s="4">
        <v>46538</v>
      </c>
      <c r="G149">
        <v>100000000</v>
      </c>
      <c r="H149" t="s">
        <v>642</v>
      </c>
      <c r="I149" t="s">
        <v>647</v>
      </c>
      <c r="J149">
        <v>0</v>
      </c>
      <c r="K149">
        <v>163900000</v>
      </c>
      <c r="L149" s="4">
        <v>46538</v>
      </c>
      <c r="M149" s="6">
        <v>0.255</v>
      </c>
      <c r="N149">
        <v>99.747</v>
      </c>
      <c r="O149">
        <v>4</v>
      </c>
      <c r="P149" s="5">
        <f t="shared" si="2"/>
        <v>0.25689841197107205</v>
      </c>
      <c r="Q149" t="str">
        <f t="array" ref="Q149:R149">VLOOKUP(A149,$X$3:$AA$330,{3,4},0)</f>
        <v>Indemnity</v>
      </c>
      <c r="R149" t="str">
        <v>Per Occurrence</v>
      </c>
      <c r="X149" t="s">
        <v>181</v>
      </c>
      <c r="Y149">
        <v>139</v>
      </c>
      <c r="Z149" t="s">
        <v>387</v>
      </c>
      <c r="AA149" t="s">
        <v>388</v>
      </c>
    </row>
    <row r="150" spans="1:27">
      <c r="A150" t="s">
        <v>215</v>
      </c>
      <c r="B150">
        <v>173</v>
      </c>
      <c r="C150">
        <v>173</v>
      </c>
      <c r="D150" s="4" t="s">
        <v>648</v>
      </c>
      <c r="E150" s="4">
        <v>45809</v>
      </c>
      <c r="F150" s="4">
        <v>46904</v>
      </c>
      <c r="G150">
        <v>100000000</v>
      </c>
      <c r="H150" t="s">
        <v>642</v>
      </c>
      <c r="I150" t="s">
        <v>643</v>
      </c>
      <c r="J150">
        <v>0</v>
      </c>
      <c r="K150">
        <v>268800000</v>
      </c>
      <c r="L150" s="4">
        <v>46904</v>
      </c>
      <c r="M150" s="6">
        <v>0.08</v>
      </c>
      <c r="N150">
        <v>99.188056000000003</v>
      </c>
      <c r="O150">
        <v>4</v>
      </c>
      <c r="P150" s="5">
        <f t="shared" si="2"/>
        <v>8.3845487448302003E-2</v>
      </c>
      <c r="Q150" t="str">
        <f t="array" ref="Q150:R150">VLOOKUP(A150,$X$3:$AA$330,{3,4},0)</f>
        <v>Indemnity</v>
      </c>
      <c r="R150" t="str">
        <v>Per Occurrence</v>
      </c>
      <c r="X150" t="s">
        <v>182</v>
      </c>
      <c r="Y150">
        <v>140</v>
      </c>
      <c r="Z150" t="s">
        <v>387</v>
      </c>
      <c r="AA150" t="s">
        <v>388</v>
      </c>
    </row>
    <row r="151" spans="1:27">
      <c r="A151" t="s">
        <v>216</v>
      </c>
      <c r="B151">
        <v>174</v>
      </c>
      <c r="C151">
        <v>174</v>
      </c>
      <c r="D151" s="4" t="s">
        <v>649</v>
      </c>
      <c r="E151" s="4">
        <v>45809</v>
      </c>
      <c r="F151" s="4">
        <v>46904</v>
      </c>
      <c r="G151">
        <v>100000000</v>
      </c>
      <c r="H151" t="s">
        <v>642</v>
      </c>
      <c r="I151" t="s">
        <v>643</v>
      </c>
      <c r="J151">
        <v>0</v>
      </c>
      <c r="K151">
        <v>290100000</v>
      </c>
      <c r="L151" s="4">
        <v>46904</v>
      </c>
      <c r="M151" s="6">
        <v>9.7500000000000003E-2</v>
      </c>
      <c r="N151">
        <v>100</v>
      </c>
      <c r="O151">
        <v>4</v>
      </c>
      <c r="P151" s="5">
        <f t="shared" si="2"/>
        <v>9.7468378350318907E-2</v>
      </c>
      <c r="Q151" t="str">
        <f t="array" ref="Q151:R151">VLOOKUP(A151,$X$3:$AA$330,{3,4},0)</f>
        <v>Indemnity</v>
      </c>
      <c r="R151" t="str">
        <v>Per Occurrence</v>
      </c>
      <c r="X151" t="s">
        <v>183</v>
      </c>
      <c r="Y151">
        <v>141</v>
      </c>
      <c r="Z151" t="s">
        <v>387</v>
      </c>
      <c r="AA151" t="s">
        <v>383</v>
      </c>
    </row>
    <row r="152" spans="1:27">
      <c r="A152" t="s">
        <v>217</v>
      </c>
      <c r="B152">
        <v>175</v>
      </c>
      <c r="C152">
        <v>175</v>
      </c>
      <c r="D152" s="4" t="s">
        <v>650</v>
      </c>
      <c r="E152" s="4">
        <v>45444</v>
      </c>
      <c r="F152" s="4">
        <v>46173</v>
      </c>
      <c r="G152">
        <v>120000000</v>
      </c>
      <c r="H152" t="s">
        <v>651</v>
      </c>
      <c r="I152" t="s">
        <v>647</v>
      </c>
      <c r="J152">
        <v>60000000</v>
      </c>
      <c r="K152">
        <v>120000000</v>
      </c>
      <c r="L152" s="4">
        <v>46173</v>
      </c>
      <c r="M152" s="6">
        <v>0.10553999999999999</v>
      </c>
      <c r="N152">
        <v>99.893056000000001</v>
      </c>
      <c r="O152">
        <v>4</v>
      </c>
      <c r="P152" s="5">
        <f t="shared" si="2"/>
        <v>0.10860665330724277</v>
      </c>
      <c r="Q152" t="str">
        <f t="array" ref="Q152:R152">VLOOKUP(A152,$X$3:$AA$330,{3,4},0)</f>
        <v>Indemnity</v>
      </c>
      <c r="R152" t="str">
        <v>Annual Aggregate</v>
      </c>
      <c r="X152" t="s">
        <v>184</v>
      </c>
      <c r="Y152">
        <v>142</v>
      </c>
      <c r="Z152" t="s">
        <v>387</v>
      </c>
      <c r="AA152" t="s">
        <v>388</v>
      </c>
    </row>
    <row r="153" spans="1:27">
      <c r="A153" t="s">
        <v>218</v>
      </c>
      <c r="B153">
        <v>176</v>
      </c>
      <c r="C153">
        <v>176</v>
      </c>
      <c r="D153" s="4" t="s">
        <v>652</v>
      </c>
      <c r="E153" s="4">
        <v>45444</v>
      </c>
      <c r="F153" s="4">
        <v>46173</v>
      </c>
      <c r="G153">
        <v>50000000</v>
      </c>
      <c r="H153" t="s">
        <v>651</v>
      </c>
      <c r="I153" t="s">
        <v>647</v>
      </c>
      <c r="J153">
        <v>0</v>
      </c>
      <c r="K153">
        <v>110200000</v>
      </c>
      <c r="L153" s="4">
        <v>46173</v>
      </c>
      <c r="M153" s="6">
        <v>0.13322000000000001</v>
      </c>
      <c r="N153">
        <v>99.232485999999994</v>
      </c>
      <c r="O153">
        <v>4</v>
      </c>
      <c r="P153" s="5">
        <f t="shared" si="2"/>
        <v>0.15685352500588448</v>
      </c>
      <c r="Q153" t="str">
        <f t="array" ref="Q153:R153">VLOOKUP(A153,$X$3:$AA$330,{3,4},0)</f>
        <v>Indemnity</v>
      </c>
      <c r="R153" t="str">
        <v>Per Occurrence</v>
      </c>
      <c r="X153" t="s">
        <v>185</v>
      </c>
      <c r="Y153">
        <v>143</v>
      </c>
      <c r="Z153" t="s">
        <v>387</v>
      </c>
      <c r="AA153" t="s">
        <v>388</v>
      </c>
    </row>
    <row r="154" spans="1:27">
      <c r="A154" t="s">
        <v>219</v>
      </c>
      <c r="B154">
        <v>177</v>
      </c>
      <c r="C154">
        <v>177</v>
      </c>
      <c r="D154" s="4" t="s">
        <v>653</v>
      </c>
      <c r="E154" s="4">
        <v>45444</v>
      </c>
      <c r="F154" s="4">
        <v>46173</v>
      </c>
      <c r="G154">
        <v>60000000</v>
      </c>
      <c r="H154" t="s">
        <v>651</v>
      </c>
      <c r="I154" t="s">
        <v>647</v>
      </c>
      <c r="J154">
        <v>0</v>
      </c>
      <c r="K154">
        <v>138700000</v>
      </c>
      <c r="L154" s="4">
        <v>46173</v>
      </c>
      <c r="M154" s="6">
        <v>0.17233999999999999</v>
      </c>
      <c r="N154">
        <v>99.245000000000005</v>
      </c>
      <c r="O154">
        <v>4</v>
      </c>
      <c r="P154" s="5">
        <f t="shared" si="2"/>
        <v>0.19555872693713849</v>
      </c>
      <c r="Q154" t="str">
        <f t="array" ref="Q154:R154">VLOOKUP(A154,$X$3:$AA$330,{3,4},0)</f>
        <v>Indemnity</v>
      </c>
      <c r="R154" t="str">
        <v>Per Occurrence</v>
      </c>
      <c r="X154" t="s">
        <v>186</v>
      </c>
      <c r="Y154">
        <v>144</v>
      </c>
      <c r="Z154" t="s">
        <v>387</v>
      </c>
      <c r="AA154" t="s">
        <v>388</v>
      </c>
    </row>
    <row r="155" spans="1:27">
      <c r="A155" t="s">
        <v>220</v>
      </c>
      <c r="B155">
        <v>178</v>
      </c>
      <c r="C155">
        <v>178</v>
      </c>
      <c r="D155" s="4" t="s">
        <v>654</v>
      </c>
      <c r="E155" s="4">
        <v>45444</v>
      </c>
      <c r="F155" s="4">
        <v>46173</v>
      </c>
      <c r="G155">
        <v>75000000</v>
      </c>
      <c r="H155" t="s">
        <v>651</v>
      </c>
      <c r="I155" t="s">
        <v>647</v>
      </c>
      <c r="J155">
        <v>0</v>
      </c>
      <c r="K155">
        <v>192400000</v>
      </c>
      <c r="L155" s="4">
        <v>46173</v>
      </c>
      <c r="M155" s="6">
        <v>0.22796</v>
      </c>
      <c r="N155">
        <v>99.245000000000005</v>
      </c>
      <c r="O155">
        <v>4</v>
      </c>
      <c r="P155" s="5">
        <f t="shared" si="2"/>
        <v>0.25102864620673926</v>
      </c>
      <c r="Q155" t="str">
        <f t="array" ref="Q155:R155">VLOOKUP(A155,$X$3:$AA$330,{3,4},0)</f>
        <v>Indemnity</v>
      </c>
      <c r="R155" t="str">
        <v>Per Occurrence</v>
      </c>
      <c r="X155" t="s">
        <v>187</v>
      </c>
      <c r="Y155">
        <v>145</v>
      </c>
      <c r="Z155" t="s">
        <v>387</v>
      </c>
      <c r="AA155" t="s">
        <v>388</v>
      </c>
    </row>
    <row r="156" spans="1:27">
      <c r="A156" t="s">
        <v>221</v>
      </c>
      <c r="B156">
        <v>179</v>
      </c>
      <c r="C156">
        <v>179</v>
      </c>
      <c r="D156" s="4" t="s">
        <v>655</v>
      </c>
      <c r="E156" s="4">
        <v>45292</v>
      </c>
      <c r="F156" s="4">
        <v>46387</v>
      </c>
      <c r="G156">
        <v>125000000</v>
      </c>
      <c r="H156" t="s">
        <v>656</v>
      </c>
      <c r="I156" t="s">
        <v>441</v>
      </c>
      <c r="K156">
        <v>200000000</v>
      </c>
      <c r="L156" s="4">
        <v>46387</v>
      </c>
      <c r="M156" s="6">
        <v>7.7499999999999999E-2</v>
      </c>
      <c r="N156">
        <v>101</v>
      </c>
      <c r="O156">
        <v>4</v>
      </c>
      <c r="P156" s="5">
        <f t="shared" si="2"/>
        <v>6.612706734331468E-2</v>
      </c>
      <c r="Q156" t="str">
        <f t="array" ref="Q156:R156">VLOOKUP(A156,$X$3:$AA$330,{3,4},0)</f>
        <v>Industry Loss</v>
      </c>
      <c r="R156" t="str">
        <v>Annual Aggregate</v>
      </c>
      <c r="X156" t="s">
        <v>188</v>
      </c>
      <c r="Y156">
        <v>146</v>
      </c>
      <c r="Z156" t="s">
        <v>387</v>
      </c>
      <c r="AA156" t="s">
        <v>388</v>
      </c>
    </row>
    <row r="157" spans="1:27">
      <c r="A157" t="s">
        <v>222</v>
      </c>
      <c r="B157">
        <v>180</v>
      </c>
      <c r="C157">
        <v>180</v>
      </c>
      <c r="D157" s="4" t="s">
        <v>657</v>
      </c>
      <c r="E157" s="4">
        <v>45709</v>
      </c>
      <c r="F157" s="4">
        <v>47169</v>
      </c>
      <c r="G157">
        <v>150000000</v>
      </c>
      <c r="H157" t="s">
        <v>656</v>
      </c>
      <c r="I157" t="s">
        <v>441</v>
      </c>
      <c r="K157">
        <v>200000000</v>
      </c>
      <c r="L157" s="4">
        <v>47169</v>
      </c>
      <c r="M157" s="6">
        <v>4.4999999999999998E-2</v>
      </c>
      <c r="N157">
        <v>100.2</v>
      </c>
      <c r="O157">
        <v>4</v>
      </c>
      <c r="P157" s="5">
        <f t="shared" si="2"/>
        <v>4.4292318281704636E-2</v>
      </c>
      <c r="Q157" t="str">
        <f t="array" ref="Q157:R157">VLOOKUP(A157,$X$3:$AA$330,{3,4},0)</f>
        <v>Industry Loss</v>
      </c>
      <c r="R157" t="str">
        <v>Annual Aggregate</v>
      </c>
      <c r="X157" t="s">
        <v>189</v>
      </c>
      <c r="Y157">
        <v>147</v>
      </c>
      <c r="Z157" t="s">
        <v>387</v>
      </c>
      <c r="AA157" t="s">
        <v>388</v>
      </c>
    </row>
    <row r="158" spans="1:27">
      <c r="A158" t="s">
        <v>223</v>
      </c>
      <c r="B158">
        <v>181</v>
      </c>
      <c r="C158">
        <v>181</v>
      </c>
      <c r="D158" s="4" t="s">
        <v>658</v>
      </c>
      <c r="E158" s="4">
        <v>45709</v>
      </c>
      <c r="F158" s="4">
        <v>47169</v>
      </c>
      <c r="G158">
        <v>50000000</v>
      </c>
      <c r="H158" t="s">
        <v>656</v>
      </c>
      <c r="I158" t="s">
        <v>441</v>
      </c>
      <c r="J158">
        <v>50000000</v>
      </c>
      <c r="K158">
        <v>50000000</v>
      </c>
      <c r="L158" s="4">
        <v>47169</v>
      </c>
      <c r="M158" s="6">
        <v>6.25E-2</v>
      </c>
      <c r="N158">
        <v>102.85</v>
      </c>
      <c r="O158">
        <v>4</v>
      </c>
      <c r="P158" s="5">
        <f t="shared" si="2"/>
        <v>5.2331817739936941E-2</v>
      </c>
      <c r="Q158" t="str">
        <f t="array" ref="Q158:R158">VLOOKUP(A158,$X$3:$AA$330,{3,4},0)</f>
        <v>Industry Loss</v>
      </c>
      <c r="R158" t="str">
        <v>Per Occurrence</v>
      </c>
      <c r="X158" t="s">
        <v>190</v>
      </c>
      <c r="Y158">
        <v>148</v>
      </c>
      <c r="Z158" t="s">
        <v>387</v>
      </c>
      <c r="AA158" t="s">
        <v>388</v>
      </c>
    </row>
    <row r="159" spans="1:27">
      <c r="A159" t="s">
        <v>224</v>
      </c>
      <c r="B159">
        <v>182</v>
      </c>
      <c r="C159">
        <v>182</v>
      </c>
      <c r="D159" s="4" t="s">
        <v>659</v>
      </c>
      <c r="E159" s="4">
        <v>45408</v>
      </c>
      <c r="F159" s="4">
        <v>46502</v>
      </c>
      <c r="G159">
        <v>200000000</v>
      </c>
      <c r="H159" t="s">
        <v>604</v>
      </c>
      <c r="I159" t="s">
        <v>605</v>
      </c>
      <c r="K159">
        <v>445000000</v>
      </c>
      <c r="L159" s="4">
        <v>46502</v>
      </c>
      <c r="M159" s="6">
        <v>8.3320000000000005E-2</v>
      </c>
      <c r="N159">
        <v>101</v>
      </c>
      <c r="O159">
        <v>4</v>
      </c>
      <c r="P159" s="5">
        <f t="shared" si="2"/>
        <v>7.4746700386828707E-2</v>
      </c>
      <c r="Q159" t="str">
        <f t="array" ref="Q159:R159">VLOOKUP(A159,$X$3:$AA$330,{3,4},0)</f>
        <v>Indemnity</v>
      </c>
      <c r="R159" t="str">
        <v>Per Occurrence</v>
      </c>
      <c r="X159" t="s">
        <v>191</v>
      </c>
      <c r="Y159">
        <v>149</v>
      </c>
      <c r="Z159" t="s">
        <v>387</v>
      </c>
      <c r="AA159" t="s">
        <v>383</v>
      </c>
    </row>
    <row r="160" spans="1:27">
      <c r="A160" t="s">
        <v>225</v>
      </c>
      <c r="B160">
        <v>183</v>
      </c>
      <c r="C160">
        <v>183</v>
      </c>
      <c r="D160" s="4" t="s">
        <v>660</v>
      </c>
      <c r="E160" s="4">
        <v>45408</v>
      </c>
      <c r="F160" s="4">
        <v>46502</v>
      </c>
      <c r="G160">
        <v>75000000</v>
      </c>
      <c r="H160" t="s">
        <v>604</v>
      </c>
      <c r="I160" t="s">
        <v>605</v>
      </c>
      <c r="K160">
        <v>310000000</v>
      </c>
      <c r="L160" s="4">
        <v>46502</v>
      </c>
      <c r="M160" s="6">
        <v>0.17924000000000001</v>
      </c>
      <c r="N160">
        <v>103.95</v>
      </c>
      <c r="O160">
        <v>4</v>
      </c>
      <c r="P160" s="5">
        <f t="shared" si="2"/>
        <v>0.14367723042062072</v>
      </c>
      <c r="Q160" t="str">
        <f t="array" ref="Q160:R160">VLOOKUP(A160,$X$3:$AA$330,{3,4},0)</f>
        <v>Indemnity</v>
      </c>
      <c r="R160" t="str">
        <v>Per Occurrence</v>
      </c>
      <c r="X160" t="s">
        <v>192</v>
      </c>
      <c r="Y160">
        <v>150</v>
      </c>
      <c r="Z160" t="s">
        <v>387</v>
      </c>
      <c r="AA160" t="s">
        <v>383</v>
      </c>
    </row>
    <row r="161" spans="1:27">
      <c r="A161" t="s">
        <v>226</v>
      </c>
      <c r="B161">
        <v>184</v>
      </c>
      <c r="C161">
        <v>184</v>
      </c>
      <c r="D161" s="4" t="s">
        <v>661</v>
      </c>
      <c r="E161" s="4">
        <v>45778</v>
      </c>
      <c r="F161" s="4">
        <v>46873</v>
      </c>
      <c r="G161">
        <v>280000000</v>
      </c>
      <c r="H161" t="s">
        <v>604</v>
      </c>
      <c r="I161" t="s">
        <v>605</v>
      </c>
      <c r="K161">
        <v>280000000</v>
      </c>
      <c r="L161" s="4">
        <v>46873</v>
      </c>
      <c r="M161" s="6">
        <v>7.0000000000000007E-2</v>
      </c>
      <c r="N161">
        <v>100.25</v>
      </c>
      <c r="O161">
        <v>4</v>
      </c>
      <c r="P161" s="5">
        <f t="shared" si="2"/>
        <v>6.8791174169189048E-2</v>
      </c>
      <c r="Q161" t="str">
        <f t="array" ref="Q161:R161">VLOOKUP(A161,$X$3:$AA$330,{3,4},0)</f>
        <v>Indemnity</v>
      </c>
      <c r="R161" t="str">
        <v>Per Occurrence</v>
      </c>
      <c r="X161" t="s">
        <v>193</v>
      </c>
      <c r="Y161">
        <v>151</v>
      </c>
      <c r="Z161" t="s">
        <v>387</v>
      </c>
      <c r="AA161" t="s">
        <v>662</v>
      </c>
    </row>
    <row r="162" spans="1:27">
      <c r="A162" t="s">
        <v>227</v>
      </c>
      <c r="B162">
        <v>185</v>
      </c>
      <c r="C162">
        <v>185</v>
      </c>
      <c r="D162" s="4" t="s">
        <v>663</v>
      </c>
      <c r="E162" s="4">
        <v>45594</v>
      </c>
      <c r="F162" s="4">
        <v>46735</v>
      </c>
      <c r="G162">
        <v>95000000</v>
      </c>
      <c r="H162" t="s">
        <v>664</v>
      </c>
      <c r="I162" t="s">
        <v>665</v>
      </c>
      <c r="J162">
        <v>0</v>
      </c>
      <c r="K162">
        <v>95000000</v>
      </c>
      <c r="L162" s="4">
        <v>46735</v>
      </c>
      <c r="M162" s="6">
        <v>0.06</v>
      </c>
      <c r="N162">
        <v>100.65</v>
      </c>
      <c r="O162">
        <v>4</v>
      </c>
      <c r="P162" s="5">
        <f t="shared" si="2"/>
        <v>5.629762747609883E-2</v>
      </c>
      <c r="Q162" t="str">
        <f t="array" ref="Q162:R162">VLOOKUP(A162,$X$3:$AA$330,{3,4},0)</f>
        <v>Indemnity</v>
      </c>
      <c r="R162" t="str">
        <v>Per Occurrence</v>
      </c>
      <c r="X162" t="s">
        <v>194</v>
      </c>
      <c r="Y162">
        <v>152</v>
      </c>
      <c r="Z162" t="s">
        <v>387</v>
      </c>
      <c r="AA162" t="s">
        <v>662</v>
      </c>
    </row>
    <row r="163" spans="1:27">
      <c r="A163" t="s">
        <v>229</v>
      </c>
      <c r="B163">
        <v>187</v>
      </c>
      <c r="C163">
        <v>187</v>
      </c>
      <c r="D163" s="4" t="s">
        <v>666</v>
      </c>
      <c r="E163" s="4">
        <v>45108</v>
      </c>
      <c r="F163" s="4">
        <v>46203</v>
      </c>
      <c r="G163">
        <v>125000000</v>
      </c>
      <c r="H163" t="s">
        <v>667</v>
      </c>
      <c r="I163" t="s">
        <v>668</v>
      </c>
      <c r="K163">
        <v>300000000</v>
      </c>
      <c r="L163" s="4">
        <v>46203</v>
      </c>
      <c r="M163" s="6">
        <v>5.5039999999999999E-2</v>
      </c>
      <c r="N163">
        <v>102.2</v>
      </c>
      <c r="O163">
        <v>4</v>
      </c>
      <c r="P163" s="5">
        <f t="shared" si="2"/>
        <v>2.1992720689991085E-3</v>
      </c>
      <c r="Q163" t="str">
        <f t="array" ref="Q163:R163">VLOOKUP(A163,$X$3:$AA$330,{3,4},0)</f>
        <v>Indemnity</v>
      </c>
      <c r="R163" t="str">
        <v>Per Occurrence</v>
      </c>
      <c r="X163" t="s">
        <v>195</v>
      </c>
      <c r="Y163">
        <v>153</v>
      </c>
      <c r="Z163" t="s">
        <v>387</v>
      </c>
      <c r="AA163" t="s">
        <v>662</v>
      </c>
    </row>
    <row r="164" spans="1:27">
      <c r="A164" t="s">
        <v>230</v>
      </c>
      <c r="B164">
        <v>188</v>
      </c>
      <c r="C164">
        <v>188</v>
      </c>
      <c r="D164" s="4" t="s">
        <v>669</v>
      </c>
      <c r="E164" s="4">
        <v>45853</v>
      </c>
      <c r="F164" s="4">
        <v>46948</v>
      </c>
      <c r="G164">
        <v>150000000</v>
      </c>
      <c r="H164" t="s">
        <v>670</v>
      </c>
      <c r="I164" t="s">
        <v>671</v>
      </c>
      <c r="K164">
        <v>150000000</v>
      </c>
      <c r="L164" s="4">
        <v>46948</v>
      </c>
      <c r="M164" s="6">
        <v>7.2499999999999995E-2</v>
      </c>
      <c r="N164">
        <v>102.6</v>
      </c>
      <c r="O164">
        <v>4</v>
      </c>
      <c r="P164" s="5">
        <f t="shared" si="2"/>
        <v>6.0997298400551785E-2</v>
      </c>
      <c r="Q164" t="str">
        <f t="array" ref="Q164:R164">VLOOKUP(A164,$X$3:$AA$330,{3,4},0)</f>
        <v>Indemnity</v>
      </c>
      <c r="R164" t="str">
        <v>Per Occurrence</v>
      </c>
      <c r="X164" t="s">
        <v>196</v>
      </c>
      <c r="Y164">
        <v>154</v>
      </c>
      <c r="Z164" t="s">
        <v>387</v>
      </c>
      <c r="AA164" t="s">
        <v>662</v>
      </c>
    </row>
    <row r="165" spans="1:27">
      <c r="A165" t="s">
        <v>232</v>
      </c>
      <c r="B165">
        <v>190</v>
      </c>
      <c r="C165">
        <v>190</v>
      </c>
      <c r="D165" s="4" t="s">
        <v>672</v>
      </c>
      <c r="E165" s="4">
        <v>45687</v>
      </c>
      <c r="F165" s="4">
        <v>46781</v>
      </c>
      <c r="G165">
        <v>87500000</v>
      </c>
      <c r="H165" t="s">
        <v>499</v>
      </c>
      <c r="I165" t="s">
        <v>673</v>
      </c>
      <c r="J165">
        <v>0</v>
      </c>
      <c r="K165">
        <v>19000000000</v>
      </c>
      <c r="L165" s="4">
        <v>46781</v>
      </c>
      <c r="M165" s="6">
        <v>7.0000000000000007E-2</v>
      </c>
      <c r="N165">
        <v>100.1</v>
      </c>
      <c r="O165">
        <v>4</v>
      </c>
      <c r="P165" s="5">
        <f t="shared" si="2"/>
        <v>6.9456976726429268E-2</v>
      </c>
      <c r="Q165" t="str">
        <f t="array" ref="Q165:R165">VLOOKUP(A165,$X$3:$AA$330,{3,4},0)</f>
        <v>Industry Loss</v>
      </c>
      <c r="R165" t="str">
        <v>Annual Aggregate</v>
      </c>
      <c r="X165" t="s">
        <v>197</v>
      </c>
      <c r="Y165">
        <v>155</v>
      </c>
      <c r="Z165" t="s">
        <v>382</v>
      </c>
      <c r="AA165" t="s">
        <v>383</v>
      </c>
    </row>
    <row r="166" spans="1:27">
      <c r="A166" t="s">
        <v>233</v>
      </c>
      <c r="B166">
        <v>191</v>
      </c>
      <c r="C166">
        <v>191</v>
      </c>
      <c r="D166" s="4" t="s">
        <v>674</v>
      </c>
      <c r="E166" s="4">
        <v>45687</v>
      </c>
      <c r="F166" s="4">
        <v>46781</v>
      </c>
      <c r="G166">
        <v>122500000</v>
      </c>
      <c r="H166" t="s">
        <v>499</v>
      </c>
      <c r="I166" t="s">
        <v>673</v>
      </c>
      <c r="J166">
        <v>0</v>
      </c>
      <c r="K166">
        <v>40000000000</v>
      </c>
      <c r="L166" s="4">
        <v>46781</v>
      </c>
      <c r="M166" s="6">
        <v>0.1225</v>
      </c>
      <c r="N166">
        <v>102.6</v>
      </c>
      <c r="O166">
        <v>4</v>
      </c>
      <c r="P166" s="5">
        <f t="shared" si="2"/>
        <v>0.10783251376281043</v>
      </c>
      <c r="Q166" t="str">
        <f t="array" ref="Q166:R166">VLOOKUP(A166,$X$3:$AA$330,{3,4},0)</f>
        <v>Industry Loss</v>
      </c>
      <c r="R166" t="str">
        <v>Annual Aggregate</v>
      </c>
      <c r="X166" t="s">
        <v>198</v>
      </c>
      <c r="Y166">
        <v>156</v>
      </c>
      <c r="Z166" t="s">
        <v>387</v>
      </c>
      <c r="AA166" t="s">
        <v>388</v>
      </c>
    </row>
    <row r="167" spans="1:27">
      <c r="A167" t="s">
        <v>234</v>
      </c>
      <c r="B167">
        <v>192</v>
      </c>
      <c r="C167">
        <v>192</v>
      </c>
      <c r="D167" s="4" t="s">
        <v>675</v>
      </c>
      <c r="E167" s="4">
        <v>45855</v>
      </c>
      <c r="F167" s="4">
        <v>46933</v>
      </c>
      <c r="G167">
        <v>65000000</v>
      </c>
      <c r="H167" t="s">
        <v>499</v>
      </c>
      <c r="I167" t="s">
        <v>411</v>
      </c>
      <c r="J167">
        <v>0</v>
      </c>
      <c r="K167">
        <v>38500000000</v>
      </c>
      <c r="L167" s="4">
        <v>46933</v>
      </c>
      <c r="M167" s="6">
        <v>0.1225</v>
      </c>
      <c r="N167">
        <v>103.85</v>
      </c>
      <c r="O167">
        <v>4</v>
      </c>
      <c r="P167" s="5">
        <f t="shared" si="2"/>
        <v>0.10419388186898976</v>
      </c>
      <c r="Q167" t="str">
        <f t="array" ref="Q167:R167">VLOOKUP(A167,$X$3:$AA$330,{3,4},0)</f>
        <v>Industry Loss</v>
      </c>
      <c r="R167" t="str">
        <v>Annual Aggregate</v>
      </c>
      <c r="X167" t="s">
        <v>199</v>
      </c>
      <c r="Y167">
        <v>157</v>
      </c>
      <c r="Z167" t="s">
        <v>387</v>
      </c>
      <c r="AA167" t="s">
        <v>388</v>
      </c>
    </row>
    <row r="168" spans="1:27">
      <c r="A168" t="s">
        <v>235</v>
      </c>
      <c r="B168">
        <v>193</v>
      </c>
      <c r="C168">
        <v>193</v>
      </c>
      <c r="D168" s="4" t="s">
        <v>676</v>
      </c>
      <c r="E168" s="4">
        <v>45748</v>
      </c>
      <c r="F168" s="4">
        <v>46843</v>
      </c>
      <c r="G168">
        <v>100000000</v>
      </c>
      <c r="H168" t="s">
        <v>677</v>
      </c>
      <c r="I168" t="s">
        <v>615</v>
      </c>
      <c r="J168">
        <v>0</v>
      </c>
      <c r="K168">
        <v>100000000</v>
      </c>
      <c r="L168" s="4">
        <v>46843</v>
      </c>
      <c r="M168" s="6">
        <v>2.75E-2</v>
      </c>
      <c r="N168">
        <v>102.4</v>
      </c>
      <c r="O168">
        <v>4</v>
      </c>
      <c r="P168" s="5">
        <f t="shared" si="2"/>
        <v>1.6203624290380875E-2</v>
      </c>
      <c r="Q168" t="str">
        <f t="array" ref="Q168:R168">VLOOKUP(A168,$X$3:$AA$330,{3,4},0)</f>
        <v>Indemnity</v>
      </c>
      <c r="R168" t="str">
        <v>Term Aggregate (Three-Year)</v>
      </c>
      <c r="X168" t="s">
        <v>200</v>
      </c>
      <c r="Y168">
        <v>158</v>
      </c>
      <c r="Z168" t="s">
        <v>387</v>
      </c>
      <c r="AA168" t="s">
        <v>388</v>
      </c>
    </row>
    <row r="169" spans="1:27">
      <c r="A169" t="s">
        <v>239</v>
      </c>
      <c r="B169">
        <v>197</v>
      </c>
      <c r="C169">
        <v>197</v>
      </c>
      <c r="D169" s="4" t="s">
        <v>678</v>
      </c>
      <c r="E169" s="4">
        <v>45383</v>
      </c>
      <c r="F169" s="4">
        <v>46843</v>
      </c>
      <c r="G169">
        <v>100000000</v>
      </c>
      <c r="H169" t="s">
        <v>679</v>
      </c>
      <c r="I169" t="s">
        <v>680</v>
      </c>
      <c r="K169">
        <v>100000000</v>
      </c>
      <c r="L169" s="4">
        <v>46843</v>
      </c>
      <c r="M169" s="6">
        <v>3.2500000000000001E-2</v>
      </c>
      <c r="N169">
        <v>101.95</v>
      </c>
      <c r="O169">
        <v>4</v>
      </c>
      <c r="P169" s="5">
        <f t="shared" si="2"/>
        <v>2.3242880811966883E-2</v>
      </c>
      <c r="Q169" t="str">
        <f t="array" ref="Q169:R169">VLOOKUP(A169,$X$3:$AA$330,{3,4},0)</f>
        <v>Indemnity</v>
      </c>
      <c r="R169" t="str">
        <v>Per Occurrence</v>
      </c>
      <c r="X169" t="s">
        <v>201</v>
      </c>
      <c r="Y169">
        <v>159</v>
      </c>
      <c r="Z169" t="s">
        <v>387</v>
      </c>
      <c r="AA169" t="s">
        <v>388</v>
      </c>
    </row>
    <row r="170" spans="1:27">
      <c r="A170" t="s">
        <v>240</v>
      </c>
      <c r="B170">
        <v>198</v>
      </c>
      <c r="C170">
        <v>198</v>
      </c>
      <c r="D170" s="4" t="s">
        <v>681</v>
      </c>
      <c r="E170" s="4">
        <v>45383</v>
      </c>
      <c r="F170" s="4">
        <v>46843</v>
      </c>
      <c r="G170">
        <v>100000000</v>
      </c>
      <c r="H170" t="s">
        <v>679</v>
      </c>
      <c r="I170" t="s">
        <v>682</v>
      </c>
      <c r="K170">
        <v>100000000</v>
      </c>
      <c r="L170" s="4">
        <v>46843</v>
      </c>
      <c r="M170" s="6">
        <v>0.04</v>
      </c>
      <c r="N170">
        <v>102</v>
      </c>
      <c r="O170">
        <v>4</v>
      </c>
      <c r="P170" s="5">
        <f t="shared" si="2"/>
        <v>3.0422588808927391E-2</v>
      </c>
      <c r="Q170" t="str">
        <f t="array" ref="Q170:R170">VLOOKUP(A170,$X$3:$AA$330,{3,4},0)</f>
        <v>Indemnity</v>
      </c>
      <c r="R170" t="str">
        <v>Per Occurrence (TY/FL) and 3-year Aggregate (EQ)</v>
      </c>
      <c r="X170" t="s">
        <v>202</v>
      </c>
      <c r="Y170">
        <v>160</v>
      </c>
      <c r="Z170" t="s">
        <v>387</v>
      </c>
      <c r="AA170" t="s">
        <v>383</v>
      </c>
    </row>
    <row r="171" spans="1:27">
      <c r="A171" t="s">
        <v>241</v>
      </c>
      <c r="B171">
        <v>199</v>
      </c>
      <c r="C171">
        <v>199</v>
      </c>
      <c r="D171" s="4" t="s">
        <v>683</v>
      </c>
      <c r="E171" s="4">
        <v>45261</v>
      </c>
      <c r="F171" s="4">
        <v>46356</v>
      </c>
      <c r="G171">
        <v>150000000</v>
      </c>
      <c r="H171" t="s">
        <v>531</v>
      </c>
      <c r="I171" t="s">
        <v>684</v>
      </c>
      <c r="K171">
        <v>164000000</v>
      </c>
      <c r="L171" s="4">
        <v>46356</v>
      </c>
      <c r="M171" s="6">
        <v>0.1</v>
      </c>
      <c r="N171">
        <v>99.85</v>
      </c>
      <c r="O171">
        <v>4</v>
      </c>
      <c r="P171" s="5">
        <f t="shared" si="2"/>
        <v>0.10181166725456167</v>
      </c>
      <c r="Q171" t="str">
        <f t="array" ref="Q171:R171">VLOOKUP(A171,$X$3:$AA$330,{3,4},0)</f>
        <v>Indemnity</v>
      </c>
      <c r="R171" t="str">
        <v>Per Occurrence</v>
      </c>
      <c r="X171" t="s">
        <v>203</v>
      </c>
      <c r="Y171">
        <v>161</v>
      </c>
      <c r="Z171" t="s">
        <v>387</v>
      </c>
      <c r="AA171" t="s">
        <v>383</v>
      </c>
    </row>
    <row r="172" spans="1:27">
      <c r="A172" t="s">
        <v>242</v>
      </c>
      <c r="B172">
        <v>200</v>
      </c>
      <c r="C172">
        <v>200</v>
      </c>
      <c r="D172" s="4" t="s">
        <v>685</v>
      </c>
      <c r="E172" s="4">
        <v>45261</v>
      </c>
      <c r="F172" s="4">
        <v>46356</v>
      </c>
      <c r="G172">
        <v>45000000</v>
      </c>
      <c r="H172" t="s">
        <v>531</v>
      </c>
      <c r="I172" t="s">
        <v>684</v>
      </c>
      <c r="K172">
        <v>251000000</v>
      </c>
      <c r="L172" s="4">
        <v>46356</v>
      </c>
      <c r="M172" s="6">
        <v>0.13500000000000001</v>
      </c>
      <c r="N172">
        <v>101.95</v>
      </c>
      <c r="O172">
        <v>4</v>
      </c>
      <c r="P172" s="5">
        <f t="shared" si="2"/>
        <v>0.11006056157627235</v>
      </c>
      <c r="Q172" t="str">
        <f t="array" ref="Q172:R172">VLOOKUP(A172,$X$3:$AA$330,{3,4},0)</f>
        <v>Indemnity</v>
      </c>
      <c r="R172" t="str">
        <v>Per Occurrence</v>
      </c>
      <c r="X172" t="s">
        <v>204</v>
      </c>
      <c r="Y172">
        <v>162</v>
      </c>
      <c r="Z172" t="s">
        <v>387</v>
      </c>
      <c r="AA172" t="s">
        <v>383</v>
      </c>
    </row>
    <row r="173" spans="1:27">
      <c r="A173" t="s">
        <v>243</v>
      </c>
      <c r="B173">
        <v>201</v>
      </c>
      <c r="C173">
        <v>201</v>
      </c>
      <c r="D173" s="4" t="s">
        <v>686</v>
      </c>
      <c r="E173" s="4">
        <v>45469</v>
      </c>
      <c r="F173" s="4">
        <v>46904</v>
      </c>
      <c r="G173">
        <v>50000000</v>
      </c>
      <c r="H173" t="s">
        <v>531</v>
      </c>
      <c r="I173" t="s">
        <v>532</v>
      </c>
      <c r="K173">
        <v>270000000</v>
      </c>
      <c r="L173" s="4">
        <v>46904</v>
      </c>
      <c r="M173" s="6">
        <v>0.15290000000000001</v>
      </c>
      <c r="N173">
        <v>102.8</v>
      </c>
      <c r="O173">
        <v>4</v>
      </c>
      <c r="P173" s="5">
        <f t="shared" si="2"/>
        <v>0.13857687747766384</v>
      </c>
      <c r="Q173" t="str">
        <f t="array" ref="Q173:R173">VLOOKUP(A173,$X$3:$AA$330,{3,4},0)</f>
        <v>Indemnity</v>
      </c>
      <c r="R173" t="str">
        <v>Per Occurrence</v>
      </c>
      <c r="X173" t="s">
        <v>205</v>
      </c>
      <c r="Y173">
        <v>163</v>
      </c>
      <c r="Z173" t="s">
        <v>387</v>
      </c>
      <c r="AA173" t="s">
        <v>388</v>
      </c>
    </row>
    <row r="174" spans="1:27">
      <c r="A174" t="s">
        <v>244</v>
      </c>
      <c r="B174">
        <v>202</v>
      </c>
      <c r="C174">
        <v>202</v>
      </c>
      <c r="D174" s="4" t="s">
        <v>687</v>
      </c>
      <c r="E174" s="4">
        <v>45751</v>
      </c>
      <c r="F174" s="4">
        <v>47211</v>
      </c>
      <c r="G174">
        <v>150000000</v>
      </c>
      <c r="H174" t="s">
        <v>531</v>
      </c>
      <c r="I174" t="s">
        <v>532</v>
      </c>
      <c r="K174">
        <v>800000000</v>
      </c>
      <c r="L174" s="4">
        <v>47211</v>
      </c>
      <c r="M174" s="6">
        <v>9.7500000000000003E-2</v>
      </c>
      <c r="N174">
        <v>102.5</v>
      </c>
      <c r="O174">
        <v>4</v>
      </c>
      <c r="P174" s="5">
        <f t="shared" si="2"/>
        <v>8.8356149691900754E-2</v>
      </c>
      <c r="Q174" t="str">
        <f t="array" ref="Q174:R174">VLOOKUP(A174,$X$3:$AA$330,{3,4},0)</f>
        <v>Indemnity</v>
      </c>
      <c r="R174" t="str">
        <v>Per Occurrence</v>
      </c>
      <c r="X174" t="s">
        <v>206</v>
      </c>
      <c r="Y174">
        <v>164</v>
      </c>
      <c r="Z174" t="s">
        <v>387</v>
      </c>
      <c r="AA174" t="s">
        <v>388</v>
      </c>
    </row>
    <row r="175" spans="1:27">
      <c r="A175" t="s">
        <v>245</v>
      </c>
      <c r="B175">
        <v>203</v>
      </c>
      <c r="C175">
        <v>203</v>
      </c>
      <c r="D175" s="4" t="s">
        <v>688</v>
      </c>
      <c r="E175" s="4">
        <v>45413</v>
      </c>
      <c r="F175" s="4">
        <v>46507</v>
      </c>
      <c r="G175">
        <v>125000000</v>
      </c>
      <c r="H175" t="s">
        <v>689</v>
      </c>
      <c r="I175" t="s">
        <v>690</v>
      </c>
      <c r="K175">
        <v>125000000</v>
      </c>
      <c r="L175" s="4">
        <v>46507</v>
      </c>
      <c r="M175" s="6">
        <v>7.6319999999999999E-2</v>
      </c>
      <c r="N175">
        <v>104.6</v>
      </c>
      <c r="O175">
        <v>4</v>
      </c>
      <c r="P175" s="5">
        <f t="shared" si="2"/>
        <v>3.8451957383370587E-2</v>
      </c>
      <c r="Q175" t="str">
        <f t="array" ref="Q175:R175">VLOOKUP(A175,$X$3:$AA$330,{3,4},0)</f>
        <v>Indemnity</v>
      </c>
      <c r="R175" t="str">
        <v>Per Occurrence</v>
      </c>
      <c r="X175" t="s">
        <v>207</v>
      </c>
      <c r="Y175">
        <v>165</v>
      </c>
      <c r="Z175" t="s">
        <v>387</v>
      </c>
      <c r="AA175" t="s">
        <v>388</v>
      </c>
    </row>
    <row r="176" spans="1:27">
      <c r="A176" t="s">
        <v>249</v>
      </c>
      <c r="B176">
        <v>207</v>
      </c>
      <c r="C176">
        <v>207</v>
      </c>
      <c r="D176" s="4" t="s">
        <v>691</v>
      </c>
      <c r="E176" s="4">
        <v>45474</v>
      </c>
      <c r="F176" s="4">
        <v>46568</v>
      </c>
      <c r="G176">
        <v>100000000</v>
      </c>
      <c r="H176" t="s">
        <v>468</v>
      </c>
      <c r="I176" t="s">
        <v>537</v>
      </c>
      <c r="K176">
        <v>132000000</v>
      </c>
      <c r="L176" s="4">
        <v>46568</v>
      </c>
      <c r="M176" s="6">
        <v>5.8999999999999997E-2</v>
      </c>
      <c r="N176">
        <v>101.6</v>
      </c>
      <c r="O176">
        <v>4</v>
      </c>
      <c r="P176" s="5">
        <f t="shared" si="2"/>
        <v>4.7243067641337469E-2</v>
      </c>
      <c r="Q176" t="str">
        <f t="array" ref="Q176:R176">VLOOKUP(A176,$X$3:$AA$330,{3,4},0)</f>
        <v>Indemnity</v>
      </c>
      <c r="R176" t="str">
        <v>Per Occurrence</v>
      </c>
      <c r="X176" t="s">
        <v>208</v>
      </c>
      <c r="Y176">
        <v>166</v>
      </c>
      <c r="Z176" t="s">
        <v>387</v>
      </c>
      <c r="AA176" t="s">
        <v>388</v>
      </c>
    </row>
    <row r="177" spans="1:27">
      <c r="A177" t="s">
        <v>250</v>
      </c>
      <c r="B177">
        <v>208</v>
      </c>
      <c r="C177">
        <v>208</v>
      </c>
      <c r="D177" s="4" t="s">
        <v>692</v>
      </c>
      <c r="E177" s="4">
        <v>45658</v>
      </c>
      <c r="F177" s="4">
        <v>46752</v>
      </c>
      <c r="G177">
        <v>100000000</v>
      </c>
      <c r="H177" t="s">
        <v>693</v>
      </c>
      <c r="I177" t="s">
        <v>694</v>
      </c>
      <c r="K177">
        <v>100000000</v>
      </c>
      <c r="L177" s="4">
        <v>46752</v>
      </c>
      <c r="M177" s="6">
        <v>3.5000000000000003E-2</v>
      </c>
      <c r="N177">
        <v>102.8</v>
      </c>
      <c r="O177">
        <v>4</v>
      </c>
      <c r="P177" s="5">
        <f t="shared" si="2"/>
        <v>2.0069325818430503E-2</v>
      </c>
      <c r="Q177" t="str">
        <f t="array" ref="Q177:R177">VLOOKUP(A177,$X$3:$AA$330,{3,4},0)</f>
        <v>1st Gen Parametric</v>
      </c>
      <c r="R177" t="str">
        <v>Per Occurrence</v>
      </c>
      <c r="X177" t="s">
        <v>209</v>
      </c>
      <c r="Y177">
        <v>167</v>
      </c>
      <c r="Z177" t="s">
        <v>382</v>
      </c>
      <c r="AA177" t="s">
        <v>383</v>
      </c>
    </row>
    <row r="178" spans="1:27">
      <c r="A178" t="s">
        <v>252</v>
      </c>
      <c r="B178">
        <v>210</v>
      </c>
      <c r="C178">
        <v>210</v>
      </c>
      <c r="D178" s="4" t="s">
        <v>695</v>
      </c>
      <c r="E178" s="4">
        <v>45748</v>
      </c>
      <c r="F178" s="4">
        <v>46843</v>
      </c>
      <c r="G178">
        <v>100000000</v>
      </c>
      <c r="H178" t="s">
        <v>696</v>
      </c>
      <c r="I178" t="s">
        <v>697</v>
      </c>
      <c r="K178">
        <v>100000000</v>
      </c>
      <c r="L178" s="4">
        <v>46843</v>
      </c>
      <c r="M178" s="6">
        <v>7.7499999999999999E-2</v>
      </c>
      <c r="N178">
        <v>103.1</v>
      </c>
      <c r="O178">
        <v>4</v>
      </c>
      <c r="P178" s="5">
        <f t="shared" si="2"/>
        <v>6.2081441090794366E-2</v>
      </c>
      <c r="Q178" t="str">
        <f t="array" ref="Q178:R178">VLOOKUP(A178,$X$3:$AA$330,{3,4},0)</f>
        <v>Indemnity</v>
      </c>
      <c r="R178" t="str">
        <v>Per Occurrence</v>
      </c>
      <c r="X178" t="s">
        <v>210</v>
      </c>
      <c r="Y178">
        <v>168</v>
      </c>
      <c r="Z178" t="s">
        <v>387</v>
      </c>
      <c r="AA178" t="s">
        <v>388</v>
      </c>
    </row>
    <row r="179" spans="1:27">
      <c r="A179" t="s">
        <v>253</v>
      </c>
      <c r="B179">
        <v>211</v>
      </c>
      <c r="C179">
        <v>211</v>
      </c>
      <c r="D179" s="4" t="s">
        <v>698</v>
      </c>
      <c r="E179" s="4">
        <v>45808</v>
      </c>
      <c r="F179" s="4">
        <v>47268</v>
      </c>
      <c r="G179">
        <v>125000000</v>
      </c>
      <c r="H179" t="s">
        <v>699</v>
      </c>
      <c r="I179" t="s">
        <v>700</v>
      </c>
      <c r="K179">
        <v>200000000</v>
      </c>
      <c r="L179" s="4">
        <v>47268</v>
      </c>
      <c r="M179" s="6">
        <v>5.5E-2</v>
      </c>
      <c r="N179">
        <v>102.925</v>
      </c>
      <c r="O179">
        <v>4</v>
      </c>
      <c r="P179" s="5">
        <f t="shared" si="2"/>
        <v>4.548761459593767E-2</v>
      </c>
      <c r="Q179" t="str">
        <f t="array" ref="Q179:R179">VLOOKUP(A179,$X$3:$AA$330,{3,4},0)</f>
        <v>Indemnity</v>
      </c>
      <c r="R179" t="str">
        <v>Per Occurrence</v>
      </c>
      <c r="X179" t="s">
        <v>211</v>
      </c>
      <c r="Y179">
        <v>169</v>
      </c>
      <c r="Z179" t="s">
        <v>387</v>
      </c>
      <c r="AA179" t="s">
        <v>388</v>
      </c>
    </row>
    <row r="180" spans="1:27">
      <c r="A180" t="s">
        <v>254</v>
      </c>
      <c r="B180">
        <v>212</v>
      </c>
      <c r="C180">
        <v>212</v>
      </c>
      <c r="D180" s="4" t="s">
        <v>701</v>
      </c>
      <c r="E180" s="4">
        <v>45808</v>
      </c>
      <c r="F180" s="4">
        <v>47268</v>
      </c>
      <c r="G180">
        <v>75000000</v>
      </c>
      <c r="H180" t="s">
        <v>699</v>
      </c>
      <c r="I180" t="s">
        <v>702</v>
      </c>
      <c r="K180">
        <v>100000000</v>
      </c>
      <c r="L180" s="4">
        <v>47268</v>
      </c>
      <c r="M180" s="6">
        <v>0.06</v>
      </c>
      <c r="N180">
        <v>102.75</v>
      </c>
      <c r="O180">
        <v>4</v>
      </c>
      <c r="P180" s="5">
        <f t="shared" si="2"/>
        <v>5.0970069827462439E-2</v>
      </c>
      <c r="Q180" t="str">
        <f t="array" ref="Q180:R180">VLOOKUP(A180,$X$3:$AA$330,{3,4},0)</f>
        <v>Indemnity</v>
      </c>
      <c r="R180" t="str">
        <v>Per Occurrence</v>
      </c>
      <c r="X180" t="s">
        <v>212</v>
      </c>
      <c r="Y180">
        <v>170</v>
      </c>
      <c r="Z180" t="s">
        <v>387</v>
      </c>
      <c r="AA180" t="s">
        <v>388</v>
      </c>
    </row>
    <row r="181" spans="1:27">
      <c r="A181" t="s">
        <v>255</v>
      </c>
      <c r="B181">
        <v>213</v>
      </c>
      <c r="C181">
        <v>213</v>
      </c>
      <c r="D181" s="4" t="s">
        <v>703</v>
      </c>
      <c r="E181" s="4">
        <v>45798</v>
      </c>
      <c r="F181" s="4">
        <v>46858</v>
      </c>
      <c r="G181">
        <v>100000000</v>
      </c>
      <c r="H181" t="s">
        <v>704</v>
      </c>
      <c r="I181" t="s">
        <v>705</v>
      </c>
      <c r="J181">
        <v>0</v>
      </c>
      <c r="K181">
        <v>100000000</v>
      </c>
      <c r="L181" s="4">
        <v>46858</v>
      </c>
      <c r="M181" s="6">
        <v>3.5000000000000003E-2</v>
      </c>
      <c r="N181">
        <v>103.85</v>
      </c>
      <c r="O181">
        <v>4</v>
      </c>
      <c r="P181" s="5">
        <f t="shared" si="2"/>
        <v>1.7172711810023999E-2</v>
      </c>
      <c r="Q181" t="str">
        <f t="array" ref="Q181:R181">VLOOKUP(A181,$X$3:$AA$330,{3,4},0)</f>
        <v>Indemnity ; 1st Gen Parametric</v>
      </c>
      <c r="R181" t="str">
        <v>Term Aggregate (Three-Year) ; Per Occurrence</v>
      </c>
      <c r="X181" t="s">
        <v>213</v>
      </c>
      <c r="Y181">
        <v>171</v>
      </c>
      <c r="Z181" t="s">
        <v>387</v>
      </c>
      <c r="AA181" t="s">
        <v>388</v>
      </c>
    </row>
    <row r="182" spans="1:27">
      <c r="A182" t="s">
        <v>256</v>
      </c>
      <c r="B182">
        <v>214</v>
      </c>
      <c r="C182">
        <v>214</v>
      </c>
      <c r="D182" s="4" t="s">
        <v>706</v>
      </c>
      <c r="E182" s="4">
        <v>45809</v>
      </c>
      <c r="F182" s="4">
        <v>46904</v>
      </c>
      <c r="G182">
        <v>60000000</v>
      </c>
      <c r="H182" t="s">
        <v>707</v>
      </c>
      <c r="I182" t="s">
        <v>708</v>
      </c>
      <c r="K182">
        <v>60000000</v>
      </c>
      <c r="L182" s="4">
        <v>46904</v>
      </c>
      <c r="M182" s="6">
        <v>9.2499999999999999E-2</v>
      </c>
      <c r="N182">
        <v>102.9</v>
      </c>
      <c r="O182">
        <v>4</v>
      </c>
      <c r="P182" s="5">
        <f t="shared" si="2"/>
        <v>7.874927142220764E-2</v>
      </c>
      <c r="Q182" t="str">
        <f t="array" ref="Q182:R182">VLOOKUP(A182,$X$3:$AA$330,{3,4},0)</f>
        <v>Indemnity</v>
      </c>
      <c r="R182" t="str">
        <v>Per Occurrence</v>
      </c>
      <c r="X182" t="s">
        <v>214</v>
      </c>
      <c r="Y182">
        <v>172</v>
      </c>
      <c r="Z182" t="s">
        <v>387</v>
      </c>
      <c r="AA182" t="s">
        <v>388</v>
      </c>
    </row>
    <row r="183" spans="1:27">
      <c r="A183" t="s">
        <v>257</v>
      </c>
      <c r="B183">
        <v>215</v>
      </c>
      <c r="C183">
        <v>215</v>
      </c>
      <c r="D183" s="4" t="s">
        <v>709</v>
      </c>
      <c r="E183" s="4">
        <v>45809</v>
      </c>
      <c r="F183" s="4">
        <v>46904</v>
      </c>
      <c r="G183">
        <v>100000000</v>
      </c>
      <c r="H183" t="s">
        <v>707</v>
      </c>
      <c r="I183" t="s">
        <v>708</v>
      </c>
      <c r="K183">
        <v>100000000</v>
      </c>
      <c r="L183" s="4">
        <v>46904</v>
      </c>
      <c r="M183" s="6">
        <v>7.0000000000000007E-2</v>
      </c>
      <c r="N183">
        <v>100</v>
      </c>
      <c r="O183">
        <v>4</v>
      </c>
      <c r="P183" s="5">
        <f t="shared" si="2"/>
        <v>6.9984192863289968E-2</v>
      </c>
      <c r="Q183" t="str">
        <f t="array" ref="Q183:R183">VLOOKUP(A183,$X$3:$AA$330,{3,4},0)</f>
        <v>Indemnity</v>
      </c>
      <c r="R183" t="str">
        <v>Per Occurrence</v>
      </c>
      <c r="X183" t="s">
        <v>215</v>
      </c>
      <c r="Y183">
        <v>173</v>
      </c>
      <c r="Z183" t="s">
        <v>387</v>
      </c>
      <c r="AA183" t="s">
        <v>388</v>
      </c>
    </row>
    <row r="184" spans="1:27">
      <c r="A184" t="s">
        <v>258</v>
      </c>
      <c r="B184">
        <v>216</v>
      </c>
      <c r="C184">
        <v>216</v>
      </c>
      <c r="D184" s="4" t="s">
        <v>710</v>
      </c>
      <c r="E184" s="4">
        <v>45809</v>
      </c>
      <c r="F184" s="4">
        <v>46904</v>
      </c>
      <c r="G184">
        <v>170000000</v>
      </c>
      <c r="H184" t="s">
        <v>707</v>
      </c>
      <c r="I184" t="s">
        <v>708</v>
      </c>
      <c r="K184">
        <v>170000000</v>
      </c>
      <c r="L184" s="4">
        <v>46904</v>
      </c>
      <c r="M184" s="6">
        <v>0.06</v>
      </c>
      <c r="N184">
        <v>104.5</v>
      </c>
      <c r="O184">
        <v>4</v>
      </c>
      <c r="P184" s="5">
        <f t="shared" si="2"/>
        <v>3.9704232781262457E-2</v>
      </c>
      <c r="Q184" t="str">
        <f t="array" ref="Q184:R184">VLOOKUP(A184,$X$3:$AA$330,{3,4},0)</f>
        <v>Indemnity</v>
      </c>
      <c r="R184" t="str">
        <v>Per Occurrence</v>
      </c>
      <c r="X184" t="s">
        <v>216</v>
      </c>
      <c r="Y184">
        <v>174</v>
      </c>
      <c r="Z184" t="s">
        <v>387</v>
      </c>
      <c r="AA184" t="s">
        <v>388</v>
      </c>
    </row>
    <row r="185" spans="1:27">
      <c r="A185" t="s">
        <v>261</v>
      </c>
      <c r="B185">
        <v>219</v>
      </c>
      <c r="C185">
        <v>219</v>
      </c>
      <c r="D185" s="4" t="s">
        <v>711</v>
      </c>
      <c r="E185" s="4">
        <v>45444</v>
      </c>
      <c r="F185" s="4">
        <v>46513</v>
      </c>
      <c r="G185">
        <v>450000000</v>
      </c>
      <c r="H185" t="s">
        <v>712</v>
      </c>
      <c r="I185" t="s">
        <v>399</v>
      </c>
      <c r="K185">
        <v>1454000000</v>
      </c>
      <c r="L185" s="4">
        <v>46513</v>
      </c>
      <c r="M185" s="6">
        <v>0.105</v>
      </c>
      <c r="N185">
        <v>105.4</v>
      </c>
      <c r="O185">
        <v>4</v>
      </c>
      <c r="P185" s="5">
        <f t="shared" si="2"/>
        <v>6.0296433402567497E-2</v>
      </c>
      <c r="Q185" t="str">
        <f t="array" ref="Q185:R185">VLOOKUP(A185,$X$3:$AA$330,{3,4},0)</f>
        <v>Indemnity</v>
      </c>
      <c r="R185" t="str">
        <v>Annual Aggregate</v>
      </c>
      <c r="X185" t="s">
        <v>217</v>
      </c>
      <c r="Y185">
        <v>175</v>
      </c>
      <c r="Z185" t="s">
        <v>387</v>
      </c>
      <c r="AA185" t="s">
        <v>383</v>
      </c>
    </row>
    <row r="186" spans="1:27">
      <c r="A186" t="s">
        <v>262</v>
      </c>
      <c r="B186">
        <v>220</v>
      </c>
      <c r="C186">
        <v>220</v>
      </c>
      <c r="D186" s="4" t="s">
        <v>713</v>
      </c>
      <c r="E186" s="4">
        <v>45444</v>
      </c>
      <c r="F186" s="4">
        <v>46513</v>
      </c>
      <c r="G186">
        <v>425000000</v>
      </c>
      <c r="H186" t="s">
        <v>712</v>
      </c>
      <c r="I186" t="s">
        <v>399</v>
      </c>
      <c r="J186">
        <v>0</v>
      </c>
      <c r="K186">
        <v>1217000000</v>
      </c>
      <c r="L186" s="4">
        <v>46513</v>
      </c>
      <c r="M186" s="6">
        <v>0.115</v>
      </c>
      <c r="N186">
        <v>107.85</v>
      </c>
      <c r="O186">
        <v>4</v>
      </c>
      <c r="P186" s="5">
        <f t="shared" si="2"/>
        <v>5.0488543585351181E-2</v>
      </c>
      <c r="Q186" t="str">
        <f t="array" ref="Q186:R186">VLOOKUP(A186,$X$3:$AA$330,{3,4},0)</f>
        <v>Indemnity</v>
      </c>
      <c r="R186" t="str">
        <v>Annual Aggregate</v>
      </c>
      <c r="X186" t="s">
        <v>218</v>
      </c>
      <c r="Y186">
        <v>176</v>
      </c>
      <c r="Z186" t="s">
        <v>387</v>
      </c>
      <c r="AA186" t="s">
        <v>388</v>
      </c>
    </row>
    <row r="187" spans="1:27">
      <c r="A187" t="s">
        <v>263</v>
      </c>
      <c r="B187">
        <v>221</v>
      </c>
      <c r="C187">
        <v>221</v>
      </c>
      <c r="D187" s="4" t="s">
        <v>714</v>
      </c>
      <c r="E187" s="4">
        <v>45444</v>
      </c>
      <c r="F187" s="4">
        <v>46513</v>
      </c>
      <c r="G187">
        <v>225000000</v>
      </c>
      <c r="H187" t="s">
        <v>712</v>
      </c>
      <c r="I187" t="s">
        <v>399</v>
      </c>
      <c r="K187">
        <v>1430000000</v>
      </c>
      <c r="L187" s="4">
        <v>46513</v>
      </c>
      <c r="M187" s="6">
        <v>0.1275</v>
      </c>
      <c r="N187">
        <v>108.35</v>
      </c>
      <c r="O187">
        <v>4</v>
      </c>
      <c r="P187" s="5">
        <f t="shared" si="2"/>
        <v>5.8471287935056585E-2</v>
      </c>
      <c r="Q187" t="str">
        <f t="array" ref="Q187:R187">VLOOKUP(A187,$X$3:$AA$330,{3,4},0)</f>
        <v>Indemnity</v>
      </c>
      <c r="R187" t="str">
        <v>Annual Aggregate</v>
      </c>
      <c r="X187" t="s">
        <v>219</v>
      </c>
      <c r="Y187">
        <v>177</v>
      </c>
      <c r="Z187" t="s">
        <v>387</v>
      </c>
      <c r="AA187" t="s">
        <v>388</v>
      </c>
    </row>
    <row r="188" spans="1:27">
      <c r="A188" t="s">
        <v>264</v>
      </c>
      <c r="B188">
        <v>222</v>
      </c>
      <c r="C188">
        <v>222</v>
      </c>
      <c r="D188" s="4" t="s">
        <v>715</v>
      </c>
      <c r="E188" s="4">
        <v>45792</v>
      </c>
      <c r="F188" s="4">
        <v>46887</v>
      </c>
      <c r="G188">
        <v>450000000</v>
      </c>
      <c r="H188" t="s">
        <v>712</v>
      </c>
      <c r="I188" t="s">
        <v>399</v>
      </c>
      <c r="K188">
        <v>1200000000</v>
      </c>
      <c r="L188" s="4">
        <v>46887</v>
      </c>
      <c r="M188" s="6">
        <v>8.7499999999999994E-2</v>
      </c>
      <c r="N188">
        <v>107.75</v>
      </c>
      <c r="O188">
        <v>4</v>
      </c>
      <c r="P188" s="5">
        <f t="shared" si="2"/>
        <v>5.1346131966244157E-2</v>
      </c>
      <c r="Q188" t="str">
        <f t="array" ref="Q188:R188">VLOOKUP(A188,$X$3:$AA$330,{3,4},0)</f>
        <v>Indemnity</v>
      </c>
      <c r="R188" t="str">
        <v>Annual Aggregate</v>
      </c>
      <c r="X188" t="s">
        <v>220</v>
      </c>
      <c r="Y188">
        <v>178</v>
      </c>
      <c r="Z188" t="s">
        <v>387</v>
      </c>
      <c r="AA188" t="s">
        <v>388</v>
      </c>
    </row>
    <row r="189" spans="1:27">
      <c r="A189" t="s">
        <v>265</v>
      </c>
      <c r="B189">
        <v>223</v>
      </c>
      <c r="C189">
        <v>223</v>
      </c>
      <c r="D189" s="4" t="s">
        <v>716</v>
      </c>
      <c r="E189" s="4">
        <v>45792</v>
      </c>
      <c r="F189" s="4">
        <v>46887</v>
      </c>
      <c r="G189">
        <v>475000000</v>
      </c>
      <c r="H189" t="s">
        <v>712</v>
      </c>
      <c r="I189" t="s">
        <v>399</v>
      </c>
      <c r="J189">
        <v>0</v>
      </c>
      <c r="K189">
        <v>1200000000</v>
      </c>
      <c r="L189" s="4">
        <v>46887</v>
      </c>
      <c r="M189" s="6">
        <v>9.7500000000000003E-2</v>
      </c>
      <c r="N189">
        <v>100</v>
      </c>
      <c r="O189">
        <v>4</v>
      </c>
      <c r="P189" s="5">
        <f t="shared" si="2"/>
        <v>9.7482060878507096E-2</v>
      </c>
      <c r="Q189" t="str">
        <f t="array" ref="Q189:R189">VLOOKUP(A189,$X$3:$AA$330,{3,4},0)</f>
        <v>Indemnity</v>
      </c>
      <c r="R189" t="str">
        <v>Annual Aggregate</v>
      </c>
      <c r="X189" t="s">
        <v>221</v>
      </c>
      <c r="Y189">
        <v>179</v>
      </c>
      <c r="Z189" t="s">
        <v>382</v>
      </c>
      <c r="AA189" t="s">
        <v>383</v>
      </c>
    </row>
    <row r="190" spans="1:27">
      <c r="A190" t="s">
        <v>266</v>
      </c>
      <c r="B190">
        <v>224</v>
      </c>
      <c r="C190">
        <v>224</v>
      </c>
      <c r="D190" s="4" t="s">
        <v>717</v>
      </c>
      <c r="E190" s="4">
        <v>45792</v>
      </c>
      <c r="F190" s="4">
        <v>46887</v>
      </c>
      <c r="G190">
        <v>375000000</v>
      </c>
      <c r="H190" t="s">
        <v>712</v>
      </c>
      <c r="I190" t="s">
        <v>399</v>
      </c>
      <c r="K190">
        <v>1200000000</v>
      </c>
      <c r="L190" s="4">
        <v>46887</v>
      </c>
      <c r="M190" s="6">
        <v>0.1125</v>
      </c>
      <c r="N190">
        <v>116</v>
      </c>
      <c r="O190">
        <v>4</v>
      </c>
      <c r="P190" s="5">
        <f t="shared" si="2"/>
        <v>3.8997824259910573E-2</v>
      </c>
      <c r="Q190" t="str">
        <f t="array" ref="Q190:R190">VLOOKUP(A190,$X$3:$AA$330,{3,4},0)</f>
        <v>Indemnity</v>
      </c>
      <c r="R190" t="str">
        <v>Annual Aggregate</v>
      </c>
      <c r="X190" t="s">
        <v>222</v>
      </c>
      <c r="Y190">
        <v>180</v>
      </c>
      <c r="Z190" t="s">
        <v>382</v>
      </c>
      <c r="AA190" t="s">
        <v>383</v>
      </c>
    </row>
    <row r="191" spans="1:27">
      <c r="A191" t="s">
        <v>267</v>
      </c>
      <c r="B191">
        <v>225</v>
      </c>
      <c r="C191">
        <v>225</v>
      </c>
      <c r="D191" s="4" t="s">
        <v>718</v>
      </c>
      <c r="E191" s="4">
        <v>45792</v>
      </c>
      <c r="F191" s="4">
        <v>46887</v>
      </c>
      <c r="G191">
        <v>225000000</v>
      </c>
      <c r="H191" t="s">
        <v>712</v>
      </c>
      <c r="I191" t="s">
        <v>399</v>
      </c>
      <c r="K191">
        <v>711000000</v>
      </c>
      <c r="L191" s="4">
        <v>46887</v>
      </c>
      <c r="M191" s="6">
        <v>0.13</v>
      </c>
      <c r="N191">
        <v>103.1</v>
      </c>
      <c r="O191">
        <v>4</v>
      </c>
      <c r="P191" s="5">
        <f t="shared" si="2"/>
        <v>0.11436950966817683</v>
      </c>
      <c r="Q191" t="str">
        <f t="array" ref="Q191:R191">VLOOKUP(A191,$X$3:$AA$330,{3,4},0)</f>
        <v>Indemnity</v>
      </c>
      <c r="R191" t="str">
        <v>Annual Aggregate</v>
      </c>
      <c r="X191" t="s">
        <v>223</v>
      </c>
      <c r="Y191">
        <v>181</v>
      </c>
      <c r="Z191" t="s">
        <v>382</v>
      </c>
      <c r="AA191" t="s">
        <v>388</v>
      </c>
    </row>
    <row r="192" spans="1:27">
      <c r="A192" t="s">
        <v>268</v>
      </c>
      <c r="B192">
        <v>226</v>
      </c>
      <c r="C192">
        <v>226</v>
      </c>
      <c r="D192" s="4" t="s">
        <v>719</v>
      </c>
      <c r="E192" s="4">
        <v>45301</v>
      </c>
      <c r="F192" s="4">
        <v>46387</v>
      </c>
      <c r="G192">
        <v>255000000</v>
      </c>
      <c r="H192" t="s">
        <v>720</v>
      </c>
      <c r="I192" t="s">
        <v>721</v>
      </c>
      <c r="J192">
        <v>0</v>
      </c>
      <c r="K192">
        <v>400000000</v>
      </c>
      <c r="L192" s="4">
        <v>46387</v>
      </c>
      <c r="M192" s="6">
        <v>4.02E-2</v>
      </c>
      <c r="N192">
        <v>101.25</v>
      </c>
      <c r="O192">
        <v>4</v>
      </c>
      <c r="P192" s="5">
        <f t="shared" si="2"/>
        <v>2.6345342368439523E-2</v>
      </c>
      <c r="Q192" t="str">
        <f t="array" ref="Q192:R192">VLOOKUP(A192,$X$3:$AA$330,{3,4},0)</f>
        <v>Indemnity</v>
      </c>
      <c r="R192" t="str">
        <v>Per Occurrence</v>
      </c>
      <c r="X192" t="s">
        <v>224</v>
      </c>
      <c r="Y192">
        <v>182</v>
      </c>
      <c r="Z192" t="s">
        <v>387</v>
      </c>
      <c r="AA192" t="s">
        <v>388</v>
      </c>
    </row>
    <row r="193" spans="1:27">
      <c r="A193" t="s">
        <v>270</v>
      </c>
      <c r="B193">
        <v>228</v>
      </c>
      <c r="C193">
        <v>228</v>
      </c>
      <c r="D193" s="4" t="s">
        <v>722</v>
      </c>
      <c r="E193" s="4">
        <v>45292</v>
      </c>
      <c r="F193" s="4">
        <v>46387</v>
      </c>
      <c r="G193">
        <v>300000000</v>
      </c>
      <c r="H193" t="s">
        <v>723</v>
      </c>
      <c r="I193" t="s">
        <v>418</v>
      </c>
      <c r="J193">
        <v>0</v>
      </c>
      <c r="K193">
        <v>511000000</v>
      </c>
      <c r="L193" s="4">
        <v>46387</v>
      </c>
      <c r="M193" s="6">
        <v>0.12</v>
      </c>
      <c r="N193">
        <v>103.15</v>
      </c>
      <c r="O193">
        <v>4</v>
      </c>
      <c r="P193" s="5">
        <f t="shared" si="2"/>
        <v>8.3860754763417367E-2</v>
      </c>
      <c r="Q193" t="str">
        <f t="array" ref="Q193:R193">VLOOKUP(A193,$X$3:$AA$330,{3,4},0)</f>
        <v>Industry Loss</v>
      </c>
      <c r="R193" t="str">
        <v>Per Occurrence</v>
      </c>
      <c r="X193" t="s">
        <v>225</v>
      </c>
      <c r="Y193">
        <v>183</v>
      </c>
      <c r="Z193" t="s">
        <v>387</v>
      </c>
      <c r="AA193" t="s">
        <v>388</v>
      </c>
    </row>
    <row r="194" spans="1:27">
      <c r="A194" t="s">
        <v>271</v>
      </c>
      <c r="B194">
        <v>229</v>
      </c>
      <c r="C194">
        <v>229</v>
      </c>
      <c r="D194" s="4" t="s">
        <v>724</v>
      </c>
      <c r="E194" s="4">
        <v>45748</v>
      </c>
      <c r="F194" s="4">
        <v>46843</v>
      </c>
      <c r="G194">
        <v>200000000</v>
      </c>
      <c r="H194" t="s">
        <v>725</v>
      </c>
      <c r="I194" t="s">
        <v>438</v>
      </c>
      <c r="K194">
        <v>200000000</v>
      </c>
      <c r="L194" s="4">
        <v>46843</v>
      </c>
      <c r="M194" s="6">
        <v>0.05</v>
      </c>
      <c r="N194">
        <v>102.35</v>
      </c>
      <c r="O194">
        <v>4</v>
      </c>
      <c r="P194" s="5">
        <f t="shared" si="2"/>
        <v>3.8634839003497699E-2</v>
      </c>
      <c r="Q194" t="str">
        <f t="array" ref="Q194:R194">VLOOKUP(A194,$X$3:$AA$330,{3,4},0)</f>
        <v>Industry Loss</v>
      </c>
      <c r="R194" t="str">
        <v>Per Occurrence</v>
      </c>
      <c r="X194" t="s">
        <v>226</v>
      </c>
      <c r="Y194">
        <v>184</v>
      </c>
      <c r="Z194" t="s">
        <v>387</v>
      </c>
      <c r="AA194" t="s">
        <v>388</v>
      </c>
    </row>
    <row r="195" spans="1:27">
      <c r="A195" t="s">
        <v>272</v>
      </c>
      <c r="B195">
        <v>230</v>
      </c>
      <c r="C195">
        <v>230</v>
      </c>
      <c r="D195" s="4" t="s">
        <v>726</v>
      </c>
      <c r="E195" s="4">
        <v>45809</v>
      </c>
      <c r="F195" s="4">
        <v>46880</v>
      </c>
      <c r="G195">
        <v>75000000</v>
      </c>
      <c r="H195" t="s">
        <v>727</v>
      </c>
      <c r="I195" t="s">
        <v>728</v>
      </c>
      <c r="K195">
        <v>100000000</v>
      </c>
      <c r="L195" s="4">
        <v>46880</v>
      </c>
      <c r="M195" s="6">
        <v>0.06</v>
      </c>
      <c r="N195">
        <v>105.6</v>
      </c>
      <c r="O195">
        <v>4</v>
      </c>
      <c r="P195" s="5">
        <f t="shared" ref="P195:P258" si="3">YIELD($O$1,L195,M195,N195,$P$1,O195)</f>
        <v>3.4216378413057039E-2</v>
      </c>
      <c r="Q195" t="str">
        <f t="array" ref="Q195:R195">VLOOKUP(A195,$X$3:$AA$330,{3,4},0)</f>
        <v>Indemnity</v>
      </c>
      <c r="R195" t="str">
        <v>Per Occurrence</v>
      </c>
      <c r="X195" t="s">
        <v>227</v>
      </c>
      <c r="Y195">
        <v>185</v>
      </c>
      <c r="Z195" t="s">
        <v>387</v>
      </c>
      <c r="AA195" t="s">
        <v>388</v>
      </c>
    </row>
    <row r="196" spans="1:27">
      <c r="A196" t="s">
        <v>273</v>
      </c>
      <c r="B196">
        <v>231</v>
      </c>
      <c r="C196">
        <v>231</v>
      </c>
      <c r="D196" s="4" t="s">
        <v>729</v>
      </c>
      <c r="E196" s="4">
        <v>45444</v>
      </c>
      <c r="F196" s="4">
        <v>46538</v>
      </c>
      <c r="G196">
        <v>150000000</v>
      </c>
      <c r="H196" t="s">
        <v>730</v>
      </c>
      <c r="I196" t="s">
        <v>399</v>
      </c>
      <c r="K196">
        <v>300000000</v>
      </c>
      <c r="L196" s="4">
        <v>46538</v>
      </c>
      <c r="M196" s="6">
        <v>9.7000000000000003E-2</v>
      </c>
      <c r="N196">
        <v>103</v>
      </c>
      <c r="O196">
        <v>4</v>
      </c>
      <c r="P196" s="5">
        <f t="shared" si="3"/>
        <v>7.3141318494445134E-2</v>
      </c>
      <c r="Q196" t="str">
        <f t="array" ref="Q196:R196">VLOOKUP(A196,$X$3:$AA$330,{3,4},0)</f>
        <v>Indemnity</v>
      </c>
      <c r="R196" t="str">
        <v>Per Occurrence</v>
      </c>
      <c r="X196" t="s">
        <v>228</v>
      </c>
      <c r="Y196">
        <v>186</v>
      </c>
      <c r="Z196" t="s">
        <v>387</v>
      </c>
      <c r="AA196" t="s">
        <v>388</v>
      </c>
    </row>
    <row r="197" spans="1:27">
      <c r="A197" t="s">
        <v>274</v>
      </c>
      <c r="B197">
        <v>232</v>
      </c>
      <c r="C197">
        <v>232</v>
      </c>
      <c r="D197" s="4" t="s">
        <v>731</v>
      </c>
      <c r="E197" s="4">
        <v>45444</v>
      </c>
      <c r="F197" s="4">
        <v>46439</v>
      </c>
      <c r="G197">
        <v>250000000</v>
      </c>
      <c r="H197" t="s">
        <v>732</v>
      </c>
      <c r="I197" t="s">
        <v>399</v>
      </c>
      <c r="J197">
        <v>0</v>
      </c>
      <c r="K197">
        <v>250000000</v>
      </c>
      <c r="L197" s="4">
        <v>46439</v>
      </c>
      <c r="M197" s="6">
        <v>0.1021</v>
      </c>
      <c r="N197">
        <v>102.9</v>
      </c>
      <c r="O197">
        <v>4</v>
      </c>
      <c r="P197" s="5">
        <f t="shared" si="3"/>
        <v>7.3259828195934934E-2</v>
      </c>
      <c r="Q197" t="str">
        <f t="array" ref="Q197:R197">VLOOKUP(A197,$X$3:$AA$330,{3,4},0)</f>
        <v>Indemnity</v>
      </c>
      <c r="R197" t="str">
        <v>Per Occurrence</v>
      </c>
      <c r="X197" t="s">
        <v>229</v>
      </c>
      <c r="Y197">
        <v>187</v>
      </c>
      <c r="Z197" t="s">
        <v>387</v>
      </c>
      <c r="AA197" t="s">
        <v>388</v>
      </c>
    </row>
    <row r="198" spans="1:27">
      <c r="A198" t="s">
        <v>275</v>
      </c>
      <c r="B198">
        <v>233</v>
      </c>
      <c r="C198">
        <v>233</v>
      </c>
      <c r="D198" s="4" t="s">
        <v>733</v>
      </c>
      <c r="E198" s="4">
        <v>45444</v>
      </c>
      <c r="F198" s="4">
        <v>46439</v>
      </c>
      <c r="G198">
        <v>150000000</v>
      </c>
      <c r="H198" t="s">
        <v>732</v>
      </c>
      <c r="I198" t="s">
        <v>399</v>
      </c>
      <c r="J198">
        <v>0</v>
      </c>
      <c r="K198">
        <v>200000000</v>
      </c>
      <c r="L198" s="4">
        <v>46439</v>
      </c>
      <c r="M198" s="6">
        <v>0.1169</v>
      </c>
      <c r="N198">
        <v>107.2</v>
      </c>
      <c r="O198">
        <v>4</v>
      </c>
      <c r="P198" s="5">
        <f t="shared" si="3"/>
        <v>4.6574226669147553E-2</v>
      </c>
      <c r="Q198" t="str">
        <f t="array" ref="Q198:R198">VLOOKUP(A198,$X$3:$AA$330,{3,4},0)</f>
        <v>Indemnity</v>
      </c>
      <c r="R198" t="str">
        <v>Per Occurrence</v>
      </c>
      <c r="X198" t="s">
        <v>230</v>
      </c>
      <c r="Y198">
        <v>188</v>
      </c>
      <c r="Z198" t="s">
        <v>387</v>
      </c>
      <c r="AA198" t="s">
        <v>388</v>
      </c>
    </row>
    <row r="199" spans="1:27">
      <c r="A199" t="s">
        <v>276</v>
      </c>
      <c r="B199">
        <v>234</v>
      </c>
      <c r="C199">
        <v>234</v>
      </c>
      <c r="D199" s="4" t="s">
        <v>734</v>
      </c>
      <c r="E199" s="4">
        <v>45809</v>
      </c>
      <c r="F199" s="4">
        <v>46796</v>
      </c>
      <c r="G199">
        <v>175000000</v>
      </c>
      <c r="H199" t="s">
        <v>732</v>
      </c>
      <c r="I199" t="s">
        <v>399</v>
      </c>
      <c r="J199">
        <v>0</v>
      </c>
      <c r="K199">
        <v>200000000</v>
      </c>
      <c r="L199" s="4">
        <v>46796</v>
      </c>
      <c r="M199" s="6">
        <v>6.5000000000000002E-2</v>
      </c>
      <c r="N199">
        <v>99.000846999999993</v>
      </c>
      <c r="O199">
        <v>4</v>
      </c>
      <c r="P199" s="5">
        <f t="shared" si="3"/>
        <v>7.0307738157950467E-2</v>
      </c>
      <c r="Q199" t="str">
        <f t="array" ref="Q199:R199">VLOOKUP(A199,$X$3:$AA$330,{3,4},0)</f>
        <v>Indemnity</v>
      </c>
      <c r="R199" t="str">
        <v>Per Occurrence</v>
      </c>
      <c r="X199" t="s">
        <v>231</v>
      </c>
      <c r="Y199">
        <v>189</v>
      </c>
      <c r="Z199" t="s">
        <v>382</v>
      </c>
      <c r="AA199" t="s">
        <v>388</v>
      </c>
    </row>
    <row r="200" spans="1:27">
      <c r="A200" t="s">
        <v>277</v>
      </c>
      <c r="B200">
        <v>235</v>
      </c>
      <c r="C200">
        <v>235</v>
      </c>
      <c r="D200" s="4" t="s">
        <v>735</v>
      </c>
      <c r="E200" s="4">
        <v>45809</v>
      </c>
      <c r="F200" s="4">
        <v>46904</v>
      </c>
      <c r="G200">
        <v>250000000</v>
      </c>
      <c r="H200" t="s">
        <v>730</v>
      </c>
      <c r="I200" t="s">
        <v>399</v>
      </c>
      <c r="K200">
        <v>400000000</v>
      </c>
      <c r="L200" s="4">
        <v>46904</v>
      </c>
      <c r="M200" s="6">
        <v>7.7499999999999999E-2</v>
      </c>
      <c r="N200">
        <v>99.014825999999999</v>
      </c>
      <c r="O200">
        <v>4</v>
      </c>
      <c r="P200" s="5">
        <f t="shared" si="3"/>
        <v>8.2162073313230471E-2</v>
      </c>
      <c r="Q200" t="str">
        <f t="array" ref="Q200:R200">VLOOKUP(A200,$X$3:$AA$330,{3,4},0)</f>
        <v>Indemnity</v>
      </c>
      <c r="R200" t="str">
        <v>Per Occurrence</v>
      </c>
      <c r="X200" t="s">
        <v>232</v>
      </c>
      <c r="Y200">
        <v>190</v>
      </c>
      <c r="Z200" t="s">
        <v>382</v>
      </c>
      <c r="AA200" t="s">
        <v>383</v>
      </c>
    </row>
    <row r="201" spans="1:27">
      <c r="A201" t="s">
        <v>278</v>
      </c>
      <c r="B201">
        <v>236</v>
      </c>
      <c r="C201">
        <v>236</v>
      </c>
      <c r="D201" s="4" t="s">
        <v>736</v>
      </c>
      <c r="E201" s="4">
        <v>45108</v>
      </c>
      <c r="F201" s="4">
        <v>46326</v>
      </c>
      <c r="G201">
        <v>150000000</v>
      </c>
      <c r="H201" t="s">
        <v>737</v>
      </c>
      <c r="I201" t="s">
        <v>738</v>
      </c>
      <c r="J201">
        <v>0</v>
      </c>
      <c r="K201">
        <v>150000000</v>
      </c>
      <c r="L201" s="4">
        <v>46326</v>
      </c>
      <c r="M201" s="6">
        <v>4.3499999999999997E-2</v>
      </c>
      <c r="N201">
        <v>98.982583000000005</v>
      </c>
      <c r="O201">
        <v>4</v>
      </c>
      <c r="P201" s="5">
        <f t="shared" si="3"/>
        <v>5.7457131758081759E-2</v>
      </c>
      <c r="Q201" t="str">
        <f t="array" ref="Q201:R201">VLOOKUP(A201,$X$3:$AA$330,{3,4},0)</f>
        <v>1st Gen Parametric</v>
      </c>
      <c r="R201" t="str">
        <v>Per Occurrence</v>
      </c>
      <c r="X201" t="s">
        <v>233</v>
      </c>
      <c r="Y201">
        <v>191</v>
      </c>
      <c r="Z201" t="s">
        <v>382</v>
      </c>
      <c r="AA201" t="s">
        <v>383</v>
      </c>
    </row>
    <row r="202" spans="1:27">
      <c r="A202" t="s">
        <v>279</v>
      </c>
      <c r="B202">
        <v>237</v>
      </c>
      <c r="C202">
        <v>237</v>
      </c>
      <c r="D202" s="4" t="s">
        <v>739</v>
      </c>
      <c r="E202" s="4">
        <v>45597</v>
      </c>
      <c r="F202" s="4">
        <v>46691</v>
      </c>
      <c r="G202">
        <v>225000000</v>
      </c>
      <c r="H202" t="s">
        <v>737</v>
      </c>
      <c r="I202" t="s">
        <v>740</v>
      </c>
      <c r="J202">
        <v>0</v>
      </c>
      <c r="K202">
        <v>225000000</v>
      </c>
      <c r="L202" s="4">
        <v>46691</v>
      </c>
      <c r="M202" s="6">
        <v>3.1E-2</v>
      </c>
      <c r="N202">
        <v>98.985917000000001</v>
      </c>
      <c r="O202">
        <v>4</v>
      </c>
      <c r="P202" s="5">
        <f t="shared" si="3"/>
        <v>3.7011206251393494E-2</v>
      </c>
      <c r="Q202" t="str">
        <f t="array" ref="Q202:R202">VLOOKUP(A202,$X$3:$AA$330,{3,4},0)</f>
        <v>1st Gen Parametric</v>
      </c>
      <c r="R202" t="str">
        <v>Per Occurrence</v>
      </c>
      <c r="X202" t="s">
        <v>234</v>
      </c>
      <c r="Y202">
        <v>192</v>
      </c>
      <c r="Z202" t="s">
        <v>382</v>
      </c>
      <c r="AA202" t="s">
        <v>383</v>
      </c>
    </row>
    <row r="203" spans="1:27">
      <c r="A203" t="s">
        <v>283</v>
      </c>
      <c r="B203">
        <v>241</v>
      </c>
      <c r="C203">
        <v>241</v>
      </c>
      <c r="D203" s="4" t="s">
        <v>741</v>
      </c>
      <c r="E203" s="4">
        <v>45818</v>
      </c>
      <c r="F203" s="4">
        <v>46904</v>
      </c>
      <c r="G203">
        <v>400000000</v>
      </c>
      <c r="H203" t="s">
        <v>742</v>
      </c>
      <c r="I203" t="s">
        <v>549</v>
      </c>
      <c r="K203">
        <v>400000000</v>
      </c>
      <c r="L203" s="4">
        <v>46904</v>
      </c>
      <c r="M203" s="6">
        <v>0.09</v>
      </c>
      <c r="N203">
        <v>98.938749999999999</v>
      </c>
      <c r="O203">
        <v>4</v>
      </c>
      <c r="P203" s="5">
        <f t="shared" si="3"/>
        <v>9.5096698647482145E-2</v>
      </c>
      <c r="Q203" t="str">
        <f t="array" ref="Q203:R203">VLOOKUP(A203,$X$3:$AA$330,{3,4},0)</f>
        <v>Indemnity</v>
      </c>
      <c r="R203" t="str">
        <v>Annual Aggregate</v>
      </c>
      <c r="X203" t="s">
        <v>235</v>
      </c>
      <c r="Y203">
        <v>193</v>
      </c>
      <c r="Z203" t="s">
        <v>387</v>
      </c>
      <c r="AA203" t="s">
        <v>662</v>
      </c>
    </row>
    <row r="204" spans="1:27">
      <c r="A204" t="s">
        <v>284</v>
      </c>
      <c r="B204">
        <v>242</v>
      </c>
      <c r="C204">
        <v>242</v>
      </c>
      <c r="D204" s="4" t="s">
        <v>743</v>
      </c>
      <c r="E204" s="4">
        <v>45216</v>
      </c>
      <c r="F204" s="4">
        <v>46356</v>
      </c>
      <c r="G204">
        <v>230000000</v>
      </c>
      <c r="H204" t="s">
        <v>744</v>
      </c>
      <c r="I204" t="s">
        <v>549</v>
      </c>
      <c r="J204">
        <v>0</v>
      </c>
      <c r="K204">
        <v>500000000</v>
      </c>
      <c r="L204" s="4">
        <v>46356</v>
      </c>
      <c r="M204" s="6">
        <v>9.2499999999999999E-2</v>
      </c>
      <c r="N204">
        <v>98.933278000000001</v>
      </c>
      <c r="O204">
        <v>4</v>
      </c>
      <c r="P204" s="5">
        <f t="shared" si="3"/>
        <v>0.10595739982150937</v>
      </c>
      <c r="Q204" t="str">
        <f t="array" ref="Q204:R204">VLOOKUP(A204,$X$3:$AA$330,{3,4},0)</f>
        <v>Indemnity</v>
      </c>
      <c r="R204" t="str">
        <v>Annual Aggregate</v>
      </c>
      <c r="X204" t="s">
        <v>236</v>
      </c>
      <c r="Y204">
        <v>194</v>
      </c>
      <c r="Z204" t="s">
        <v>387</v>
      </c>
      <c r="AA204" t="s">
        <v>662</v>
      </c>
    </row>
    <row r="205" spans="1:27">
      <c r="A205" t="s">
        <v>285</v>
      </c>
      <c r="B205">
        <v>243</v>
      </c>
      <c r="C205">
        <v>243</v>
      </c>
      <c r="D205" s="4" t="s">
        <v>745</v>
      </c>
      <c r="E205" s="4">
        <v>45265</v>
      </c>
      <c r="F205" s="4">
        <v>46356</v>
      </c>
      <c r="G205">
        <v>300000000</v>
      </c>
      <c r="H205" t="s">
        <v>744</v>
      </c>
      <c r="I205" t="s">
        <v>549</v>
      </c>
      <c r="J205">
        <v>0</v>
      </c>
      <c r="K205">
        <v>1000000000</v>
      </c>
      <c r="L205" s="4">
        <v>46356</v>
      </c>
      <c r="M205" s="6">
        <v>5.5E-2</v>
      </c>
      <c r="N205">
        <v>98.908541999999997</v>
      </c>
      <c r="O205">
        <v>4</v>
      </c>
      <c r="P205" s="5">
        <f t="shared" si="3"/>
        <v>6.8554720272275063E-2</v>
      </c>
      <c r="Q205" t="str">
        <f t="array" ref="Q205:R205">VLOOKUP(A205,$X$3:$AA$330,{3,4},0)</f>
        <v>Indemnity</v>
      </c>
      <c r="R205" t="str">
        <v>Annual Aggregate</v>
      </c>
      <c r="X205" t="s">
        <v>237</v>
      </c>
      <c r="Y205">
        <v>195</v>
      </c>
      <c r="Z205" t="s">
        <v>387</v>
      </c>
      <c r="AA205" t="s">
        <v>388</v>
      </c>
    </row>
    <row r="206" spans="1:27">
      <c r="A206" t="s">
        <v>286</v>
      </c>
      <c r="B206">
        <v>244</v>
      </c>
      <c r="C206">
        <v>244</v>
      </c>
      <c r="D206" s="4" t="s">
        <v>746</v>
      </c>
      <c r="E206" s="4">
        <v>45265</v>
      </c>
      <c r="F206" s="4">
        <v>46356</v>
      </c>
      <c r="G206">
        <v>350000000</v>
      </c>
      <c r="H206" t="s">
        <v>744</v>
      </c>
      <c r="I206" t="s">
        <v>549</v>
      </c>
      <c r="J206">
        <v>0</v>
      </c>
      <c r="K206">
        <v>500000000</v>
      </c>
      <c r="L206" s="4">
        <v>46356</v>
      </c>
      <c r="M206" s="6">
        <v>8.7499999999999994E-2</v>
      </c>
      <c r="N206">
        <v>98.920277999999996</v>
      </c>
      <c r="O206">
        <v>4</v>
      </c>
      <c r="P206" s="5">
        <f t="shared" si="3"/>
        <v>0.10109613161172952</v>
      </c>
      <c r="Q206" t="str">
        <f t="array" ref="Q206:R206">VLOOKUP(A206,$X$3:$AA$330,{3,4},0)</f>
        <v>Indemnity</v>
      </c>
      <c r="R206" t="str">
        <v>Annual Aggregate</v>
      </c>
      <c r="X206" t="s">
        <v>238</v>
      </c>
      <c r="Y206">
        <v>196</v>
      </c>
      <c r="Z206" t="s">
        <v>387</v>
      </c>
      <c r="AA206" t="s">
        <v>388</v>
      </c>
    </row>
    <row r="207" spans="1:27">
      <c r="A207" t="s">
        <v>289</v>
      </c>
      <c r="B207">
        <v>247</v>
      </c>
      <c r="C207">
        <v>247</v>
      </c>
      <c r="D207" s="4" t="s">
        <v>747</v>
      </c>
      <c r="E207" s="4">
        <v>45703</v>
      </c>
      <c r="F207" s="4">
        <v>46797</v>
      </c>
      <c r="G207">
        <v>400000000</v>
      </c>
      <c r="H207" t="s">
        <v>744</v>
      </c>
      <c r="I207" t="s">
        <v>549</v>
      </c>
      <c r="J207">
        <v>0</v>
      </c>
      <c r="K207">
        <v>500000000</v>
      </c>
      <c r="L207" s="4">
        <v>46797</v>
      </c>
      <c r="M207" s="6">
        <v>7.4999999999999997E-2</v>
      </c>
      <c r="N207">
        <v>98.954999999999998</v>
      </c>
      <c r="O207">
        <v>4</v>
      </c>
      <c r="P207" s="5">
        <f t="shared" si="3"/>
        <v>8.0603975710409614E-2</v>
      </c>
      <c r="Q207" t="str">
        <f t="array" ref="Q207:R207">VLOOKUP(A207,$X$3:$AA$330,{3,4},0)</f>
        <v>Indemnity</v>
      </c>
      <c r="R207" t="str">
        <v>Annual Aggregate</v>
      </c>
      <c r="X207" t="s">
        <v>239</v>
      </c>
      <c r="Y207">
        <v>197</v>
      </c>
      <c r="Z207" t="s">
        <v>387</v>
      </c>
      <c r="AA207" t="s">
        <v>388</v>
      </c>
    </row>
    <row r="208" spans="1:27">
      <c r="A208" t="s">
        <v>290</v>
      </c>
      <c r="B208">
        <v>248</v>
      </c>
      <c r="C208">
        <v>248</v>
      </c>
      <c r="D208" s="4" t="s">
        <v>748</v>
      </c>
      <c r="E208" s="4">
        <v>44927</v>
      </c>
      <c r="F208" s="4">
        <v>46112</v>
      </c>
      <c r="G208">
        <v>110000000</v>
      </c>
      <c r="H208" t="s">
        <v>749</v>
      </c>
      <c r="I208" t="s">
        <v>418</v>
      </c>
      <c r="J208">
        <v>0</v>
      </c>
      <c r="K208">
        <v>87000000</v>
      </c>
      <c r="L208" s="4">
        <v>46112</v>
      </c>
      <c r="M208" s="6">
        <v>0.13400000000000001</v>
      </c>
      <c r="N208">
        <v>99.988167000000004</v>
      </c>
      <c r="O208">
        <v>4</v>
      </c>
      <c r="P208" s="5">
        <f t="shared" si="3"/>
        <v>0.13323792257462846</v>
      </c>
      <c r="Q208" t="str">
        <f t="array" ref="Q208:R208">VLOOKUP(A208,$X$3:$AA$330,{3,4},0)</f>
        <v>Industry Loss</v>
      </c>
      <c r="R208" t="str">
        <v>Annual Aggregate</v>
      </c>
      <c r="X208" t="s">
        <v>240</v>
      </c>
      <c r="Y208">
        <v>198</v>
      </c>
      <c r="Z208" t="s">
        <v>387</v>
      </c>
      <c r="AA208" t="s">
        <v>750</v>
      </c>
    </row>
    <row r="209" spans="1:27">
      <c r="A209" t="s">
        <v>291</v>
      </c>
      <c r="B209">
        <v>249</v>
      </c>
      <c r="C209">
        <v>249</v>
      </c>
      <c r="D209" s="4" t="s">
        <v>751</v>
      </c>
      <c r="E209" s="4">
        <v>45078</v>
      </c>
      <c r="F209" s="4">
        <v>46538</v>
      </c>
      <c r="G209">
        <v>225000000</v>
      </c>
      <c r="H209" t="s">
        <v>752</v>
      </c>
      <c r="I209" t="s">
        <v>753</v>
      </c>
      <c r="K209">
        <v>272000000</v>
      </c>
      <c r="L209" s="4">
        <v>46538</v>
      </c>
      <c r="M209" s="6">
        <v>8.7499999999999994E-2</v>
      </c>
      <c r="N209">
        <v>99.905332999999999</v>
      </c>
      <c r="O209">
        <v>4</v>
      </c>
      <c r="P209" s="5">
        <f t="shared" si="3"/>
        <v>8.8217730730238461E-2</v>
      </c>
      <c r="Q209" t="str">
        <f t="array" ref="Q209:R209">VLOOKUP(A209,$X$3:$AA$330,{3,4},0)</f>
        <v>Indemnity</v>
      </c>
      <c r="R209" t="str">
        <v>Per Occurrence</v>
      </c>
      <c r="X209" t="s">
        <v>241</v>
      </c>
      <c r="Y209">
        <v>199</v>
      </c>
      <c r="Z209" t="s">
        <v>387</v>
      </c>
      <c r="AA209" t="s">
        <v>388</v>
      </c>
    </row>
    <row r="210" spans="1:27">
      <c r="A210" t="s">
        <v>292</v>
      </c>
      <c r="B210">
        <v>250</v>
      </c>
      <c r="C210">
        <v>250</v>
      </c>
      <c r="D210" s="4" t="s">
        <v>754</v>
      </c>
      <c r="E210" s="4">
        <v>44993</v>
      </c>
      <c r="F210" s="4">
        <v>46088</v>
      </c>
      <c r="G210">
        <v>225000000</v>
      </c>
      <c r="H210" t="s">
        <v>385</v>
      </c>
      <c r="I210" t="s">
        <v>386</v>
      </c>
      <c r="J210">
        <v>0</v>
      </c>
      <c r="K210">
        <v>2465000000</v>
      </c>
      <c r="L210" s="4">
        <v>46088</v>
      </c>
      <c r="M210" s="6">
        <v>0.17150000000000001</v>
      </c>
      <c r="N210">
        <v>99.021319000000005</v>
      </c>
      <c r="O210">
        <v>4</v>
      </c>
      <c r="P210" s="5">
        <f t="shared" si="3"/>
        <v>0.25797620727406578</v>
      </c>
      <c r="Q210" t="str">
        <f t="array" ref="Q210:R210">VLOOKUP(A210,$X$3:$AA$330,{3,4},0)</f>
        <v>Indemnity</v>
      </c>
      <c r="R210" t="str">
        <v>Per Occurrence</v>
      </c>
      <c r="X210" t="s">
        <v>242</v>
      </c>
      <c r="Y210">
        <v>200</v>
      </c>
      <c r="Z210" t="s">
        <v>387</v>
      </c>
      <c r="AA210" t="s">
        <v>388</v>
      </c>
    </row>
    <row r="211" spans="1:27">
      <c r="A211" t="s">
        <v>293</v>
      </c>
      <c r="B211">
        <v>251</v>
      </c>
      <c r="C211">
        <v>251</v>
      </c>
      <c r="D211" s="4" t="s">
        <v>755</v>
      </c>
      <c r="E211" s="4">
        <v>44993</v>
      </c>
      <c r="F211" s="4">
        <v>46088</v>
      </c>
      <c r="G211">
        <v>50000000</v>
      </c>
      <c r="H211" t="s">
        <v>385</v>
      </c>
      <c r="I211" t="s">
        <v>386</v>
      </c>
      <c r="J211">
        <v>0</v>
      </c>
      <c r="K211">
        <v>1516000000</v>
      </c>
      <c r="L211" s="4">
        <v>46088</v>
      </c>
      <c r="M211" s="6">
        <v>0.224</v>
      </c>
      <c r="N211">
        <v>99.014583000000002</v>
      </c>
      <c r="O211">
        <v>4</v>
      </c>
      <c r="P211" s="5">
        <f t="shared" si="3"/>
        <v>0.30654518686220933</v>
      </c>
      <c r="Q211" t="str">
        <f t="array" ref="Q211:R211">VLOOKUP(A211,$X$3:$AA$330,{3,4},0)</f>
        <v>Indemnity</v>
      </c>
      <c r="R211" t="str">
        <v>Per Occurrence</v>
      </c>
      <c r="X211" t="s">
        <v>243</v>
      </c>
      <c r="Y211">
        <v>201</v>
      </c>
      <c r="Z211" t="s">
        <v>387</v>
      </c>
      <c r="AA211" t="s">
        <v>388</v>
      </c>
    </row>
    <row r="212" spans="1:27">
      <c r="A212" t="s">
        <v>294</v>
      </c>
      <c r="B212">
        <v>252</v>
      </c>
      <c r="C212">
        <v>252</v>
      </c>
      <c r="D212" s="4" t="s">
        <v>384</v>
      </c>
      <c r="E212" s="4">
        <v>45359</v>
      </c>
      <c r="F212" s="4">
        <v>46453</v>
      </c>
      <c r="G212">
        <v>475000000</v>
      </c>
      <c r="H212" t="s">
        <v>385</v>
      </c>
      <c r="I212" t="s">
        <v>386</v>
      </c>
      <c r="J212">
        <v>0</v>
      </c>
      <c r="K212">
        <v>2000000000</v>
      </c>
      <c r="L212" s="4">
        <v>46453</v>
      </c>
      <c r="M212" s="6">
        <v>0.14360000000000001</v>
      </c>
      <c r="N212">
        <v>99.646944000000005</v>
      </c>
      <c r="O212">
        <v>4</v>
      </c>
      <c r="P212" s="5">
        <f t="shared" si="3"/>
        <v>0.14697871962876677</v>
      </c>
      <c r="Q212" t="str">
        <f t="array" ref="Q212:R212">VLOOKUP(A212,$X$3:$AA$330,{3,4},0)</f>
        <v>Indemnity</v>
      </c>
      <c r="R212" t="str">
        <v>Per Occurrence</v>
      </c>
      <c r="X212" t="s">
        <v>244</v>
      </c>
      <c r="Y212">
        <v>202</v>
      </c>
      <c r="Z212" t="s">
        <v>387</v>
      </c>
      <c r="AA212" t="s">
        <v>388</v>
      </c>
    </row>
    <row r="213" spans="1:27">
      <c r="A213" t="s">
        <v>295</v>
      </c>
      <c r="B213">
        <v>253</v>
      </c>
      <c r="C213">
        <v>253</v>
      </c>
      <c r="D213" s="4" t="s">
        <v>756</v>
      </c>
      <c r="E213" s="4">
        <v>45359</v>
      </c>
      <c r="F213" s="4">
        <v>46453</v>
      </c>
      <c r="G213">
        <v>100000000</v>
      </c>
      <c r="H213" t="s">
        <v>385</v>
      </c>
      <c r="I213" t="s">
        <v>386</v>
      </c>
      <c r="J213">
        <v>0</v>
      </c>
      <c r="K213">
        <v>1000000000</v>
      </c>
      <c r="L213" s="4">
        <v>46453</v>
      </c>
      <c r="M213" s="6">
        <v>0.17630000000000001</v>
      </c>
      <c r="N213">
        <v>99.648235999999997</v>
      </c>
      <c r="O213">
        <v>4</v>
      </c>
      <c r="P213" s="5">
        <f t="shared" si="3"/>
        <v>0.17965746216644635</v>
      </c>
      <c r="Q213" t="str">
        <f t="array" ref="Q213:R213">VLOOKUP(A213,$X$3:$AA$330,{3,4},0)</f>
        <v>Indemnity</v>
      </c>
      <c r="R213" t="str">
        <v>Per Occurrence</v>
      </c>
      <c r="X213" t="s">
        <v>245</v>
      </c>
      <c r="Y213">
        <v>203</v>
      </c>
      <c r="Z213" t="s">
        <v>387</v>
      </c>
      <c r="AA213" t="s">
        <v>388</v>
      </c>
    </row>
    <row r="214" spans="1:27">
      <c r="A214" t="s">
        <v>296</v>
      </c>
      <c r="B214">
        <v>254</v>
      </c>
      <c r="C214">
        <v>254</v>
      </c>
      <c r="D214" s="4" t="s">
        <v>757</v>
      </c>
      <c r="E214" s="4">
        <v>45292</v>
      </c>
      <c r="F214" s="4">
        <v>46387</v>
      </c>
      <c r="G214">
        <v>200000000</v>
      </c>
      <c r="H214" t="s">
        <v>758</v>
      </c>
      <c r="I214" t="s">
        <v>759</v>
      </c>
      <c r="K214">
        <v>301000000</v>
      </c>
      <c r="L214" s="4">
        <v>46387</v>
      </c>
      <c r="M214" s="6">
        <v>6.25E-2</v>
      </c>
      <c r="N214">
        <v>99.570389000000006</v>
      </c>
      <c r="O214">
        <v>4</v>
      </c>
      <c r="P214" s="5">
        <f t="shared" si="3"/>
        <v>6.7339290125844498E-2</v>
      </c>
      <c r="Q214" t="str">
        <f t="array" ref="Q214:R214">VLOOKUP(A214,$X$3:$AA$330,{3,4},0)</f>
        <v>Indemnity</v>
      </c>
      <c r="R214" t="str">
        <v>Per Occurrence</v>
      </c>
      <c r="X214" t="s">
        <v>246</v>
      </c>
      <c r="Y214">
        <v>204</v>
      </c>
      <c r="Z214" t="s">
        <v>387</v>
      </c>
      <c r="AA214" t="s">
        <v>388</v>
      </c>
    </row>
    <row r="215" spans="1:27">
      <c r="A215" t="s">
        <v>297</v>
      </c>
      <c r="B215">
        <v>255</v>
      </c>
      <c r="C215">
        <v>255</v>
      </c>
      <c r="D215" s="4" t="s">
        <v>760</v>
      </c>
      <c r="E215" s="4">
        <v>45492</v>
      </c>
      <c r="F215" s="4">
        <v>46568</v>
      </c>
      <c r="G215">
        <v>150000000</v>
      </c>
      <c r="H215" t="s">
        <v>761</v>
      </c>
      <c r="I215" t="s">
        <v>627</v>
      </c>
      <c r="K215">
        <v>150000000</v>
      </c>
      <c r="L215" s="4">
        <v>46568</v>
      </c>
      <c r="M215" s="6">
        <v>7.8299999999999995E-2</v>
      </c>
      <c r="N215">
        <v>99.498889000000005</v>
      </c>
      <c r="O215">
        <v>4</v>
      </c>
      <c r="P215" s="5">
        <f t="shared" si="3"/>
        <v>8.2049630268391585E-2</v>
      </c>
      <c r="Q215" t="str">
        <f t="array" ref="Q215:R215">VLOOKUP(A215,$X$3:$AA$330,{3,4},0)</f>
        <v>Indemnity</v>
      </c>
      <c r="R215" t="str">
        <v>Annual Aggregate</v>
      </c>
      <c r="X215" t="s">
        <v>247</v>
      </c>
      <c r="Y215">
        <v>205</v>
      </c>
      <c r="Z215" t="s">
        <v>387</v>
      </c>
      <c r="AA215" t="s">
        <v>388</v>
      </c>
    </row>
    <row r="216" spans="1:27">
      <c r="A216" t="s">
        <v>298</v>
      </c>
      <c r="B216">
        <v>256</v>
      </c>
      <c r="C216">
        <v>256</v>
      </c>
      <c r="D216" s="4" t="s">
        <v>762</v>
      </c>
      <c r="E216" s="4">
        <v>45384</v>
      </c>
      <c r="F216" s="4">
        <v>46477</v>
      </c>
      <c r="G216">
        <v>100000000</v>
      </c>
      <c r="H216" t="s">
        <v>763</v>
      </c>
      <c r="I216" t="s">
        <v>764</v>
      </c>
      <c r="K216">
        <v>100000000</v>
      </c>
      <c r="L216" s="4">
        <v>46477</v>
      </c>
      <c r="M216" s="6">
        <v>8.5199999999999998E-2</v>
      </c>
      <c r="N216">
        <v>99.518638999999993</v>
      </c>
      <c r="O216">
        <v>4</v>
      </c>
      <c r="P216" s="5">
        <f t="shared" si="3"/>
        <v>8.9543448123955718E-2</v>
      </c>
      <c r="Q216" t="str">
        <f t="array" ref="Q216:R216">VLOOKUP(A216,$X$3:$AA$330,{3,4},0)</f>
        <v>Indemnity</v>
      </c>
      <c r="R216" t="str">
        <v>Per Occurrence</v>
      </c>
      <c r="X216" t="s">
        <v>248</v>
      </c>
      <c r="Y216">
        <v>206</v>
      </c>
      <c r="Z216" t="s">
        <v>387</v>
      </c>
      <c r="AA216" t="s">
        <v>388</v>
      </c>
    </row>
    <row r="217" spans="1:27">
      <c r="A217" t="s">
        <v>299</v>
      </c>
      <c r="B217">
        <v>257</v>
      </c>
      <c r="C217">
        <v>257</v>
      </c>
      <c r="D217" s="4" t="s">
        <v>765</v>
      </c>
      <c r="E217" s="4">
        <v>45748</v>
      </c>
      <c r="F217" s="4">
        <v>47208</v>
      </c>
      <c r="G217">
        <v>150000000</v>
      </c>
      <c r="H217" t="s">
        <v>766</v>
      </c>
      <c r="I217" t="s">
        <v>680</v>
      </c>
      <c r="K217">
        <v>150000000</v>
      </c>
      <c r="L217" s="4">
        <v>47208</v>
      </c>
      <c r="M217" s="6">
        <v>2.75E-2</v>
      </c>
      <c r="N217">
        <v>99.529832999999996</v>
      </c>
      <c r="O217">
        <v>4</v>
      </c>
      <c r="P217" s="5">
        <f t="shared" si="3"/>
        <v>2.9057644389047774E-2</v>
      </c>
      <c r="Q217" t="str">
        <f t="array" ref="Q217:R217">VLOOKUP(A217,$X$3:$AA$330,{3,4},0)</f>
        <v>Indemnity</v>
      </c>
      <c r="R217" t="str">
        <v>Per Occurrence</v>
      </c>
      <c r="X217" t="s">
        <v>249</v>
      </c>
      <c r="Y217">
        <v>207</v>
      </c>
      <c r="Z217" t="s">
        <v>387</v>
      </c>
      <c r="AA217" t="s">
        <v>388</v>
      </c>
    </row>
    <row r="218" spans="1:27">
      <c r="A218" t="s">
        <v>300</v>
      </c>
      <c r="B218">
        <v>258</v>
      </c>
      <c r="C218">
        <v>258</v>
      </c>
      <c r="D218" s="4" t="s">
        <v>767</v>
      </c>
      <c r="E218" s="4">
        <v>45839</v>
      </c>
      <c r="F218" s="4">
        <v>46934</v>
      </c>
      <c r="G218">
        <v>150000000</v>
      </c>
      <c r="H218" t="s">
        <v>768</v>
      </c>
      <c r="I218" t="s">
        <v>769</v>
      </c>
      <c r="K218">
        <v>200000000</v>
      </c>
      <c r="L218" s="4">
        <v>46934</v>
      </c>
      <c r="M218" s="6">
        <v>3.5000000000000003E-2</v>
      </c>
      <c r="N218">
        <v>99.577250000000006</v>
      </c>
      <c r="O218">
        <v>4</v>
      </c>
      <c r="P218" s="5">
        <f t="shared" si="3"/>
        <v>3.6832487227773082E-2</v>
      </c>
      <c r="Q218" t="str">
        <f t="array" ref="Q218:R218">VLOOKUP(A218,$X$3:$AA$330,{3,4},0)</f>
        <v>Indemnity</v>
      </c>
      <c r="R218" t="str">
        <v>Per Occurrence</v>
      </c>
      <c r="X218" t="s">
        <v>250</v>
      </c>
      <c r="Y218">
        <v>208</v>
      </c>
      <c r="Z218" t="s">
        <v>511</v>
      </c>
      <c r="AA218" t="s">
        <v>388</v>
      </c>
    </row>
    <row r="219" spans="1:27">
      <c r="A219" t="s">
        <v>301</v>
      </c>
      <c r="B219">
        <v>259</v>
      </c>
      <c r="C219">
        <v>259</v>
      </c>
      <c r="D219" s="4" t="s">
        <v>770</v>
      </c>
      <c r="E219" s="4">
        <v>45292</v>
      </c>
      <c r="F219" s="4">
        <v>46752</v>
      </c>
      <c r="G219">
        <v>110000000</v>
      </c>
      <c r="H219" t="s">
        <v>771</v>
      </c>
      <c r="I219" t="s">
        <v>772</v>
      </c>
      <c r="J219">
        <v>0</v>
      </c>
      <c r="K219">
        <v>300000000</v>
      </c>
      <c r="L219" s="4">
        <v>46752</v>
      </c>
      <c r="M219" s="6">
        <v>8.9899999999999994E-2</v>
      </c>
      <c r="N219">
        <v>99.764624999999995</v>
      </c>
      <c r="O219">
        <v>4</v>
      </c>
      <c r="P219" s="5">
        <f t="shared" si="3"/>
        <v>9.1220125886356446E-2</v>
      </c>
      <c r="Q219" t="str">
        <f t="array" ref="Q219:R219">VLOOKUP(A219,$X$3:$AA$330,{3,4},0)</f>
        <v>Indemnity</v>
      </c>
      <c r="R219" t="str">
        <v>Per Occurrence</v>
      </c>
      <c r="X219" t="s">
        <v>251</v>
      </c>
      <c r="Y219">
        <v>209</v>
      </c>
      <c r="Z219" t="s">
        <v>387</v>
      </c>
      <c r="AA219" t="s">
        <v>388</v>
      </c>
    </row>
    <row r="220" spans="1:27">
      <c r="A220" t="s">
        <v>302</v>
      </c>
      <c r="B220">
        <v>260</v>
      </c>
      <c r="C220">
        <v>260</v>
      </c>
      <c r="D220" s="4" t="s">
        <v>773</v>
      </c>
      <c r="E220" s="4">
        <v>45292</v>
      </c>
      <c r="F220" s="4">
        <v>46752</v>
      </c>
      <c r="G220">
        <v>50000000</v>
      </c>
      <c r="H220" t="s">
        <v>774</v>
      </c>
      <c r="I220" t="s">
        <v>627</v>
      </c>
      <c r="J220">
        <v>90000000</v>
      </c>
      <c r="K220">
        <v>90000000</v>
      </c>
      <c r="L220" s="4">
        <v>46752</v>
      </c>
      <c r="M220" s="6">
        <v>6.3100000000000003E-2</v>
      </c>
      <c r="N220">
        <v>99.775000000000006</v>
      </c>
      <c r="O220">
        <v>4</v>
      </c>
      <c r="P220" s="5">
        <f t="shared" si="3"/>
        <v>6.4341574979968688E-2</v>
      </c>
      <c r="Q220" t="str">
        <f t="array" ref="Q220:R220">VLOOKUP(A220,$X$3:$AA$330,{3,4},0)</f>
        <v>Indemnity</v>
      </c>
      <c r="R220" t="str">
        <v>Annual Aggregate</v>
      </c>
      <c r="X220" t="s">
        <v>252</v>
      </c>
      <c r="Y220">
        <v>210</v>
      </c>
      <c r="Z220" t="s">
        <v>387</v>
      </c>
      <c r="AA220" t="s">
        <v>388</v>
      </c>
    </row>
    <row r="221" spans="1:27">
      <c r="A221" t="s">
        <v>303</v>
      </c>
      <c r="B221">
        <v>261</v>
      </c>
      <c r="C221">
        <v>261</v>
      </c>
      <c r="D221" s="4" t="s">
        <v>775</v>
      </c>
      <c r="E221" s="4">
        <v>45135</v>
      </c>
      <c r="F221" s="4">
        <v>46230</v>
      </c>
      <c r="G221">
        <v>150000000</v>
      </c>
      <c r="H221" t="s">
        <v>776</v>
      </c>
      <c r="I221" t="s">
        <v>549</v>
      </c>
      <c r="K221">
        <v>150000000</v>
      </c>
      <c r="L221" s="4">
        <v>46230</v>
      </c>
      <c r="M221" s="6">
        <v>6.7000000000000004E-2</v>
      </c>
      <c r="N221">
        <v>99.820667</v>
      </c>
      <c r="O221">
        <v>4</v>
      </c>
      <c r="P221" s="5">
        <f t="shared" si="3"/>
        <v>7.0751268577908283E-2</v>
      </c>
      <c r="Q221" t="str">
        <f t="array" ref="Q221:R221">VLOOKUP(A221,$X$3:$AA$330,{3,4},0)</f>
        <v>Indemnity</v>
      </c>
      <c r="R221" t="str">
        <v>Annual Aggregate</v>
      </c>
      <c r="X221" t="s">
        <v>253</v>
      </c>
      <c r="Y221">
        <v>211</v>
      </c>
      <c r="Z221" t="s">
        <v>387</v>
      </c>
      <c r="AA221" t="s">
        <v>388</v>
      </c>
    </row>
    <row r="222" spans="1:27">
      <c r="A222" t="s">
        <v>304</v>
      </c>
      <c r="B222">
        <v>262</v>
      </c>
      <c r="C222">
        <v>262</v>
      </c>
      <c r="D222" s="4" t="s">
        <v>777</v>
      </c>
      <c r="E222" s="4">
        <v>45135</v>
      </c>
      <c r="F222" s="4">
        <v>46230</v>
      </c>
      <c r="G222">
        <v>100000000</v>
      </c>
      <c r="H222" t="s">
        <v>776</v>
      </c>
      <c r="I222" t="s">
        <v>778</v>
      </c>
      <c r="K222">
        <v>300000000</v>
      </c>
      <c r="L222" s="4">
        <v>46230</v>
      </c>
      <c r="M222" s="6">
        <v>6.2300000000000001E-2</v>
      </c>
      <c r="N222">
        <v>99.084083000000007</v>
      </c>
      <c r="O222">
        <v>4</v>
      </c>
      <c r="P222" s="5">
        <f t="shared" si="3"/>
        <v>8.158715128218641E-2</v>
      </c>
      <c r="Q222" t="str">
        <f t="array" ref="Q222:R222">VLOOKUP(A222,$X$3:$AA$330,{3,4},0)</f>
        <v>Indemnity</v>
      </c>
      <c r="R222" t="str">
        <v>Per Occurrence (Named Storm) and Annual Aggregate (Earthquake)</v>
      </c>
      <c r="X222" t="s">
        <v>254</v>
      </c>
      <c r="Y222">
        <v>212</v>
      </c>
      <c r="Z222" t="s">
        <v>387</v>
      </c>
      <c r="AA222" t="s">
        <v>388</v>
      </c>
    </row>
    <row r="223" spans="1:27">
      <c r="A223" t="s">
        <v>305</v>
      </c>
      <c r="B223">
        <v>263</v>
      </c>
      <c r="C223">
        <v>263</v>
      </c>
      <c r="D223" s="4" t="s">
        <v>779</v>
      </c>
      <c r="E223" s="4">
        <v>45809</v>
      </c>
      <c r="F223" s="4">
        <v>46904</v>
      </c>
      <c r="G223">
        <v>95000000</v>
      </c>
      <c r="H223" t="s">
        <v>780</v>
      </c>
      <c r="I223" t="s">
        <v>508</v>
      </c>
      <c r="K223">
        <v>110000000</v>
      </c>
      <c r="L223" s="4">
        <v>46904</v>
      </c>
      <c r="M223" s="6">
        <v>7.2499999999999995E-2</v>
      </c>
      <c r="N223">
        <v>99.747</v>
      </c>
      <c r="O223">
        <v>4</v>
      </c>
      <c r="P223" s="5">
        <f t="shared" si="3"/>
        <v>7.3672774830430651E-2</v>
      </c>
      <c r="Q223" t="str">
        <f t="array" ref="Q223:R223">VLOOKUP(A223,$X$3:$AA$330,{3,4},0)</f>
        <v>Indemnity</v>
      </c>
      <c r="R223" t="str">
        <v>Per Occurrence</v>
      </c>
      <c r="X223" t="s">
        <v>255</v>
      </c>
      <c r="Y223">
        <v>213</v>
      </c>
      <c r="Z223" t="s">
        <v>781</v>
      </c>
      <c r="AA223" t="s">
        <v>782</v>
      </c>
    </row>
    <row r="224" spans="1:27">
      <c r="A224" t="s">
        <v>306</v>
      </c>
      <c r="B224">
        <v>264</v>
      </c>
      <c r="C224">
        <v>264</v>
      </c>
      <c r="D224" s="4" t="s">
        <v>783</v>
      </c>
      <c r="E224" s="4">
        <v>45292</v>
      </c>
      <c r="F224" s="4">
        <v>46477</v>
      </c>
      <c r="G224">
        <v>100000000</v>
      </c>
      <c r="H224" t="s">
        <v>749</v>
      </c>
      <c r="I224" t="s">
        <v>418</v>
      </c>
      <c r="J224">
        <v>0</v>
      </c>
      <c r="K224">
        <v>36000000</v>
      </c>
      <c r="L224" s="4">
        <v>46477</v>
      </c>
      <c r="M224" s="6">
        <v>0.12379999999999999</v>
      </c>
      <c r="N224">
        <v>99.188056000000003</v>
      </c>
      <c r="O224">
        <v>4</v>
      </c>
      <c r="P224" s="5">
        <f t="shared" si="3"/>
        <v>0.13131557998361276</v>
      </c>
      <c r="Q224" t="str">
        <f t="array" ref="Q224:R224">VLOOKUP(A224,$X$3:$AA$330,{3,4},0)</f>
        <v>Industry Loss</v>
      </c>
      <c r="R224" t="str">
        <v>Annual Aggregate</v>
      </c>
      <c r="X224" t="s">
        <v>256</v>
      </c>
      <c r="Y224">
        <v>214</v>
      </c>
      <c r="Z224" t="s">
        <v>387</v>
      </c>
      <c r="AA224" t="s">
        <v>388</v>
      </c>
    </row>
    <row r="225" spans="1:27">
      <c r="A225" t="s">
        <v>307</v>
      </c>
      <c r="B225">
        <v>265</v>
      </c>
      <c r="C225">
        <v>265</v>
      </c>
      <c r="D225" s="4" t="s">
        <v>784</v>
      </c>
      <c r="E225" s="4">
        <v>45292</v>
      </c>
      <c r="F225" s="4">
        <v>46477</v>
      </c>
      <c r="G225">
        <v>100000000</v>
      </c>
      <c r="H225" t="s">
        <v>785</v>
      </c>
      <c r="I225" t="s">
        <v>786</v>
      </c>
      <c r="K225">
        <v>300000000</v>
      </c>
      <c r="L225" s="4">
        <v>46477</v>
      </c>
      <c r="M225" s="6">
        <v>0.10290000000000001</v>
      </c>
      <c r="N225">
        <v>100</v>
      </c>
      <c r="O225">
        <v>4</v>
      </c>
      <c r="P225" s="5">
        <f t="shared" si="3"/>
        <v>0.1028333054502394</v>
      </c>
      <c r="Q225" t="str">
        <f t="array" ref="Q225:R225">VLOOKUP(A225,$X$3:$AA$330,{3,4},0)</f>
        <v>Indemnity</v>
      </c>
      <c r="R225" t="str">
        <v>Per Occurrence</v>
      </c>
      <c r="X225" t="s">
        <v>257</v>
      </c>
      <c r="Y225">
        <v>215</v>
      </c>
      <c r="Z225" t="s">
        <v>387</v>
      </c>
      <c r="AA225" t="s">
        <v>388</v>
      </c>
    </row>
    <row r="226" spans="1:27">
      <c r="A226" t="s">
        <v>308</v>
      </c>
      <c r="B226">
        <v>266</v>
      </c>
      <c r="C226">
        <v>266</v>
      </c>
      <c r="D226" s="4" t="s">
        <v>787</v>
      </c>
      <c r="E226" s="4">
        <v>45658</v>
      </c>
      <c r="F226" s="4">
        <v>46843</v>
      </c>
      <c r="G226">
        <v>200000000</v>
      </c>
      <c r="H226" t="s">
        <v>788</v>
      </c>
      <c r="I226" t="s">
        <v>786</v>
      </c>
      <c r="J226">
        <v>0</v>
      </c>
      <c r="K226">
        <v>300000000</v>
      </c>
      <c r="L226" s="4">
        <v>46843</v>
      </c>
      <c r="M226" s="6">
        <v>5.1400000000000001E-2</v>
      </c>
      <c r="N226">
        <v>99.893056000000001</v>
      </c>
      <c r="O226">
        <v>4</v>
      </c>
      <c r="P226" s="5">
        <f t="shared" si="3"/>
        <v>5.1916028302966273E-2</v>
      </c>
      <c r="Q226" t="str">
        <f t="array" ref="Q226:R226">VLOOKUP(A226,$X$3:$AA$330,{3,4},0)</f>
        <v>Indemnity</v>
      </c>
      <c r="R226" t="str">
        <v>Per Occurrence</v>
      </c>
      <c r="X226" t="s">
        <v>258</v>
      </c>
      <c r="Y226">
        <v>216</v>
      </c>
      <c r="Z226" t="s">
        <v>387</v>
      </c>
      <c r="AA226" t="s">
        <v>388</v>
      </c>
    </row>
    <row r="227" spans="1:27">
      <c r="A227" t="s">
        <v>309</v>
      </c>
      <c r="B227">
        <v>267</v>
      </c>
      <c r="C227">
        <v>267</v>
      </c>
      <c r="D227" s="4" t="s">
        <v>789</v>
      </c>
      <c r="E227" s="4">
        <v>45748</v>
      </c>
      <c r="F227" s="4">
        <v>46843</v>
      </c>
      <c r="G227">
        <v>85000000</v>
      </c>
      <c r="H227" t="s">
        <v>749</v>
      </c>
      <c r="I227" t="s">
        <v>418</v>
      </c>
      <c r="K227">
        <v>85000000</v>
      </c>
      <c r="L227" s="4">
        <v>46843</v>
      </c>
      <c r="M227" s="6">
        <v>5.7500000000000002E-2</v>
      </c>
      <c r="N227">
        <v>99.232485999999994</v>
      </c>
      <c r="O227">
        <v>4</v>
      </c>
      <c r="P227" s="5">
        <f t="shared" si="3"/>
        <v>6.1297799090386469E-2</v>
      </c>
      <c r="Q227" t="str">
        <f t="array" ref="Q227:R227">VLOOKUP(A227,$X$3:$AA$330,{3,4},0)</f>
        <v>Industry Loss</v>
      </c>
      <c r="R227" t="str">
        <v>Per Occurrence</v>
      </c>
      <c r="X227" t="s">
        <v>259</v>
      </c>
      <c r="Y227">
        <v>217</v>
      </c>
      <c r="Z227" t="s">
        <v>382</v>
      </c>
      <c r="AA227" t="s">
        <v>383</v>
      </c>
    </row>
    <row r="228" spans="1:27">
      <c r="A228" t="s">
        <v>310</v>
      </c>
      <c r="B228">
        <v>268</v>
      </c>
      <c r="C228">
        <v>268</v>
      </c>
      <c r="D228" s="4" t="s">
        <v>790</v>
      </c>
      <c r="E228" s="4">
        <v>45748</v>
      </c>
      <c r="F228" s="4">
        <v>46843</v>
      </c>
      <c r="G228">
        <v>30000000</v>
      </c>
      <c r="H228" t="s">
        <v>749</v>
      </c>
      <c r="I228" t="s">
        <v>418</v>
      </c>
      <c r="J228">
        <v>5000000</v>
      </c>
      <c r="K228">
        <v>5000000</v>
      </c>
      <c r="L228" s="4">
        <v>46843</v>
      </c>
      <c r="M228" s="6">
        <v>6.6100000000000006E-2</v>
      </c>
      <c r="N228">
        <v>99.245000000000005</v>
      </c>
      <c r="O228">
        <v>4</v>
      </c>
      <c r="P228" s="5">
        <f t="shared" si="3"/>
        <v>6.9869387244817893E-2</v>
      </c>
      <c r="Q228" t="str">
        <f t="array" ref="Q228:R228">VLOOKUP(A228,$X$3:$AA$330,{3,4},0)</f>
        <v>Industry Loss</v>
      </c>
      <c r="R228" t="str">
        <v>Per Occurrence</v>
      </c>
      <c r="X228" t="s">
        <v>260</v>
      </c>
      <c r="Y228">
        <v>218</v>
      </c>
      <c r="Z228" t="s">
        <v>387</v>
      </c>
      <c r="AA228" t="s">
        <v>388</v>
      </c>
    </row>
    <row r="229" spans="1:27">
      <c r="A229" t="s">
        <v>311</v>
      </c>
      <c r="B229">
        <v>269</v>
      </c>
      <c r="C229">
        <v>269</v>
      </c>
      <c r="D229" s="4" t="s">
        <v>791</v>
      </c>
      <c r="E229" s="4">
        <v>45658</v>
      </c>
      <c r="F229" s="4">
        <v>46752</v>
      </c>
      <c r="G229">
        <v>125000000</v>
      </c>
      <c r="H229" t="s">
        <v>723</v>
      </c>
      <c r="I229" t="s">
        <v>786</v>
      </c>
      <c r="J229">
        <v>0</v>
      </c>
      <c r="K229">
        <v>1300000000</v>
      </c>
      <c r="L229" s="4">
        <v>46752</v>
      </c>
      <c r="M229" s="6">
        <v>0.04</v>
      </c>
      <c r="N229">
        <v>99.245000000000005</v>
      </c>
      <c r="O229">
        <v>4</v>
      </c>
      <c r="P229" s="5">
        <f t="shared" si="3"/>
        <v>4.4123052365965566E-2</v>
      </c>
      <c r="Q229" t="str">
        <f t="array" ref="Q229:R229">VLOOKUP(A229,$X$3:$AA$330,{3,4},0)</f>
        <v>Indemnity</v>
      </c>
      <c r="R229" t="str">
        <v>Per Occurrence</v>
      </c>
      <c r="X229" t="s">
        <v>261</v>
      </c>
      <c r="Y229">
        <v>219</v>
      </c>
      <c r="Z229" t="s">
        <v>387</v>
      </c>
      <c r="AA229" t="s">
        <v>383</v>
      </c>
    </row>
    <row r="230" spans="1:27">
      <c r="A230" t="s">
        <v>312</v>
      </c>
      <c r="B230">
        <v>270</v>
      </c>
      <c r="C230">
        <v>270</v>
      </c>
      <c r="D230" s="4" t="s">
        <v>792</v>
      </c>
      <c r="E230" s="4">
        <v>45658</v>
      </c>
      <c r="F230" s="4">
        <v>46752</v>
      </c>
      <c r="G230">
        <v>100000000</v>
      </c>
      <c r="H230" t="s">
        <v>723</v>
      </c>
      <c r="I230" t="s">
        <v>786</v>
      </c>
      <c r="J230">
        <v>0</v>
      </c>
      <c r="K230">
        <v>750000000</v>
      </c>
      <c r="L230" s="4">
        <v>46752</v>
      </c>
      <c r="M230" s="6">
        <v>0.10249999999999999</v>
      </c>
      <c r="N230">
        <v>101</v>
      </c>
      <c r="O230">
        <v>4</v>
      </c>
      <c r="P230" s="5">
        <f t="shared" si="3"/>
        <v>9.6682409055478785E-2</v>
      </c>
      <c r="Q230" t="str">
        <f t="array" ref="Q230:R230">VLOOKUP(A230,$X$3:$AA$330,{3,4},0)</f>
        <v>Indemnity</v>
      </c>
      <c r="R230" t="str">
        <v>Per Occurrence</v>
      </c>
      <c r="X230" t="s">
        <v>262</v>
      </c>
      <c r="Y230">
        <v>220</v>
      </c>
      <c r="Z230" t="s">
        <v>387</v>
      </c>
      <c r="AA230" t="s">
        <v>383</v>
      </c>
    </row>
    <row r="231" spans="1:27">
      <c r="A231" t="s">
        <v>313</v>
      </c>
      <c r="B231">
        <v>271</v>
      </c>
      <c r="C231">
        <v>271</v>
      </c>
      <c r="D231" s="4" t="s">
        <v>793</v>
      </c>
      <c r="E231" s="4">
        <v>45658</v>
      </c>
      <c r="F231" s="4">
        <v>46752</v>
      </c>
      <c r="G231">
        <v>100000000</v>
      </c>
      <c r="H231" t="s">
        <v>723</v>
      </c>
      <c r="I231" t="s">
        <v>794</v>
      </c>
      <c r="J231">
        <v>0</v>
      </c>
      <c r="K231">
        <v>500000000</v>
      </c>
      <c r="L231" s="4">
        <v>46752</v>
      </c>
      <c r="M231" s="6">
        <v>0.14000000000000001</v>
      </c>
      <c r="N231">
        <v>100.2</v>
      </c>
      <c r="O231">
        <v>4</v>
      </c>
      <c r="P231" s="5">
        <f t="shared" si="3"/>
        <v>0.13871397775808891</v>
      </c>
      <c r="Q231" t="str">
        <f t="array" ref="Q231:R231">VLOOKUP(A231,$X$3:$AA$330,{3,4},0)</f>
        <v>Indemnity</v>
      </c>
      <c r="R231" t="str">
        <v>Annual Aggregate</v>
      </c>
      <c r="X231" t="s">
        <v>263</v>
      </c>
      <c r="Y231">
        <v>221</v>
      </c>
      <c r="Z231" t="s">
        <v>387</v>
      </c>
      <c r="AA231" t="s">
        <v>383</v>
      </c>
    </row>
    <row r="232" spans="1:27">
      <c r="A232" t="s">
        <v>314</v>
      </c>
      <c r="B232">
        <v>272</v>
      </c>
      <c r="C232">
        <v>272</v>
      </c>
      <c r="D232" s="4" t="s">
        <v>795</v>
      </c>
      <c r="E232" s="4">
        <v>45078</v>
      </c>
      <c r="F232" s="4">
        <v>46173</v>
      </c>
      <c r="G232">
        <v>500000000</v>
      </c>
      <c r="H232" t="s">
        <v>796</v>
      </c>
      <c r="I232" t="s">
        <v>630</v>
      </c>
      <c r="K232">
        <v>1000000000</v>
      </c>
      <c r="L232" s="4">
        <v>46173</v>
      </c>
      <c r="M232" s="6">
        <v>9.0800000000000006E-2</v>
      </c>
      <c r="N232">
        <v>102.85</v>
      </c>
      <c r="O232">
        <v>4</v>
      </c>
      <c r="P232" s="5">
        <f t="shared" si="3"/>
        <v>5.1615028620166656E-3</v>
      </c>
      <c r="Q232" t="str">
        <f t="array" ref="Q232:R232">VLOOKUP(A232,$X$3:$AA$330,{3,4},0)</f>
        <v>Indemnity</v>
      </c>
      <c r="R232" t="str">
        <v>Annual Aggregate</v>
      </c>
      <c r="X232" t="s">
        <v>264</v>
      </c>
      <c r="Y232">
        <v>222</v>
      </c>
      <c r="Z232" t="s">
        <v>387</v>
      </c>
      <c r="AA232" t="s">
        <v>383</v>
      </c>
    </row>
    <row r="233" spans="1:27">
      <c r="A233" t="s">
        <v>315</v>
      </c>
      <c r="B233">
        <v>273</v>
      </c>
      <c r="C233">
        <v>273</v>
      </c>
      <c r="D233" s="4" t="s">
        <v>797</v>
      </c>
      <c r="E233" s="4">
        <v>45444</v>
      </c>
      <c r="F233" s="4">
        <v>46538</v>
      </c>
      <c r="G233">
        <v>500000000</v>
      </c>
      <c r="H233" t="s">
        <v>796</v>
      </c>
      <c r="I233" t="s">
        <v>630</v>
      </c>
      <c r="K233">
        <v>1427000000</v>
      </c>
      <c r="L233" s="4">
        <v>46538</v>
      </c>
      <c r="M233" s="6">
        <v>6.54E-2</v>
      </c>
      <c r="N233">
        <v>101</v>
      </c>
      <c r="O233">
        <v>4</v>
      </c>
      <c r="P233" s="5">
        <f t="shared" si="3"/>
        <v>5.7534496272377271E-2</v>
      </c>
      <c r="Q233" t="str">
        <f t="array" ref="Q233:R233">VLOOKUP(A233,$X$3:$AA$330,{3,4},0)</f>
        <v>Indemnity</v>
      </c>
      <c r="R233" t="str">
        <v>Annual Aggregate</v>
      </c>
      <c r="X233" t="s">
        <v>265</v>
      </c>
      <c r="Y233">
        <v>223</v>
      </c>
      <c r="Z233" t="s">
        <v>387</v>
      </c>
      <c r="AA233" t="s">
        <v>383</v>
      </c>
    </row>
    <row r="234" spans="1:27">
      <c r="A234" t="s">
        <v>316</v>
      </c>
      <c r="B234">
        <v>274</v>
      </c>
      <c r="C234">
        <v>274</v>
      </c>
      <c r="D234" s="4" t="s">
        <v>798</v>
      </c>
      <c r="E234" s="4">
        <v>45444</v>
      </c>
      <c r="F234" s="4">
        <v>46538</v>
      </c>
      <c r="G234">
        <v>500000000</v>
      </c>
      <c r="H234" t="s">
        <v>796</v>
      </c>
      <c r="I234" t="s">
        <v>630</v>
      </c>
      <c r="K234">
        <v>1000000000</v>
      </c>
      <c r="L234" s="4">
        <v>46538</v>
      </c>
      <c r="M234" s="6">
        <v>8.4339999999999998E-2</v>
      </c>
      <c r="N234">
        <v>103.95</v>
      </c>
      <c r="O234">
        <v>4</v>
      </c>
      <c r="P234" s="5">
        <f t="shared" si="3"/>
        <v>5.3425669034294208E-2</v>
      </c>
      <c r="Q234" t="str">
        <f t="array" ref="Q234:R234">VLOOKUP(A234,$X$3:$AA$330,{3,4},0)</f>
        <v>Indemnity</v>
      </c>
      <c r="R234" t="str">
        <v>Annual Aggregate</v>
      </c>
      <c r="X234" t="s">
        <v>266</v>
      </c>
      <c r="Y234">
        <v>224</v>
      </c>
      <c r="Z234" t="s">
        <v>387</v>
      </c>
      <c r="AA234" t="s">
        <v>383</v>
      </c>
    </row>
    <row r="235" spans="1:27">
      <c r="A235" t="s">
        <v>317</v>
      </c>
      <c r="B235">
        <v>275</v>
      </c>
      <c r="C235">
        <v>275</v>
      </c>
      <c r="D235" s="4" t="s">
        <v>799</v>
      </c>
      <c r="E235" s="4">
        <v>45444</v>
      </c>
      <c r="F235" s="4">
        <v>46173</v>
      </c>
      <c r="G235">
        <v>400000000</v>
      </c>
      <c r="H235" t="s">
        <v>796</v>
      </c>
      <c r="I235" t="s">
        <v>630</v>
      </c>
      <c r="K235">
        <v>1800000000</v>
      </c>
      <c r="L235" s="4">
        <v>46173</v>
      </c>
      <c r="M235" s="6">
        <v>0.1188</v>
      </c>
      <c r="N235">
        <v>100.25</v>
      </c>
      <c r="O235">
        <v>4</v>
      </c>
      <c r="P235" s="5">
        <f t="shared" si="3"/>
        <v>0.11077768785524626</v>
      </c>
      <c r="Q235" t="str">
        <f t="array" ref="Q235:R235">VLOOKUP(A235,$X$3:$AA$330,{3,4},0)</f>
        <v>Indemnity</v>
      </c>
      <c r="R235" t="str">
        <v>Annual Aggregate</v>
      </c>
      <c r="X235" t="s">
        <v>267</v>
      </c>
      <c r="Y235">
        <v>225</v>
      </c>
      <c r="Z235" t="s">
        <v>387</v>
      </c>
      <c r="AA235" t="s">
        <v>383</v>
      </c>
    </row>
    <row r="236" spans="1:27">
      <c r="A236" t="s">
        <v>319</v>
      </c>
      <c r="B236">
        <v>277</v>
      </c>
      <c r="C236">
        <v>277</v>
      </c>
      <c r="D236" s="4" t="s">
        <v>800</v>
      </c>
      <c r="E236" s="4">
        <v>45078</v>
      </c>
      <c r="F236" s="4">
        <v>46173</v>
      </c>
      <c r="G236">
        <v>300000000</v>
      </c>
      <c r="H236" t="s">
        <v>488</v>
      </c>
      <c r="I236" t="s">
        <v>801</v>
      </c>
      <c r="J236">
        <v>0</v>
      </c>
      <c r="K236">
        <v>300000000</v>
      </c>
      <c r="L236" s="4">
        <v>46173</v>
      </c>
      <c r="M236" s="6">
        <v>7.7200000000000005E-2</v>
      </c>
      <c r="N236">
        <v>102.3</v>
      </c>
      <c r="O236">
        <v>4</v>
      </c>
      <c r="P236" s="5">
        <f t="shared" si="3"/>
        <v>8.0255415510790944E-3</v>
      </c>
      <c r="Q236" t="str">
        <f t="array" ref="Q236:R236">VLOOKUP(A236,$X$3:$AA$330,{3,4},0)</f>
        <v>Indemnity</v>
      </c>
      <c r="R236" t="str">
        <v>Per Occurrence</v>
      </c>
      <c r="X236" t="s">
        <v>268</v>
      </c>
      <c r="Y236">
        <v>226</v>
      </c>
      <c r="Z236" t="s">
        <v>387</v>
      </c>
      <c r="AA236" t="s">
        <v>388</v>
      </c>
    </row>
    <row r="237" spans="1:27">
      <c r="A237" t="s">
        <v>320</v>
      </c>
      <c r="B237">
        <v>278</v>
      </c>
      <c r="C237">
        <v>278</v>
      </c>
      <c r="D237" s="4" t="s">
        <v>802</v>
      </c>
      <c r="E237" s="4">
        <v>45658</v>
      </c>
      <c r="F237" s="4">
        <v>47118</v>
      </c>
      <c r="G237">
        <v>175000000</v>
      </c>
      <c r="H237" t="s">
        <v>803</v>
      </c>
      <c r="I237" t="s">
        <v>418</v>
      </c>
      <c r="J237">
        <v>0</v>
      </c>
      <c r="K237">
        <v>200000000</v>
      </c>
      <c r="L237" s="4">
        <v>47118</v>
      </c>
      <c r="M237" s="6">
        <v>0.08</v>
      </c>
      <c r="N237">
        <v>102.2</v>
      </c>
      <c r="O237">
        <v>4</v>
      </c>
      <c r="P237" s="5">
        <f t="shared" si="3"/>
        <v>7.1560509980549566E-2</v>
      </c>
      <c r="Q237" t="str">
        <f t="array" ref="Q237:R237">VLOOKUP(A237,$X$3:$AA$330,{3,4},0)</f>
        <v>Industry Loss</v>
      </c>
      <c r="R237" t="str">
        <v>Annual Aggregate</v>
      </c>
      <c r="X237" t="s">
        <v>269</v>
      </c>
      <c r="Y237">
        <v>227</v>
      </c>
      <c r="Z237" t="s">
        <v>387</v>
      </c>
      <c r="AA237" t="s">
        <v>388</v>
      </c>
    </row>
    <row r="238" spans="1:27">
      <c r="A238" t="s">
        <v>321</v>
      </c>
      <c r="B238">
        <v>279</v>
      </c>
      <c r="C238">
        <v>279</v>
      </c>
      <c r="D238" s="4" t="s">
        <v>804</v>
      </c>
      <c r="E238" s="4">
        <v>45658</v>
      </c>
      <c r="F238" s="4">
        <v>46752</v>
      </c>
      <c r="G238">
        <v>175000000</v>
      </c>
      <c r="H238" t="s">
        <v>803</v>
      </c>
      <c r="I238" t="s">
        <v>418</v>
      </c>
      <c r="J238">
        <v>0</v>
      </c>
      <c r="K238">
        <v>200000000</v>
      </c>
      <c r="L238" s="4">
        <v>46752</v>
      </c>
      <c r="M238" s="6">
        <v>0.105</v>
      </c>
      <c r="N238">
        <v>102.6</v>
      </c>
      <c r="O238">
        <v>4</v>
      </c>
      <c r="P238" s="5">
        <f t="shared" si="3"/>
        <v>9.0041634665630643E-2</v>
      </c>
      <c r="Q238" t="str">
        <f t="array" ref="Q238:R238">VLOOKUP(A238,$X$3:$AA$330,{3,4},0)</f>
        <v>Industry Loss</v>
      </c>
      <c r="R238" t="str">
        <v>Annual Aggregate</v>
      </c>
      <c r="X238" t="s">
        <v>270</v>
      </c>
      <c r="Y238">
        <v>228</v>
      </c>
      <c r="Z238" t="s">
        <v>382</v>
      </c>
      <c r="AA238" t="s">
        <v>388</v>
      </c>
    </row>
    <row r="239" spans="1:27">
      <c r="A239" t="s">
        <v>322</v>
      </c>
      <c r="B239">
        <v>280</v>
      </c>
      <c r="C239">
        <v>280</v>
      </c>
      <c r="D239" s="4" t="s">
        <v>805</v>
      </c>
      <c r="E239" s="4">
        <v>45462</v>
      </c>
      <c r="F239" s="4">
        <v>46556</v>
      </c>
      <c r="G239">
        <v>150000000</v>
      </c>
      <c r="H239" t="s">
        <v>803</v>
      </c>
      <c r="I239" t="s">
        <v>418</v>
      </c>
      <c r="J239">
        <v>0</v>
      </c>
      <c r="K239">
        <v>150000000</v>
      </c>
      <c r="L239" s="4">
        <v>46556</v>
      </c>
      <c r="M239" s="6">
        <v>9.7500000000000003E-2</v>
      </c>
      <c r="N239">
        <v>101.6</v>
      </c>
      <c r="O239">
        <v>4</v>
      </c>
      <c r="P239" s="5">
        <f t="shared" si="3"/>
        <v>8.5044568741467416E-2</v>
      </c>
      <c r="Q239" t="str">
        <f t="array" ref="Q239:R239">VLOOKUP(A239,$X$3:$AA$330,{3,4},0)</f>
        <v>Industry Loss</v>
      </c>
      <c r="R239" t="str">
        <v>Annual Aggregate</v>
      </c>
      <c r="X239" t="s">
        <v>271</v>
      </c>
      <c r="Y239">
        <v>229</v>
      </c>
      <c r="Z239" t="s">
        <v>382</v>
      </c>
      <c r="AA239" t="s">
        <v>388</v>
      </c>
    </row>
    <row r="240" spans="1:27">
      <c r="A240" t="s">
        <v>325</v>
      </c>
      <c r="B240">
        <v>283</v>
      </c>
      <c r="C240">
        <v>283</v>
      </c>
      <c r="D240" s="4" t="e">
        <v>#VALUE!</v>
      </c>
      <c r="E240" s="4">
        <v>45292</v>
      </c>
      <c r="F240" s="4">
        <v>46387</v>
      </c>
      <c r="G240">
        <v>175000000</v>
      </c>
      <c r="H240" t="s">
        <v>806</v>
      </c>
      <c r="I240" t="s">
        <v>807</v>
      </c>
      <c r="K240">
        <v>250000000</v>
      </c>
      <c r="L240" s="4">
        <v>46387</v>
      </c>
      <c r="M240" s="6">
        <v>5.3999999999999999E-2</v>
      </c>
      <c r="N240">
        <v>103.85</v>
      </c>
      <c r="O240">
        <v>4</v>
      </c>
      <c r="P240" s="5">
        <f t="shared" si="3"/>
        <v>1.170796763540769E-2</v>
      </c>
      <c r="Q240" t="str">
        <f t="array" ref="Q240:R240">VLOOKUP(A240,$X$3:$AA$330,{3,4},0)</f>
        <v>Indemnity</v>
      </c>
      <c r="R240" t="str">
        <v>Per Occurrence</v>
      </c>
      <c r="X240" t="s">
        <v>272</v>
      </c>
      <c r="Y240">
        <v>230</v>
      </c>
      <c r="Z240" t="s">
        <v>387</v>
      </c>
      <c r="AA240" t="s">
        <v>388</v>
      </c>
    </row>
    <row r="241" spans="1:27">
      <c r="A241" t="s">
        <v>326</v>
      </c>
      <c r="B241">
        <v>284</v>
      </c>
      <c r="C241">
        <v>284</v>
      </c>
      <c r="D241" s="4" t="s">
        <v>808</v>
      </c>
      <c r="E241" s="4">
        <v>45658</v>
      </c>
      <c r="F241" s="4">
        <v>47118</v>
      </c>
      <c r="G241">
        <v>75000000</v>
      </c>
      <c r="H241" t="s">
        <v>809</v>
      </c>
      <c r="I241" t="s">
        <v>810</v>
      </c>
      <c r="K241">
        <v>75000000</v>
      </c>
      <c r="L241" s="4">
        <v>47118</v>
      </c>
      <c r="M241" s="6">
        <v>0.06</v>
      </c>
      <c r="N241">
        <v>102.4</v>
      </c>
      <c r="O241">
        <v>4</v>
      </c>
      <c r="P241" s="5">
        <f t="shared" si="3"/>
        <v>5.1083035138982803E-2</v>
      </c>
      <c r="Q241" t="str">
        <f t="array" ref="Q241:R241">VLOOKUP(A241,$X$3:$AA$330,{3,4},0)</f>
        <v>Indemnity</v>
      </c>
      <c r="R241" t="str">
        <v>Per Occurrence</v>
      </c>
      <c r="X241" t="s">
        <v>273</v>
      </c>
      <c r="Y241">
        <v>231</v>
      </c>
      <c r="Z241" t="s">
        <v>387</v>
      </c>
      <c r="AA241" t="s">
        <v>388</v>
      </c>
    </row>
    <row r="242" spans="1:27">
      <c r="A242" t="s">
        <v>327</v>
      </c>
      <c r="B242">
        <v>285</v>
      </c>
      <c r="C242">
        <v>285</v>
      </c>
      <c r="D242" s="4" t="s">
        <v>811</v>
      </c>
      <c r="E242" s="4">
        <v>45292</v>
      </c>
      <c r="F242" s="4">
        <v>46387</v>
      </c>
      <c r="G242">
        <v>75000000</v>
      </c>
      <c r="H242" t="s">
        <v>809</v>
      </c>
      <c r="I242" t="s">
        <v>810</v>
      </c>
      <c r="K242">
        <v>75000000</v>
      </c>
      <c r="L242" s="4">
        <v>46387</v>
      </c>
      <c r="M242" s="6">
        <v>7.8100000000000003E-2</v>
      </c>
      <c r="N242">
        <v>103.1</v>
      </c>
      <c r="O242">
        <v>4</v>
      </c>
      <c r="P242" s="5">
        <f t="shared" si="3"/>
        <v>4.3395467383722096E-2</v>
      </c>
      <c r="Q242" t="str">
        <f t="array" ref="Q242:R242">VLOOKUP(A242,$X$3:$AA$330,{3,4},0)</f>
        <v>Indemnity</v>
      </c>
      <c r="R242" t="str">
        <v>Per Occurrence</v>
      </c>
      <c r="X242" t="s">
        <v>274</v>
      </c>
      <c r="Y242">
        <v>232</v>
      </c>
      <c r="Z242" t="s">
        <v>387</v>
      </c>
      <c r="AA242" t="s">
        <v>388</v>
      </c>
    </row>
    <row r="243" spans="1:27">
      <c r="A243" t="s">
        <v>329</v>
      </c>
      <c r="B243">
        <v>287</v>
      </c>
      <c r="C243">
        <v>287</v>
      </c>
      <c r="D243" s="4" t="s">
        <v>812</v>
      </c>
      <c r="E243" s="4">
        <v>45345</v>
      </c>
      <c r="F243" s="4">
        <v>46752</v>
      </c>
      <c r="G243">
        <v>100000000</v>
      </c>
      <c r="H243" t="s">
        <v>380</v>
      </c>
      <c r="I243" t="s">
        <v>504</v>
      </c>
      <c r="J243">
        <v>0</v>
      </c>
      <c r="K243">
        <v>47163000000</v>
      </c>
      <c r="L243" s="4">
        <v>46752</v>
      </c>
      <c r="M243" s="6">
        <v>6.9000000000000006E-2</v>
      </c>
      <c r="N243">
        <v>101.15</v>
      </c>
      <c r="O243">
        <v>4</v>
      </c>
      <c r="P243" s="5">
        <f t="shared" si="3"/>
        <v>6.2569707407038044E-2</v>
      </c>
      <c r="Q243" t="str">
        <f t="array" ref="Q243:R243">VLOOKUP(A243,$X$3:$AA$330,{3,4},0)</f>
        <v>Industry Loss</v>
      </c>
      <c r="R243" t="str">
        <v>Annual Aggregate</v>
      </c>
      <c r="X243" t="s">
        <v>275</v>
      </c>
      <c r="Y243">
        <v>233</v>
      </c>
      <c r="Z243" t="s">
        <v>387</v>
      </c>
      <c r="AA243" t="s">
        <v>388</v>
      </c>
    </row>
    <row r="244" spans="1:27">
      <c r="A244" t="s">
        <v>330</v>
      </c>
      <c r="B244">
        <v>288</v>
      </c>
      <c r="C244">
        <v>288</v>
      </c>
      <c r="D244" s="4" t="s">
        <v>813</v>
      </c>
      <c r="E244" s="4">
        <v>45345</v>
      </c>
      <c r="F244" s="4">
        <v>46752</v>
      </c>
      <c r="G244">
        <v>50000000</v>
      </c>
      <c r="H244" t="s">
        <v>380</v>
      </c>
      <c r="I244" t="s">
        <v>504</v>
      </c>
      <c r="J244">
        <v>0</v>
      </c>
      <c r="K244">
        <v>44649000000</v>
      </c>
      <c r="L244" s="4">
        <v>46752</v>
      </c>
      <c r="M244" s="6">
        <v>9.9000000000000005E-2</v>
      </c>
      <c r="N244">
        <v>101.95</v>
      </c>
      <c r="O244">
        <v>4</v>
      </c>
      <c r="P244" s="5">
        <f t="shared" si="3"/>
        <v>8.7800886680236084E-2</v>
      </c>
      <c r="Q244" t="str">
        <f t="array" ref="Q244:R244">VLOOKUP(A244,$X$3:$AA$330,{3,4},0)</f>
        <v>Industry Loss</v>
      </c>
      <c r="R244" t="str">
        <v>Annual Aggregate</v>
      </c>
      <c r="X244" t="s">
        <v>276</v>
      </c>
      <c r="Y244">
        <v>234</v>
      </c>
      <c r="Z244" t="s">
        <v>387</v>
      </c>
      <c r="AA244" t="s">
        <v>388</v>
      </c>
    </row>
    <row r="245" spans="1:27">
      <c r="A245" t="s">
        <v>331</v>
      </c>
      <c r="B245">
        <v>289</v>
      </c>
      <c r="C245">
        <v>289</v>
      </c>
      <c r="D245" s="4" t="s">
        <v>814</v>
      </c>
      <c r="E245" s="4">
        <v>45654</v>
      </c>
      <c r="F245" s="4">
        <v>47118</v>
      </c>
      <c r="G245">
        <v>150000000</v>
      </c>
      <c r="H245" t="s">
        <v>380</v>
      </c>
      <c r="I245" t="s">
        <v>504</v>
      </c>
      <c r="J245">
        <v>0</v>
      </c>
      <c r="K245">
        <v>40000000000</v>
      </c>
      <c r="L245" s="4">
        <v>47118</v>
      </c>
      <c r="M245" s="6">
        <v>7.2499999999999995E-2</v>
      </c>
      <c r="N245">
        <v>102</v>
      </c>
      <c r="O245">
        <v>4</v>
      </c>
      <c r="P245" s="5">
        <f t="shared" si="3"/>
        <v>6.4905735368510645E-2</v>
      </c>
      <c r="Q245" t="str">
        <f t="array" ref="Q245:R245">VLOOKUP(A245,$X$3:$AA$330,{3,4},0)</f>
        <v>Industry Loss</v>
      </c>
      <c r="R245" t="str">
        <v>Annual Aggregate</v>
      </c>
      <c r="X245" t="s">
        <v>277</v>
      </c>
      <c r="Y245">
        <v>235</v>
      </c>
      <c r="Z245" t="s">
        <v>387</v>
      </c>
      <c r="AA245" t="s">
        <v>388</v>
      </c>
    </row>
    <row r="246" spans="1:27">
      <c r="A246" t="s">
        <v>332</v>
      </c>
      <c r="B246">
        <v>290</v>
      </c>
      <c r="C246">
        <v>290</v>
      </c>
      <c r="D246" s="4" t="s">
        <v>815</v>
      </c>
      <c r="E246" s="4">
        <v>45654</v>
      </c>
      <c r="F246" s="4">
        <v>47118</v>
      </c>
      <c r="G246">
        <v>150000000</v>
      </c>
      <c r="H246" t="s">
        <v>380</v>
      </c>
      <c r="I246" t="s">
        <v>504</v>
      </c>
      <c r="J246">
        <v>0</v>
      </c>
      <c r="K246">
        <v>43000000000</v>
      </c>
      <c r="L246" s="4">
        <v>47118</v>
      </c>
      <c r="M246" s="6">
        <v>0.1075</v>
      </c>
      <c r="N246">
        <v>99.85</v>
      </c>
      <c r="O246">
        <v>4</v>
      </c>
      <c r="P246" s="5">
        <f t="shared" si="3"/>
        <v>0.10807431498122452</v>
      </c>
      <c r="Q246" t="str">
        <f t="array" ref="Q246:R246">VLOOKUP(A246,$X$3:$AA$330,{3,4},0)</f>
        <v>Industry Loss</v>
      </c>
      <c r="R246" t="str">
        <v>Annual Aggregate</v>
      </c>
      <c r="X246" t="s">
        <v>278</v>
      </c>
      <c r="Y246">
        <v>236</v>
      </c>
      <c r="Z246" t="s">
        <v>511</v>
      </c>
      <c r="AA246" t="s">
        <v>388</v>
      </c>
    </row>
    <row r="247" spans="1:27">
      <c r="A247" t="s">
        <v>333</v>
      </c>
      <c r="B247">
        <v>291</v>
      </c>
      <c r="C247">
        <v>291</v>
      </c>
      <c r="D247" s="4" t="s">
        <v>816</v>
      </c>
      <c r="E247" s="4">
        <v>45654</v>
      </c>
      <c r="F247" s="4">
        <v>46387</v>
      </c>
      <c r="G247">
        <v>75000000</v>
      </c>
      <c r="H247" t="s">
        <v>380</v>
      </c>
      <c r="I247" t="s">
        <v>504</v>
      </c>
      <c r="J247">
        <v>0</v>
      </c>
      <c r="K247">
        <v>40000000000</v>
      </c>
      <c r="L247" s="4">
        <v>46387</v>
      </c>
      <c r="M247" s="6">
        <v>0.23</v>
      </c>
      <c r="N247">
        <v>101.95</v>
      </c>
      <c r="O247">
        <v>4</v>
      </c>
      <c r="P247" s="5">
        <f t="shared" si="3"/>
        <v>0.20572620855019411</v>
      </c>
      <c r="Q247" t="str">
        <f t="array" ref="Q247:R247">VLOOKUP(A247,$X$3:$AA$330,{3,4},0)</f>
        <v>Industry Loss</v>
      </c>
      <c r="R247" t="str">
        <v>Annual Aggregate</v>
      </c>
      <c r="X247" t="s">
        <v>279</v>
      </c>
      <c r="Y247">
        <v>237</v>
      </c>
      <c r="Z247" t="s">
        <v>511</v>
      </c>
      <c r="AA247" t="s">
        <v>388</v>
      </c>
    </row>
    <row r="248" spans="1:27">
      <c r="A248" t="s">
        <v>334</v>
      </c>
      <c r="B248">
        <v>292</v>
      </c>
      <c r="C248">
        <v>292</v>
      </c>
      <c r="D248" s="4" t="s">
        <v>817</v>
      </c>
      <c r="E248" s="4">
        <v>44889</v>
      </c>
      <c r="F248" s="4">
        <v>46387</v>
      </c>
      <c r="G248">
        <v>80000000</v>
      </c>
      <c r="H248" t="s">
        <v>380</v>
      </c>
      <c r="I248" t="s">
        <v>818</v>
      </c>
      <c r="J248">
        <v>0</v>
      </c>
      <c r="K248">
        <v>7671000000</v>
      </c>
      <c r="L248" s="4">
        <v>46387</v>
      </c>
      <c r="M248" s="6">
        <v>0.13500000000000001</v>
      </c>
      <c r="N248">
        <v>102.8</v>
      </c>
      <c r="O248">
        <v>4</v>
      </c>
      <c r="P248" s="5">
        <f t="shared" si="3"/>
        <v>0.10249807214471499</v>
      </c>
      <c r="Q248" t="str">
        <f t="array" ref="Q248:R248">VLOOKUP(A248,$X$3:$AA$330,{3,4},0)</f>
        <v>Industry Loss</v>
      </c>
      <c r="R248" t="str">
        <v>Annual Aggregate</v>
      </c>
      <c r="X248" t="s">
        <v>280</v>
      </c>
      <c r="Y248">
        <v>238</v>
      </c>
      <c r="Z248" t="s">
        <v>511</v>
      </c>
      <c r="AA248" t="s">
        <v>388</v>
      </c>
    </row>
    <row r="249" spans="1:27">
      <c r="A249" t="s">
        <v>337</v>
      </c>
      <c r="B249">
        <v>295</v>
      </c>
      <c r="C249">
        <v>295</v>
      </c>
      <c r="D249" s="4" t="s">
        <v>819</v>
      </c>
      <c r="E249" s="4">
        <v>45091</v>
      </c>
      <c r="F249" s="4">
        <v>46186</v>
      </c>
      <c r="G249">
        <v>200000000</v>
      </c>
      <c r="H249" t="s">
        <v>820</v>
      </c>
      <c r="I249" t="s">
        <v>549</v>
      </c>
      <c r="J249">
        <v>0</v>
      </c>
      <c r="K249">
        <v>500000000</v>
      </c>
      <c r="L249" s="4">
        <v>46186</v>
      </c>
      <c r="M249" s="6">
        <v>9.7500000000000003E-2</v>
      </c>
      <c r="N249">
        <v>102.85</v>
      </c>
      <c r="O249">
        <v>4</v>
      </c>
      <c r="P249" s="5">
        <f t="shared" si="3"/>
        <v>1.9270716301848543E-2</v>
      </c>
      <c r="Q249" t="str">
        <f t="array" ref="Q249:R249">VLOOKUP(A249,$X$3:$AA$330,{3,4},0)</f>
        <v>Indemnity</v>
      </c>
      <c r="R249" t="str">
        <v>Annual Aggregate</v>
      </c>
      <c r="X249" t="s">
        <v>281</v>
      </c>
      <c r="Y249">
        <v>239</v>
      </c>
      <c r="Z249" t="s">
        <v>387</v>
      </c>
      <c r="AA249" t="s">
        <v>383</v>
      </c>
    </row>
    <row r="250" spans="1:27">
      <c r="A250" t="s">
        <v>338</v>
      </c>
      <c r="B250">
        <v>296</v>
      </c>
      <c r="C250">
        <v>296</v>
      </c>
      <c r="D250" s="4" t="s">
        <v>821</v>
      </c>
      <c r="E250" s="4">
        <v>45474</v>
      </c>
      <c r="F250" s="4">
        <v>46934</v>
      </c>
      <c r="G250">
        <v>100000000</v>
      </c>
      <c r="H250" t="s">
        <v>822</v>
      </c>
      <c r="I250" t="s">
        <v>823</v>
      </c>
      <c r="J250">
        <v>0</v>
      </c>
      <c r="K250">
        <v>150000000</v>
      </c>
      <c r="L250" s="4">
        <v>46934</v>
      </c>
      <c r="M250" s="6">
        <v>5.21E-2</v>
      </c>
      <c r="N250">
        <v>103.75</v>
      </c>
      <c r="O250">
        <v>4</v>
      </c>
      <c r="P250" s="5">
        <f t="shared" si="3"/>
        <v>3.5826382063507058E-2</v>
      </c>
      <c r="Q250" t="str">
        <f t="array" ref="Q250:R250">VLOOKUP(A250,$X$3:$AA$330,{3,4},0)</f>
        <v>Indemnity</v>
      </c>
      <c r="R250" t="str">
        <v>Per Occurrence</v>
      </c>
      <c r="X250" t="s">
        <v>282</v>
      </c>
      <c r="Y250">
        <v>240</v>
      </c>
      <c r="Z250" t="s">
        <v>387</v>
      </c>
      <c r="AA250" t="s">
        <v>383</v>
      </c>
    </row>
    <row r="251" spans="1:27">
      <c r="A251" t="s">
        <v>341</v>
      </c>
      <c r="B251">
        <v>299</v>
      </c>
      <c r="C251">
        <v>299</v>
      </c>
      <c r="D251" s="4" t="s">
        <v>824</v>
      </c>
      <c r="E251" s="4">
        <v>45618</v>
      </c>
      <c r="F251" s="4">
        <v>46712</v>
      </c>
      <c r="G251">
        <v>175000000</v>
      </c>
      <c r="H251" t="s">
        <v>825</v>
      </c>
      <c r="I251" t="s">
        <v>441</v>
      </c>
      <c r="K251">
        <v>1225000000</v>
      </c>
      <c r="L251" s="4">
        <v>46712</v>
      </c>
      <c r="M251" s="6">
        <v>6.25E-2</v>
      </c>
      <c r="N251">
        <v>102.8</v>
      </c>
      <c r="O251">
        <v>4</v>
      </c>
      <c r="P251" s="5">
        <f t="shared" si="3"/>
        <v>4.6237551530348475E-2</v>
      </c>
      <c r="Q251" t="str">
        <f t="array" ref="Q251:R251">VLOOKUP(A251,$X$3:$AA$330,{3,4},0)</f>
        <v>Industry Loss</v>
      </c>
      <c r="R251" t="str">
        <v>Annual Aggregate</v>
      </c>
      <c r="X251" t="s">
        <v>283</v>
      </c>
      <c r="Y251">
        <v>241</v>
      </c>
      <c r="Z251" t="s">
        <v>387</v>
      </c>
      <c r="AA251" t="s">
        <v>383</v>
      </c>
    </row>
    <row r="252" spans="1:27">
      <c r="A252" t="s">
        <v>342</v>
      </c>
      <c r="B252">
        <v>300</v>
      </c>
      <c r="C252">
        <v>300</v>
      </c>
      <c r="D252" s="4" t="s">
        <v>826</v>
      </c>
      <c r="E252" s="4">
        <v>45618</v>
      </c>
      <c r="F252" s="4">
        <v>46712</v>
      </c>
      <c r="G252">
        <v>150000000</v>
      </c>
      <c r="H252" t="s">
        <v>825</v>
      </c>
      <c r="I252" t="s">
        <v>441</v>
      </c>
      <c r="K252">
        <v>520000000</v>
      </c>
      <c r="L252" s="4">
        <v>46712</v>
      </c>
      <c r="M252" s="6">
        <v>9.5000000000000001E-2</v>
      </c>
      <c r="N252">
        <v>99.3</v>
      </c>
      <c r="O252">
        <v>4</v>
      </c>
      <c r="P252" s="5">
        <f t="shared" si="3"/>
        <v>9.9251603637773259E-2</v>
      </c>
      <c r="Q252" t="str">
        <f t="array" ref="Q252:R252">VLOOKUP(A252,$X$3:$AA$330,{3,4},0)</f>
        <v>Industry Loss</v>
      </c>
      <c r="R252" t="str">
        <v>Annual Aggregate</v>
      </c>
      <c r="X252" t="s">
        <v>284</v>
      </c>
      <c r="Y252">
        <v>242</v>
      </c>
      <c r="Z252" t="s">
        <v>387</v>
      </c>
      <c r="AA252" t="s">
        <v>383</v>
      </c>
    </row>
    <row r="253" spans="1:27">
      <c r="A253" t="s">
        <v>343</v>
      </c>
      <c r="B253">
        <v>301</v>
      </c>
      <c r="C253">
        <v>301</v>
      </c>
      <c r="D253" s="4" t="s">
        <v>827</v>
      </c>
      <c r="E253" s="4">
        <v>45840</v>
      </c>
      <c r="F253" s="4">
        <v>47299</v>
      </c>
      <c r="G253">
        <v>75000000</v>
      </c>
      <c r="H253" t="s">
        <v>825</v>
      </c>
      <c r="I253" t="s">
        <v>828</v>
      </c>
      <c r="K253">
        <v>300000000</v>
      </c>
      <c r="L253" s="4">
        <v>47299</v>
      </c>
      <c r="M253" s="6">
        <v>6.25E-2</v>
      </c>
      <c r="N253">
        <v>103.1</v>
      </c>
      <c r="O253">
        <v>4</v>
      </c>
      <c r="P253" s="5">
        <f t="shared" si="3"/>
        <v>5.2521846884196567E-2</v>
      </c>
      <c r="Q253" t="str">
        <f t="array" ref="Q253:R253">VLOOKUP(A253,$X$3:$AA$330,{3,4},0)</f>
        <v>Industry Loss</v>
      </c>
      <c r="R253" t="str">
        <v>Annual Aggregate</v>
      </c>
      <c r="X253" t="s">
        <v>285</v>
      </c>
      <c r="Y253">
        <v>243</v>
      </c>
      <c r="Z253" t="s">
        <v>387</v>
      </c>
      <c r="AA253" t="s">
        <v>383</v>
      </c>
    </row>
    <row r="254" spans="1:27">
      <c r="A254" t="s">
        <v>344</v>
      </c>
      <c r="B254">
        <v>302</v>
      </c>
      <c r="C254">
        <v>302</v>
      </c>
      <c r="D254" s="4" t="s">
        <v>829</v>
      </c>
      <c r="E254" s="4">
        <v>45840</v>
      </c>
      <c r="F254" s="4">
        <v>47299</v>
      </c>
      <c r="G254">
        <v>75000000</v>
      </c>
      <c r="H254" t="s">
        <v>825</v>
      </c>
      <c r="I254" t="s">
        <v>828</v>
      </c>
      <c r="K254">
        <v>300000000</v>
      </c>
      <c r="L254" s="4">
        <v>47299</v>
      </c>
      <c r="M254" s="6">
        <v>0.16250000000000001</v>
      </c>
      <c r="N254">
        <v>102.925</v>
      </c>
      <c r="O254">
        <v>4</v>
      </c>
      <c r="P254" s="5">
        <f t="shared" si="3"/>
        <v>0.15131515769938458</v>
      </c>
      <c r="Q254" t="str">
        <f t="array" ref="Q254:R254">VLOOKUP(A254,$X$3:$AA$330,{3,4},0)</f>
        <v>Industry Loss</v>
      </c>
      <c r="R254" t="str">
        <v>Annual Aggregate</v>
      </c>
      <c r="X254" t="s">
        <v>286</v>
      </c>
      <c r="Y254">
        <v>244</v>
      </c>
      <c r="Z254" t="s">
        <v>387</v>
      </c>
      <c r="AA254" t="s">
        <v>383</v>
      </c>
    </row>
    <row r="255" spans="1:27">
      <c r="A255" t="s">
        <v>345</v>
      </c>
      <c r="B255">
        <v>303</v>
      </c>
      <c r="C255">
        <v>303</v>
      </c>
      <c r="D255" s="4" t="s">
        <v>830</v>
      </c>
      <c r="E255" s="4">
        <v>45408</v>
      </c>
      <c r="F255" s="4">
        <v>46502</v>
      </c>
      <c r="G255">
        <v>225000000</v>
      </c>
      <c r="H255" t="s">
        <v>831</v>
      </c>
      <c r="I255" t="s">
        <v>832</v>
      </c>
      <c r="K255">
        <v>150000000</v>
      </c>
      <c r="L255" s="4">
        <v>46502</v>
      </c>
      <c r="M255" s="6">
        <v>6.25E-2</v>
      </c>
      <c r="N255">
        <v>102.75</v>
      </c>
      <c r="O255">
        <v>4</v>
      </c>
      <c r="P255" s="5">
        <f t="shared" si="3"/>
        <v>3.9540611005170472E-2</v>
      </c>
      <c r="Q255" t="str">
        <f t="array" ref="Q255:R255">VLOOKUP(A255,$X$3:$AA$330,{3,4},0)</f>
        <v>Industry Loss</v>
      </c>
      <c r="R255" t="str">
        <v>Annual Aggregate</v>
      </c>
      <c r="X255" t="s">
        <v>287</v>
      </c>
      <c r="Y255">
        <v>245</v>
      </c>
      <c r="Z255" t="s">
        <v>387</v>
      </c>
      <c r="AA255" t="s">
        <v>383</v>
      </c>
    </row>
    <row r="256" spans="1:27">
      <c r="A256" t="s">
        <v>346</v>
      </c>
      <c r="B256">
        <v>304</v>
      </c>
      <c r="C256">
        <v>304</v>
      </c>
      <c r="D256" s="4" t="s">
        <v>833</v>
      </c>
      <c r="E256" s="4">
        <v>45408</v>
      </c>
      <c r="F256" s="4">
        <v>46502</v>
      </c>
      <c r="G256">
        <v>75000000</v>
      </c>
      <c r="H256" t="s">
        <v>831</v>
      </c>
      <c r="I256" t="s">
        <v>832</v>
      </c>
      <c r="K256">
        <v>150000000</v>
      </c>
      <c r="L256" s="4">
        <v>46502</v>
      </c>
      <c r="M256" s="6">
        <v>7.7380000000000004E-2</v>
      </c>
      <c r="N256">
        <v>103.85</v>
      </c>
      <c r="O256">
        <v>4</v>
      </c>
      <c r="P256" s="5">
        <f t="shared" si="3"/>
        <v>4.5106161262694552E-2</v>
      </c>
      <c r="Q256" t="str">
        <f t="array" ref="Q256:R256">VLOOKUP(A256,$X$3:$AA$330,{3,4},0)</f>
        <v>Industry Loss</v>
      </c>
      <c r="R256" t="str">
        <v>Annual Aggregate</v>
      </c>
      <c r="X256" t="s">
        <v>288</v>
      </c>
      <c r="Y256">
        <v>246</v>
      </c>
      <c r="Z256" t="s">
        <v>387</v>
      </c>
      <c r="AA256" t="s">
        <v>383</v>
      </c>
    </row>
    <row r="257" spans="1:27">
      <c r="A257" t="s">
        <v>347</v>
      </c>
      <c r="B257">
        <v>305</v>
      </c>
      <c r="C257">
        <v>305</v>
      </c>
      <c r="D257" s="4" t="s">
        <v>834</v>
      </c>
      <c r="E257" s="4">
        <v>45809</v>
      </c>
      <c r="F257" s="4">
        <v>46904</v>
      </c>
      <c r="G257">
        <v>150000000</v>
      </c>
      <c r="H257" t="s">
        <v>429</v>
      </c>
      <c r="I257" t="s">
        <v>801</v>
      </c>
      <c r="J257">
        <v>0</v>
      </c>
      <c r="K257">
        <v>300000000</v>
      </c>
      <c r="L257" s="4">
        <v>46904</v>
      </c>
      <c r="M257" s="6">
        <v>7.0000000000000007E-2</v>
      </c>
      <c r="N257">
        <v>102.9</v>
      </c>
      <c r="O257">
        <v>4</v>
      </c>
      <c r="P257" s="5">
        <f t="shared" si="3"/>
        <v>5.6631937844572558E-2</v>
      </c>
      <c r="Q257" t="str">
        <f t="array" ref="Q257:R257">VLOOKUP(A257,$X$3:$AA$330,{3,4},0)</f>
        <v>Indemnity</v>
      </c>
      <c r="R257" t="str">
        <v>Per Occurrence</v>
      </c>
      <c r="X257" t="s">
        <v>289</v>
      </c>
      <c r="Y257">
        <v>247</v>
      </c>
      <c r="Z257" t="s">
        <v>387</v>
      </c>
      <c r="AA257" t="s">
        <v>383</v>
      </c>
    </row>
    <row r="258" spans="1:27">
      <c r="A258" t="s">
        <v>348</v>
      </c>
      <c r="B258">
        <v>306</v>
      </c>
      <c r="C258">
        <v>306</v>
      </c>
      <c r="D258" s="4" t="s">
        <v>835</v>
      </c>
      <c r="E258" s="4">
        <v>45269</v>
      </c>
      <c r="F258" s="4">
        <v>46387</v>
      </c>
      <c r="G258">
        <v>325000000</v>
      </c>
      <c r="H258" t="s">
        <v>836</v>
      </c>
      <c r="I258" t="s">
        <v>837</v>
      </c>
      <c r="K258">
        <v>600000000</v>
      </c>
      <c r="L258" s="4">
        <v>46387</v>
      </c>
      <c r="M258" s="6">
        <v>5.6399999999999999E-2</v>
      </c>
      <c r="N258">
        <v>100</v>
      </c>
      <c r="O258">
        <v>4</v>
      </c>
      <c r="P258" s="5">
        <f t="shared" si="3"/>
        <v>5.6375308337857526E-2</v>
      </c>
      <c r="Q258" t="str">
        <f t="array" ref="Q258:R258">VLOOKUP(A258,$X$3:$AA$330,{3,4},0)</f>
        <v>Indemnity</v>
      </c>
      <c r="R258" t="str">
        <v>Per Occurrence</v>
      </c>
      <c r="X258" t="s">
        <v>290</v>
      </c>
      <c r="Y258">
        <v>248</v>
      </c>
      <c r="Z258" t="s">
        <v>382</v>
      </c>
      <c r="AA258" t="s">
        <v>383</v>
      </c>
    </row>
    <row r="259" spans="1:27">
      <c r="A259" t="s">
        <v>349</v>
      </c>
      <c r="B259">
        <v>307</v>
      </c>
      <c r="C259">
        <v>307</v>
      </c>
      <c r="D259" s="4" t="s">
        <v>838</v>
      </c>
      <c r="E259" s="4">
        <v>45383</v>
      </c>
      <c r="F259" s="4">
        <v>46843</v>
      </c>
      <c r="G259">
        <v>100000000</v>
      </c>
      <c r="H259" t="s">
        <v>839</v>
      </c>
      <c r="I259" t="s">
        <v>840</v>
      </c>
      <c r="J259">
        <v>0</v>
      </c>
      <c r="K259">
        <v>100000000</v>
      </c>
      <c r="L259" s="4">
        <v>46843</v>
      </c>
      <c r="M259" s="6">
        <v>6.3899999999999998E-2</v>
      </c>
      <c r="N259">
        <v>104.5</v>
      </c>
      <c r="O259">
        <v>4</v>
      </c>
      <c r="P259" s="5">
        <f t="shared" ref="P259:P268" si="4">YIELD($O$1,L259,M259,N259,$P$1,O259)</f>
        <v>4.2052313337073148E-2</v>
      </c>
      <c r="Q259" t="str">
        <f t="array" ref="Q259:R259">VLOOKUP(A259,$X$3:$AA$330,{3,4},0)</f>
        <v>Indemnity</v>
      </c>
      <c r="R259" t="str">
        <v>Per Occurrence</v>
      </c>
      <c r="X259" t="s">
        <v>291</v>
      </c>
      <c r="Y259">
        <v>249</v>
      </c>
      <c r="Z259" t="s">
        <v>387</v>
      </c>
      <c r="AA259" t="s">
        <v>388</v>
      </c>
    </row>
    <row r="260" spans="1:27">
      <c r="A260" t="s">
        <v>351</v>
      </c>
      <c r="B260">
        <v>309</v>
      </c>
      <c r="C260">
        <v>309</v>
      </c>
      <c r="D260" s="4" t="s">
        <v>841</v>
      </c>
      <c r="E260" s="4">
        <v>45292</v>
      </c>
      <c r="F260" s="4">
        <v>46387</v>
      </c>
      <c r="G260">
        <v>250000000</v>
      </c>
      <c r="H260" t="s">
        <v>842</v>
      </c>
      <c r="I260" t="s">
        <v>823</v>
      </c>
      <c r="K260">
        <v>800000000</v>
      </c>
      <c r="L260" s="4">
        <v>46387</v>
      </c>
      <c r="M260" s="6">
        <v>6.164E-2</v>
      </c>
      <c r="N260">
        <v>105.2</v>
      </c>
      <c r="O260">
        <v>4</v>
      </c>
      <c r="P260" s="5">
        <f t="shared" si="4"/>
        <v>4.7531344563336948E-3</v>
      </c>
      <c r="Q260" t="str">
        <f t="array" ref="Q260:R260">VLOOKUP(A260,$X$3:$AA$330,{3,4},0)</f>
        <v>Industry Loss</v>
      </c>
      <c r="R260" t="str">
        <v>Per Occurrence</v>
      </c>
      <c r="X260" t="s">
        <v>292</v>
      </c>
      <c r="Y260">
        <v>250</v>
      </c>
      <c r="Z260" t="s">
        <v>387</v>
      </c>
      <c r="AA260" t="s">
        <v>388</v>
      </c>
    </row>
    <row r="261" spans="1:27">
      <c r="A261" t="s">
        <v>354</v>
      </c>
      <c r="B261">
        <v>312</v>
      </c>
      <c r="C261">
        <v>312</v>
      </c>
      <c r="D261" s="4" t="s">
        <v>843</v>
      </c>
      <c r="E261" s="4">
        <v>45809</v>
      </c>
      <c r="F261" s="4">
        <v>46904</v>
      </c>
      <c r="G261">
        <v>240000000</v>
      </c>
      <c r="H261" t="s">
        <v>624</v>
      </c>
      <c r="I261" t="s">
        <v>844</v>
      </c>
      <c r="J261">
        <v>0</v>
      </c>
      <c r="K261">
        <v>273900000</v>
      </c>
      <c r="L261" s="4">
        <v>46904</v>
      </c>
      <c r="M261" s="6">
        <v>7.2499999999999995E-2</v>
      </c>
      <c r="N261">
        <v>108.35</v>
      </c>
      <c r="O261">
        <v>4</v>
      </c>
      <c r="P261" s="5">
        <f t="shared" si="4"/>
        <v>3.5065897894465577E-2</v>
      </c>
      <c r="Q261" t="str">
        <f t="array" ref="Q261:R261">VLOOKUP(A261,$X$3:$AA$330,{3,4},0)</f>
        <v>Industry Loss</v>
      </c>
      <c r="R261" t="str">
        <v>Annual Aggregate</v>
      </c>
      <c r="X261" t="s">
        <v>293</v>
      </c>
      <c r="Y261">
        <v>251</v>
      </c>
      <c r="Z261" t="s">
        <v>387</v>
      </c>
      <c r="AA261" t="s">
        <v>388</v>
      </c>
    </row>
    <row r="262" spans="1:27">
      <c r="A262" t="s">
        <v>355</v>
      </c>
      <c r="B262">
        <v>313</v>
      </c>
      <c r="C262">
        <v>313</v>
      </c>
      <c r="D262" s="4" t="s">
        <v>845</v>
      </c>
      <c r="E262" s="4">
        <v>45839</v>
      </c>
      <c r="F262" s="4">
        <v>46934</v>
      </c>
      <c r="G262">
        <v>200000000</v>
      </c>
      <c r="H262" t="s">
        <v>846</v>
      </c>
      <c r="I262" t="s">
        <v>391</v>
      </c>
      <c r="K262">
        <v>150000000</v>
      </c>
      <c r="L262" s="4">
        <v>46934</v>
      </c>
      <c r="M262" s="6">
        <v>3.7499999999999999E-2</v>
      </c>
      <c r="N262">
        <v>107.75</v>
      </c>
      <c r="O262">
        <v>4</v>
      </c>
      <c r="P262" s="5">
        <f t="shared" si="4"/>
        <v>5.2073905794505814E-3</v>
      </c>
      <c r="Q262" t="str">
        <f t="array" ref="Q262:R262">VLOOKUP(A262,$X$3:$AA$330,{3,4},0)</f>
        <v>Indemnity</v>
      </c>
      <c r="R262" t="str">
        <v>Per Occurrence</v>
      </c>
      <c r="X262" t="s">
        <v>294</v>
      </c>
      <c r="Y262">
        <v>252</v>
      </c>
      <c r="Z262" t="s">
        <v>387</v>
      </c>
      <c r="AA262" t="s">
        <v>388</v>
      </c>
    </row>
    <row r="263" spans="1:27">
      <c r="A263" t="s">
        <v>356</v>
      </c>
      <c r="B263">
        <v>314</v>
      </c>
      <c r="C263">
        <v>314</v>
      </c>
      <c r="D263" s="4" t="s">
        <v>847</v>
      </c>
      <c r="E263" s="4">
        <v>45809</v>
      </c>
      <c r="F263" s="4">
        <v>46816</v>
      </c>
      <c r="G263">
        <v>150000000</v>
      </c>
      <c r="H263" t="s">
        <v>848</v>
      </c>
      <c r="I263" t="s">
        <v>399</v>
      </c>
      <c r="K263">
        <v>150000000</v>
      </c>
      <c r="L263" s="4">
        <v>46816</v>
      </c>
      <c r="M263" s="6">
        <v>7.4999999999999997E-2</v>
      </c>
      <c r="N263">
        <v>100</v>
      </c>
      <c r="O263">
        <v>4</v>
      </c>
      <c r="P263" s="5">
        <f t="shared" si="4"/>
        <v>7.4978917576676157E-2</v>
      </c>
      <c r="Q263" t="str">
        <f t="array" ref="Q263:R263">VLOOKUP(A263,$X$3:$AA$330,{3,4},0)</f>
        <v>Indemnity</v>
      </c>
      <c r="R263" t="str">
        <v>Per Occurrence</v>
      </c>
      <c r="X263" t="s">
        <v>295</v>
      </c>
      <c r="Y263">
        <v>253</v>
      </c>
      <c r="Z263" t="s">
        <v>387</v>
      </c>
      <c r="AA263" t="s">
        <v>388</v>
      </c>
    </row>
    <row r="264" spans="1:27">
      <c r="A264" t="s">
        <v>358</v>
      </c>
      <c r="B264">
        <v>316</v>
      </c>
      <c r="C264">
        <v>316</v>
      </c>
      <c r="D264" s="4" t="s">
        <v>849</v>
      </c>
      <c r="E264" s="4">
        <v>45689</v>
      </c>
      <c r="F264" s="4">
        <v>46783</v>
      </c>
      <c r="G264">
        <v>100000000</v>
      </c>
      <c r="H264" t="s">
        <v>569</v>
      </c>
      <c r="I264" t="s">
        <v>850</v>
      </c>
      <c r="J264">
        <v>0</v>
      </c>
      <c r="K264">
        <v>10000000000</v>
      </c>
      <c r="L264" s="4">
        <v>46783</v>
      </c>
      <c r="M264" s="6">
        <v>0.03</v>
      </c>
      <c r="N264">
        <v>103.1</v>
      </c>
      <c r="O264">
        <v>4</v>
      </c>
      <c r="P264" s="5">
        <f t="shared" si="4"/>
        <v>1.4250476336219247E-2</v>
      </c>
      <c r="Q264" t="str">
        <f t="array" ref="Q264:R264">VLOOKUP(A264,$X$3:$AA$330,{3,4},0)</f>
        <v>Industry Loss</v>
      </c>
      <c r="R264" t="str">
        <v>Per Occurrence</v>
      </c>
      <c r="X264" t="s">
        <v>296</v>
      </c>
      <c r="Y264">
        <v>254</v>
      </c>
      <c r="Z264" t="s">
        <v>387</v>
      </c>
      <c r="AA264" t="s">
        <v>388</v>
      </c>
    </row>
    <row r="265" spans="1:27">
      <c r="A265" t="s">
        <v>359</v>
      </c>
      <c r="B265">
        <v>317</v>
      </c>
      <c r="C265">
        <v>317</v>
      </c>
      <c r="D265" s="4" t="s">
        <v>851</v>
      </c>
      <c r="E265" s="4">
        <v>45689</v>
      </c>
      <c r="F265" s="4">
        <v>46783</v>
      </c>
      <c r="G265">
        <v>100000000</v>
      </c>
      <c r="H265" t="s">
        <v>569</v>
      </c>
      <c r="I265" t="s">
        <v>852</v>
      </c>
      <c r="J265">
        <v>0</v>
      </c>
      <c r="K265">
        <v>30000000000</v>
      </c>
      <c r="L265" s="4">
        <v>46783</v>
      </c>
      <c r="M265" s="6">
        <v>0.21249999999999999</v>
      </c>
      <c r="N265">
        <v>101.25</v>
      </c>
      <c r="O265">
        <v>4</v>
      </c>
      <c r="P265" s="5">
        <f t="shared" si="4"/>
        <v>0.20472691205364427</v>
      </c>
      <c r="Q265" t="str">
        <f t="array" ref="Q265:R265">VLOOKUP(A265,$X$3:$AA$330,{3,4},0)</f>
        <v>Industry Loss</v>
      </c>
      <c r="R265" t="str">
        <v>Annual Aggregate</v>
      </c>
      <c r="X265" t="s">
        <v>297</v>
      </c>
      <c r="Y265">
        <v>255</v>
      </c>
      <c r="Z265" t="s">
        <v>387</v>
      </c>
      <c r="AA265" t="s">
        <v>383</v>
      </c>
    </row>
    <row r="266" spans="1:27">
      <c r="A266" t="s">
        <v>360</v>
      </c>
      <c r="B266">
        <v>318</v>
      </c>
      <c r="C266">
        <v>318</v>
      </c>
      <c r="D266" s="4" t="s">
        <v>853</v>
      </c>
      <c r="E266" s="4">
        <v>45292</v>
      </c>
      <c r="F266" s="4">
        <v>46387</v>
      </c>
      <c r="G266">
        <v>275000000</v>
      </c>
      <c r="H266" t="s">
        <v>854</v>
      </c>
      <c r="I266" t="s">
        <v>832</v>
      </c>
      <c r="J266">
        <v>0</v>
      </c>
      <c r="K266">
        <v>275000000</v>
      </c>
      <c r="L266" s="4">
        <v>46387</v>
      </c>
      <c r="M266" s="6">
        <v>0.13039999999999999</v>
      </c>
      <c r="N266">
        <v>104.2</v>
      </c>
      <c r="O266">
        <v>4</v>
      </c>
      <c r="P266" s="5">
        <f t="shared" si="4"/>
        <v>8.2278580872014354E-2</v>
      </c>
      <c r="Q266" t="str">
        <f t="array" ref="Q266:R266">VLOOKUP(A266,$X$3:$AA$330,{3,4},0)</f>
        <v>Industry Loss</v>
      </c>
      <c r="R266" t="str">
        <v>Per Occurrence</v>
      </c>
      <c r="X266" t="s">
        <v>298</v>
      </c>
      <c r="Y266">
        <v>256</v>
      </c>
      <c r="Z266" t="s">
        <v>387</v>
      </c>
      <c r="AA266" t="s">
        <v>388</v>
      </c>
    </row>
    <row r="267" spans="1:27">
      <c r="A267" t="s">
        <v>361</v>
      </c>
      <c r="B267">
        <v>319</v>
      </c>
      <c r="C267">
        <v>319</v>
      </c>
      <c r="D267" s="4" t="s">
        <v>379</v>
      </c>
      <c r="E267" s="4">
        <v>45804</v>
      </c>
      <c r="F267" s="4">
        <v>46538</v>
      </c>
      <c r="G267">
        <v>90000000</v>
      </c>
      <c r="H267" t="s">
        <v>380</v>
      </c>
      <c r="I267" t="s">
        <v>381</v>
      </c>
      <c r="K267">
        <v>30000000000</v>
      </c>
      <c r="L267" s="4">
        <v>46538</v>
      </c>
      <c r="M267" s="6">
        <v>0.31</v>
      </c>
      <c r="N267">
        <v>103.15</v>
      </c>
      <c r="O267">
        <v>4</v>
      </c>
      <c r="P267" s="5">
        <f t="shared" si="4"/>
        <v>0.28033466465228302</v>
      </c>
      <c r="Q267" t="str">
        <f t="array" ref="Q267:R267">VLOOKUP(A267,$X$3:$AA$330,{3,4},0)</f>
        <v>Industry Loss</v>
      </c>
      <c r="R267" t="str">
        <v>Annual Aggregate</v>
      </c>
      <c r="X267" t="s">
        <v>299</v>
      </c>
      <c r="Y267">
        <v>257</v>
      </c>
      <c r="Z267" t="s">
        <v>387</v>
      </c>
      <c r="AA267" t="s">
        <v>388</v>
      </c>
    </row>
    <row r="268" spans="1:27">
      <c r="A268" t="s">
        <v>362</v>
      </c>
      <c r="B268">
        <v>320</v>
      </c>
      <c r="C268">
        <v>320</v>
      </c>
      <c r="D268" s="4" t="s">
        <v>855</v>
      </c>
      <c r="E268" s="4">
        <v>45992</v>
      </c>
      <c r="F268" s="4">
        <v>47452</v>
      </c>
      <c r="G268">
        <v>200000000</v>
      </c>
      <c r="H268" t="s">
        <v>433</v>
      </c>
      <c r="I268" t="s">
        <v>391</v>
      </c>
      <c r="J268">
        <v>0</v>
      </c>
      <c r="K268">
        <v>950000000</v>
      </c>
      <c r="L268" s="4">
        <v>47452</v>
      </c>
      <c r="M268" s="6">
        <v>0.10249999999999999</v>
      </c>
      <c r="N268">
        <v>102.35</v>
      </c>
      <c r="O268">
        <v>4</v>
      </c>
      <c r="P268" s="5">
        <f t="shared" si="4"/>
        <v>9.5091656662446206E-2</v>
      </c>
      <c r="Q268" t="str">
        <f t="array" ref="Q268:R268">VLOOKUP(A268,$X$3:$AA$330,{3,4},0)</f>
        <v>Indemnity</v>
      </c>
      <c r="R268" t="str">
        <v>Per Occurrence</v>
      </c>
      <c r="X268" t="s">
        <v>300</v>
      </c>
      <c r="Y268">
        <v>258</v>
      </c>
      <c r="Z268" t="s">
        <v>387</v>
      </c>
      <c r="AA268" t="s">
        <v>388</v>
      </c>
    </row>
    <row r="269" spans="1:27">
      <c r="X269" t="s">
        <v>301</v>
      </c>
      <c r="Y269">
        <v>259</v>
      </c>
      <c r="Z269" t="s">
        <v>387</v>
      </c>
      <c r="AA269" t="s">
        <v>388</v>
      </c>
    </row>
    <row r="270" spans="1:27">
      <c r="X270" t="s">
        <v>302</v>
      </c>
      <c r="Y270">
        <v>260</v>
      </c>
      <c r="Z270" t="s">
        <v>387</v>
      </c>
      <c r="AA270" t="s">
        <v>383</v>
      </c>
    </row>
    <row r="271" spans="1:27">
      <c r="X271" t="s">
        <v>303</v>
      </c>
      <c r="Y271">
        <v>261</v>
      </c>
      <c r="Z271" t="s">
        <v>387</v>
      </c>
      <c r="AA271" t="s">
        <v>383</v>
      </c>
    </row>
    <row r="272" spans="1:27">
      <c r="X272" t="s">
        <v>304</v>
      </c>
      <c r="Y272">
        <v>262</v>
      </c>
      <c r="Z272" t="s">
        <v>387</v>
      </c>
      <c r="AA272" t="s">
        <v>856</v>
      </c>
    </row>
    <row r="273" spans="24:27">
      <c r="X273" t="s">
        <v>305</v>
      </c>
      <c r="Y273">
        <v>263</v>
      </c>
      <c r="Z273" t="s">
        <v>387</v>
      </c>
      <c r="AA273" t="s">
        <v>388</v>
      </c>
    </row>
    <row r="274" spans="24:27">
      <c r="X274" t="s">
        <v>306</v>
      </c>
      <c r="Y274">
        <v>264</v>
      </c>
      <c r="Z274" t="s">
        <v>382</v>
      </c>
      <c r="AA274" t="s">
        <v>383</v>
      </c>
    </row>
    <row r="275" spans="24:27">
      <c r="X275" t="s">
        <v>307</v>
      </c>
      <c r="Y275">
        <v>265</v>
      </c>
      <c r="Z275" t="s">
        <v>387</v>
      </c>
      <c r="AA275" t="s">
        <v>388</v>
      </c>
    </row>
    <row r="276" spans="24:27">
      <c r="X276" t="s">
        <v>308</v>
      </c>
      <c r="Y276">
        <v>266</v>
      </c>
      <c r="Z276" t="s">
        <v>387</v>
      </c>
      <c r="AA276" t="s">
        <v>388</v>
      </c>
    </row>
    <row r="277" spans="24:27">
      <c r="X277" t="s">
        <v>309</v>
      </c>
      <c r="Y277">
        <v>267</v>
      </c>
      <c r="Z277" t="s">
        <v>382</v>
      </c>
      <c r="AA277" t="s">
        <v>388</v>
      </c>
    </row>
    <row r="278" spans="24:27">
      <c r="X278" t="s">
        <v>310</v>
      </c>
      <c r="Y278">
        <v>268</v>
      </c>
      <c r="Z278" t="s">
        <v>382</v>
      </c>
      <c r="AA278" t="s">
        <v>388</v>
      </c>
    </row>
    <row r="279" spans="24:27">
      <c r="X279" t="s">
        <v>311</v>
      </c>
      <c r="Y279">
        <v>269</v>
      </c>
      <c r="Z279" t="s">
        <v>387</v>
      </c>
      <c r="AA279" t="s">
        <v>388</v>
      </c>
    </row>
    <row r="280" spans="24:27">
      <c r="X280" t="s">
        <v>312</v>
      </c>
      <c r="Y280">
        <v>270</v>
      </c>
      <c r="Z280" t="s">
        <v>387</v>
      </c>
      <c r="AA280" t="s">
        <v>388</v>
      </c>
    </row>
    <row r="281" spans="24:27">
      <c r="X281" t="s">
        <v>313</v>
      </c>
      <c r="Y281">
        <v>271</v>
      </c>
      <c r="Z281" t="s">
        <v>387</v>
      </c>
      <c r="AA281" t="s">
        <v>383</v>
      </c>
    </row>
    <row r="282" spans="24:27">
      <c r="X282" t="s">
        <v>314</v>
      </c>
      <c r="Y282">
        <v>272</v>
      </c>
      <c r="Z282" t="s">
        <v>387</v>
      </c>
      <c r="AA282" t="s">
        <v>383</v>
      </c>
    </row>
    <row r="283" spans="24:27">
      <c r="X283" t="s">
        <v>315</v>
      </c>
      <c r="Y283">
        <v>273</v>
      </c>
      <c r="Z283" t="s">
        <v>387</v>
      </c>
      <c r="AA283" t="s">
        <v>383</v>
      </c>
    </row>
    <row r="284" spans="24:27">
      <c r="X284" t="s">
        <v>316</v>
      </c>
      <c r="Y284">
        <v>274</v>
      </c>
      <c r="Z284" t="s">
        <v>387</v>
      </c>
      <c r="AA284" t="s">
        <v>383</v>
      </c>
    </row>
    <row r="285" spans="24:27">
      <c r="X285" t="s">
        <v>317</v>
      </c>
      <c r="Y285">
        <v>275</v>
      </c>
      <c r="Z285" t="s">
        <v>387</v>
      </c>
      <c r="AA285" t="s">
        <v>383</v>
      </c>
    </row>
    <row r="286" spans="24:27">
      <c r="X286" t="s">
        <v>318</v>
      </c>
      <c r="Y286">
        <v>276</v>
      </c>
      <c r="Z286" t="s">
        <v>461</v>
      </c>
      <c r="AA286" t="s">
        <v>461</v>
      </c>
    </row>
    <row r="287" spans="24:27">
      <c r="X287" t="s">
        <v>319</v>
      </c>
      <c r="Y287">
        <v>277</v>
      </c>
      <c r="Z287" t="s">
        <v>387</v>
      </c>
      <c r="AA287" t="s">
        <v>388</v>
      </c>
    </row>
    <row r="288" spans="24:27">
      <c r="X288" t="s">
        <v>320</v>
      </c>
      <c r="Y288">
        <v>278</v>
      </c>
      <c r="Z288" t="s">
        <v>382</v>
      </c>
      <c r="AA288" t="s">
        <v>383</v>
      </c>
    </row>
    <row r="289" spans="24:27">
      <c r="X289" t="s">
        <v>321</v>
      </c>
      <c r="Y289">
        <v>279</v>
      </c>
      <c r="Z289" t="s">
        <v>382</v>
      </c>
      <c r="AA289" t="s">
        <v>383</v>
      </c>
    </row>
    <row r="290" spans="24:27">
      <c r="X290" t="s">
        <v>322</v>
      </c>
      <c r="Y290">
        <v>280</v>
      </c>
      <c r="Z290" t="s">
        <v>382</v>
      </c>
      <c r="AA290" t="s">
        <v>383</v>
      </c>
    </row>
    <row r="291" spans="24:27">
      <c r="X291" t="s">
        <v>323</v>
      </c>
      <c r="Y291">
        <v>281</v>
      </c>
      <c r="Z291" t="s">
        <v>382</v>
      </c>
      <c r="AA291" t="s">
        <v>383</v>
      </c>
    </row>
    <row r="292" spans="24:27">
      <c r="X292" t="s">
        <v>324</v>
      </c>
      <c r="Y292">
        <v>282</v>
      </c>
      <c r="Z292" t="s">
        <v>382</v>
      </c>
      <c r="AA292" t="s">
        <v>388</v>
      </c>
    </row>
    <row r="293" spans="24:27">
      <c r="X293" t="s">
        <v>325</v>
      </c>
      <c r="Y293">
        <v>283</v>
      </c>
      <c r="Z293" t="s">
        <v>387</v>
      </c>
      <c r="AA293" t="s">
        <v>388</v>
      </c>
    </row>
    <row r="294" spans="24:27">
      <c r="X294" t="s">
        <v>326</v>
      </c>
      <c r="Y294">
        <v>284</v>
      </c>
      <c r="Z294" t="s">
        <v>387</v>
      </c>
      <c r="AA294" t="s">
        <v>388</v>
      </c>
    </row>
    <row r="295" spans="24:27">
      <c r="X295" t="s">
        <v>327</v>
      </c>
      <c r="Y295">
        <v>285</v>
      </c>
      <c r="Z295" t="s">
        <v>387</v>
      </c>
      <c r="AA295" t="s">
        <v>388</v>
      </c>
    </row>
    <row r="296" spans="24:27">
      <c r="X296" t="s">
        <v>328</v>
      </c>
      <c r="Y296">
        <v>286</v>
      </c>
      <c r="Z296" t="s">
        <v>387</v>
      </c>
      <c r="AA296" t="s">
        <v>388</v>
      </c>
    </row>
    <row r="297" spans="24:27">
      <c r="X297" t="s">
        <v>329</v>
      </c>
      <c r="Y297">
        <v>287</v>
      </c>
      <c r="Z297" t="s">
        <v>382</v>
      </c>
      <c r="AA297" t="s">
        <v>383</v>
      </c>
    </row>
    <row r="298" spans="24:27">
      <c r="X298" t="s">
        <v>330</v>
      </c>
      <c r="Y298">
        <v>288</v>
      </c>
      <c r="Z298" t="s">
        <v>382</v>
      </c>
      <c r="AA298" t="s">
        <v>383</v>
      </c>
    </row>
    <row r="299" spans="24:27">
      <c r="X299" t="s">
        <v>331</v>
      </c>
      <c r="Y299">
        <v>289</v>
      </c>
      <c r="Z299" t="s">
        <v>382</v>
      </c>
      <c r="AA299" t="s">
        <v>383</v>
      </c>
    </row>
    <row r="300" spans="24:27">
      <c r="X300" t="s">
        <v>332</v>
      </c>
      <c r="Y300">
        <v>290</v>
      </c>
      <c r="Z300" t="s">
        <v>382</v>
      </c>
      <c r="AA300" t="s">
        <v>383</v>
      </c>
    </row>
    <row r="301" spans="24:27">
      <c r="X301" t="s">
        <v>333</v>
      </c>
      <c r="Y301">
        <v>291</v>
      </c>
      <c r="Z301" t="s">
        <v>382</v>
      </c>
      <c r="AA301" t="s">
        <v>383</v>
      </c>
    </row>
    <row r="302" spans="24:27">
      <c r="X302" t="s">
        <v>334</v>
      </c>
      <c r="Y302">
        <v>292</v>
      </c>
      <c r="Z302" t="s">
        <v>382</v>
      </c>
      <c r="AA302" t="s">
        <v>383</v>
      </c>
    </row>
    <row r="303" spans="24:27">
      <c r="X303" t="s">
        <v>335</v>
      </c>
      <c r="Y303">
        <v>293</v>
      </c>
      <c r="Z303" t="s">
        <v>387</v>
      </c>
      <c r="AA303" t="s">
        <v>388</v>
      </c>
    </row>
    <row r="304" spans="24:27">
      <c r="X304" t="s">
        <v>336</v>
      </c>
      <c r="Y304">
        <v>294</v>
      </c>
      <c r="Z304" t="s">
        <v>387</v>
      </c>
      <c r="AA304" t="s">
        <v>383</v>
      </c>
    </row>
    <row r="305" spans="24:27">
      <c r="X305" t="s">
        <v>337</v>
      </c>
      <c r="Y305">
        <v>295</v>
      </c>
      <c r="Z305" t="s">
        <v>387</v>
      </c>
      <c r="AA305" t="s">
        <v>383</v>
      </c>
    </row>
    <row r="306" spans="24:27">
      <c r="X306" t="s">
        <v>338</v>
      </c>
      <c r="Y306">
        <v>296</v>
      </c>
      <c r="Z306" t="s">
        <v>387</v>
      </c>
      <c r="AA306" t="s">
        <v>388</v>
      </c>
    </row>
    <row r="307" spans="24:27">
      <c r="X307" t="s">
        <v>339</v>
      </c>
      <c r="Y307">
        <v>297</v>
      </c>
      <c r="Z307" t="s">
        <v>382</v>
      </c>
      <c r="AA307" t="s">
        <v>383</v>
      </c>
    </row>
    <row r="308" spans="24:27">
      <c r="X308" t="s">
        <v>340</v>
      </c>
      <c r="Y308">
        <v>298</v>
      </c>
      <c r="Z308" t="s">
        <v>382</v>
      </c>
      <c r="AA308" t="s">
        <v>388</v>
      </c>
    </row>
    <row r="309" spans="24:27">
      <c r="X309" t="s">
        <v>341</v>
      </c>
      <c r="Y309">
        <v>299</v>
      </c>
      <c r="Z309" t="s">
        <v>382</v>
      </c>
      <c r="AA309" t="s">
        <v>383</v>
      </c>
    </row>
    <row r="310" spans="24:27">
      <c r="X310" t="s">
        <v>342</v>
      </c>
      <c r="Y310">
        <v>300</v>
      </c>
      <c r="Z310" t="s">
        <v>382</v>
      </c>
      <c r="AA310" t="s">
        <v>383</v>
      </c>
    </row>
    <row r="311" spans="24:27">
      <c r="X311" t="s">
        <v>343</v>
      </c>
      <c r="Y311">
        <v>301</v>
      </c>
      <c r="Z311" t="s">
        <v>382</v>
      </c>
      <c r="AA311" t="s">
        <v>383</v>
      </c>
    </row>
    <row r="312" spans="24:27">
      <c r="X312" t="s">
        <v>344</v>
      </c>
      <c r="Y312">
        <v>302</v>
      </c>
      <c r="Z312" t="s">
        <v>382</v>
      </c>
      <c r="AA312" t="s">
        <v>383</v>
      </c>
    </row>
    <row r="313" spans="24:27">
      <c r="X313" t="s">
        <v>345</v>
      </c>
      <c r="Y313">
        <v>303</v>
      </c>
      <c r="Z313" t="s">
        <v>382</v>
      </c>
      <c r="AA313" t="s">
        <v>383</v>
      </c>
    </row>
    <row r="314" spans="24:27">
      <c r="X314" t="s">
        <v>346</v>
      </c>
      <c r="Y314">
        <v>304</v>
      </c>
      <c r="Z314" t="s">
        <v>382</v>
      </c>
      <c r="AA314" t="s">
        <v>383</v>
      </c>
    </row>
    <row r="315" spans="24:27">
      <c r="X315" t="s">
        <v>347</v>
      </c>
      <c r="Y315">
        <v>305</v>
      </c>
      <c r="Z315" t="s">
        <v>387</v>
      </c>
      <c r="AA315" t="s">
        <v>388</v>
      </c>
    </row>
    <row r="316" spans="24:27">
      <c r="X316" t="s">
        <v>348</v>
      </c>
      <c r="Y316">
        <v>306</v>
      </c>
      <c r="Z316" t="s">
        <v>387</v>
      </c>
      <c r="AA316" t="s">
        <v>388</v>
      </c>
    </row>
    <row r="317" spans="24:27">
      <c r="X317" t="s">
        <v>349</v>
      </c>
      <c r="Y317">
        <v>307</v>
      </c>
      <c r="Z317" t="s">
        <v>387</v>
      </c>
      <c r="AA317" t="s">
        <v>388</v>
      </c>
    </row>
    <row r="318" spans="24:27">
      <c r="X318" t="s">
        <v>350</v>
      </c>
      <c r="Y318">
        <v>308</v>
      </c>
      <c r="Z318" t="s">
        <v>387</v>
      </c>
      <c r="AA318" t="s">
        <v>388</v>
      </c>
    </row>
    <row r="319" spans="24:27">
      <c r="X319" t="s">
        <v>351</v>
      </c>
      <c r="Y319">
        <v>309</v>
      </c>
      <c r="Z319" t="s">
        <v>382</v>
      </c>
      <c r="AA319" t="s">
        <v>388</v>
      </c>
    </row>
    <row r="320" spans="24:27">
      <c r="X320" t="s">
        <v>352</v>
      </c>
      <c r="Y320">
        <v>310</v>
      </c>
      <c r="Z320" t="s">
        <v>382</v>
      </c>
      <c r="AA320" t="s">
        <v>388</v>
      </c>
    </row>
    <row r="321" spans="24:27">
      <c r="X321" t="s">
        <v>353</v>
      </c>
      <c r="Y321">
        <v>311</v>
      </c>
      <c r="Z321" t="s">
        <v>382</v>
      </c>
      <c r="AA321" t="s">
        <v>383</v>
      </c>
    </row>
    <row r="322" spans="24:27">
      <c r="X322" t="s">
        <v>354</v>
      </c>
      <c r="Y322">
        <v>312</v>
      </c>
      <c r="Z322" t="s">
        <v>382</v>
      </c>
      <c r="AA322" t="s">
        <v>383</v>
      </c>
    </row>
    <row r="323" spans="24:27">
      <c r="X323" t="s">
        <v>355</v>
      </c>
      <c r="Y323">
        <v>313</v>
      </c>
      <c r="Z323" t="s">
        <v>387</v>
      </c>
      <c r="AA323" t="s">
        <v>388</v>
      </c>
    </row>
    <row r="324" spans="24:27">
      <c r="X324" t="s">
        <v>356</v>
      </c>
      <c r="Y324">
        <v>314</v>
      </c>
      <c r="Z324" t="s">
        <v>387</v>
      </c>
      <c r="AA324" t="s">
        <v>388</v>
      </c>
    </row>
    <row r="325" spans="24:27">
      <c r="X325" t="s">
        <v>357</v>
      </c>
      <c r="Y325">
        <v>315</v>
      </c>
      <c r="Z325" t="s">
        <v>387</v>
      </c>
      <c r="AA325" t="s">
        <v>388</v>
      </c>
    </row>
    <row r="326" spans="24:27">
      <c r="X326" t="s">
        <v>358</v>
      </c>
      <c r="Y326">
        <v>316</v>
      </c>
      <c r="Z326" t="s">
        <v>382</v>
      </c>
      <c r="AA326" t="s">
        <v>388</v>
      </c>
    </row>
    <row r="327" spans="24:27">
      <c r="X327" t="s">
        <v>359</v>
      </c>
      <c r="Y327">
        <v>317</v>
      </c>
      <c r="Z327" t="s">
        <v>382</v>
      </c>
      <c r="AA327" t="s">
        <v>383</v>
      </c>
    </row>
    <row r="328" spans="24:27">
      <c r="X328" t="s">
        <v>360</v>
      </c>
      <c r="Y328">
        <v>318</v>
      </c>
      <c r="Z328" t="s">
        <v>382</v>
      </c>
      <c r="AA328" t="s">
        <v>388</v>
      </c>
    </row>
    <row r="329" spans="24:27">
      <c r="X329" t="s">
        <v>361</v>
      </c>
      <c r="Y329">
        <v>319</v>
      </c>
      <c r="Z329" t="s">
        <v>382</v>
      </c>
      <c r="AA329" t="s">
        <v>383</v>
      </c>
    </row>
    <row r="330" spans="24:27">
      <c r="X330" t="s">
        <v>362</v>
      </c>
      <c r="Y330">
        <v>320</v>
      </c>
      <c r="Z330" t="s">
        <v>387</v>
      </c>
      <c r="AA330" t="s">
        <v>388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Config</vt:lpstr>
      <vt:lpstr>Output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sindhu raghavan</cp:lastModifiedBy>
  <dcterms:created xsi:type="dcterms:W3CDTF">2026-07-20T06:48:43Z</dcterms:created>
  <dcterms:modified xsi:type="dcterms:W3CDTF">2026-07-28T11:05:08Z</dcterms:modified>
</cp:coreProperties>
</file>