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ARAPL_USER\Desktop\Tests\ReinsurancePortfolio\TestPlans\SupportingData\Template\"/>
    </mc:Choice>
  </mc:AlternateContent>
  <xr:revisionPtr revIDLastSave="0" documentId="8_{1A62F90B-CF21-4869-AB12-66C0C4580010}" xr6:coauthVersionLast="47" xr6:coauthVersionMax="47" xr10:uidLastSave="{00000000-0000-0000-0000-000000000000}"/>
  <bookViews>
    <workbookView xWindow="-108" yWindow="-108" windowWidth="23256" windowHeight="12456" tabRatio="879" firstSheet="3" activeTab="6" xr2:uid="{00000000-000D-0000-FFFF-FFFF00000000}"/>
  </bookViews>
  <sheets>
    <sheet name="ReadMe" sheetId="14" r:id="rId1"/>
    <sheet name="Prereq" sheetId="15" r:id="rId2"/>
    <sheet name="Prereq_result" sheetId="16" r:id="rId3"/>
    <sheet name="Prereq_Comparison" sheetId="17" r:id="rId4"/>
    <sheet name="00_Instructions" sheetId="1" r:id="rId5"/>
    <sheet name="01_Portfolio" sheetId="2" r:id="rId6"/>
    <sheet name="04_Portfolio_Guidelines" sheetId="5" r:id="rId7"/>
    <sheet name="06_Portfolio_Expenses" sheetId="7" r:id="rId8"/>
    <sheet name="07_Bound_Portfolio" sheetId="8" r:id="rId9"/>
    <sheet name="02_Transaction" sheetId="3" r:id="rId10"/>
    <sheet name="03_Mapping" sheetId="13" r:id="rId11"/>
    <sheet name="05_Pricing_Parameters" sheetId="6" state="hidden" r:id="rId12"/>
    <sheet name="Lookups" sheetId="11" state="hidden" r:id="rId13"/>
  </sheets>
  <externalReferences>
    <externalReference r:id="rId14"/>
  </externalReferences>
  <definedNames>
    <definedName name="_xlnm._FilterDatabase" localSheetId="5" hidden="1">'01_Portfolio'!$A$5:$M$40</definedName>
    <definedName name="_xlnm._FilterDatabase" localSheetId="9" hidden="1">'02_Transaction'!$A$5:$AB$256</definedName>
    <definedName name="_xlnm._FilterDatabase" localSheetId="10" hidden="1">'03_Mapping'!$A$5:$I$5</definedName>
    <definedName name="_xlnm._FilterDatabase" localSheetId="6" hidden="1">'04_Portfolio_Guidelines'!$A$5:$J$1311</definedName>
    <definedName name="_xlnm._FilterDatabase" localSheetId="8" hidden="1">'07_Bound_Portfolio'!$A$5:$N$40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 i="3" l="1"/>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6" i="3"/>
  <c r="A1" i="17" a="1"/>
  <c r="D9" i="17" s="1"/>
  <c r="E9" i="17" s="1"/>
  <c r="D4" i="17" l="1"/>
  <c r="E4" i="17" s="1"/>
  <c r="D6" i="17"/>
  <c r="E6" i="17" s="1"/>
  <c r="A1" i="17"/>
  <c r="D5" i="17"/>
  <c r="E5" i="17" s="1"/>
  <c r="D7" i="17"/>
  <c r="E7" i="17" s="1"/>
  <c r="D8" i="17"/>
  <c r="E8" i="17" s="1"/>
  <c r="D2" i="17"/>
  <c r="E2" i="17" s="1"/>
  <c r="D3" i="17"/>
  <c r="E3" i="17" s="1"/>
  <c r="H2" i="1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<sst xmlns="http://schemas.openxmlformats.org/spreadsheetml/2006/main" count="12145" uniqueCount="927">
  <si>
    <t>SCREEN 3 — TRANSACTION → ILS DEAL MAPPING  |  Test Cases</t>
  </si>
  <si>
    <t>► Test Control</t>
  </si>
  <si>
    <t>► Mapping Info</t>
  </si>
  <si>
    <t>► Test Result</t>
  </si>
  <si>
    <t>Test Case ID</t>
  </si>
  <si>
    <t>Action</t>
  </si>
  <si>
    <t>Transaction ID</t>
  </si>
  <si>
    <t>ILS Deal / Name</t>
  </si>
  <si>
    <t>Mapping Status</t>
  </si>
  <si>
    <t>Expected Result</t>
  </si>
  <si>
    <t>Actual Result</t>
  </si>
  <si>
    <t>Run DateTime</t>
  </si>
  <si>
    <t>Notes</t>
  </si>
  <si>
    <t>[Auto-generated]</t>
  </si>
  <si>
    <t>[Add / Edit / Delete]</t>
  </si>
  <si>
    <t>[TransactionID]</t>
  </si>
  <si>
    <t>[ILSName]</t>
  </si>
  <si>
    <t>[MappingStatus]</t>
  </si>
  <si>
    <t>[Expected]</t>
  </si>
  <si>
    <t>[—]</t>
  </si>
  <si>
    <t>★ Required</t>
  </si>
  <si>
    <t>Optional</t>
  </si>
  <si>
    <t>Read-only</t>
  </si>
  <si>
    <t>Add</t>
  </si>
  <si>
    <t>TC_TR_001</t>
  </si>
  <si>
    <t>TC_TR_002</t>
  </si>
  <si>
    <t>TC_TR_003</t>
  </si>
  <si>
    <t>CB-Blue Ridge Re Ltd. Series 2023-1 Class A Reset 2025</t>
  </si>
  <si>
    <t>TC_TR_004</t>
  </si>
  <si>
    <t>TC_TR_005</t>
  </si>
  <si>
    <t>TC_TR_006</t>
  </si>
  <si>
    <t>TC_TR_007</t>
  </si>
  <si>
    <t>TC_TR_008</t>
  </si>
  <si>
    <t>TC_TR_009</t>
  </si>
  <si>
    <t>TC_TR_010</t>
  </si>
  <si>
    <t>Legend:</t>
  </si>
  <si>
    <t>Required field</t>
  </si>
  <si>
    <t>Optional field</t>
  </si>
  <si>
    <t>Auto-populated</t>
  </si>
  <si>
    <t>PASS result</t>
  </si>
  <si>
    <t>FAIL result</t>
  </si>
  <si>
    <t>PORTFOLIO FLOW — TEST CASE WORKBOOK</t>
  </si>
  <si>
    <t>PURPOSE</t>
  </si>
  <si>
    <t>Drive automated Playwright tests from this Excel. Developer fills data; tester just runs pytest.</t>
  </si>
  <si>
    <t>SHEETS</t>
  </si>
  <si>
    <t>01_Portfolio</t>
  </si>
  <si>
    <t>CRUD tests for Portfolio popup</t>
  </si>
  <si>
    <t>02_Transaction</t>
  </si>
  <si>
    <t>CRUD tests for Transaction edit popup (used BEFORE portfolio flow)</t>
  </si>
  <si>
    <t>03_Mapping</t>
  </si>
  <si>
    <t>Tests for Transaction → ILS Deal Mapping popup</t>
  </si>
  <si>
    <t>04_Portfolio_Guidelines</t>
  </si>
  <si>
    <t>CRUD tests for Portfolio Guidelines grid + edit popup</t>
  </si>
  <si>
    <t>05_Pricing_Parameters</t>
  </si>
  <si>
    <t>Tests for Portfolio Pricing Parameters popup</t>
  </si>
  <si>
    <t>06_Portfolio_Expenses</t>
  </si>
  <si>
    <t>Tests for Portfolio Expenses popup</t>
  </si>
  <si>
    <t>07_Bound_Portfolio</t>
  </si>
  <si>
    <t>Tests for Bound Portfolio popup</t>
  </si>
  <si>
    <t>08_Bound_Portfolio_Details</t>
  </si>
  <si>
    <t>Tests for Bound Portfolio Details popup</t>
  </si>
  <si>
    <t>09_Bound_Report_Filter</t>
  </si>
  <si>
    <t>Tests for Bound Report Filter popup</t>
  </si>
  <si>
    <t>Lookups</t>
  </si>
  <si>
    <t>Hidden sheet — dropdown source lists. Do NOT edit.</t>
  </si>
  <si>
    <t>COLUMN COLOUR GUIDE</t>
  </si>
  <si>
    <t>Yellow background</t>
  </si>
  <si>
    <t>★ Required field — must be filled</t>
  </si>
  <si>
    <t>Grey background</t>
  </si>
  <si>
    <t>Optional field — leave blank to skip</t>
  </si>
  <si>
    <t>Gold background</t>
  </si>
  <si>
    <t>Auto-populated / read-only field</t>
  </si>
  <si>
    <t>Green Actual Result</t>
  </si>
  <si>
    <t>Test PASSED</t>
  </si>
  <si>
    <t>Red Actual Result</t>
  </si>
  <si>
    <t>Test FAILED</t>
  </si>
  <si>
    <t>ROW GUIDE (rows 1-5 in each sheet)</t>
  </si>
  <si>
    <t>Row 1 — Title banner</t>
  </si>
  <si>
    <t>Screen name and purpose</t>
  </si>
  <si>
    <t>Row 2 — Section groups</t>
  </si>
  <si>
    <t>Colour-coded grouping of related columns</t>
  </si>
  <si>
    <t>Row 3 — Column header</t>
  </si>
  <si>
    <t>Human-readable field label</t>
  </si>
  <si>
    <t>Row 4 — Field name</t>
  </si>
  <si>
    <t>Exact JSON popup field name in [brackets]</t>
  </si>
  <si>
    <t>Row 5 — Required?</t>
  </si>
  <si>
    <t>★ Required or Optional</t>
  </si>
  <si>
    <t>Row 6+ — Data rows</t>
  </si>
  <si>
    <t>One test case per row</t>
  </si>
  <si>
    <t>HOW TO ADD MORE TEST CASES</t>
  </si>
  <si>
    <t>Step 1</t>
  </si>
  <si>
    <t>Copy the sample data row (row 6) downward</t>
  </si>
  <si>
    <t>Step 2</t>
  </si>
  <si>
    <t>Change TestCaseID, Action, and field values</t>
  </si>
  <si>
    <t>Step 3</t>
  </si>
  <si>
    <t>Use the dropdown arrows in each cell for valid values</t>
  </si>
  <si>
    <t>Step 4</t>
  </si>
  <si>
    <t>Run:  pytest tests/test_portfolio_flow.py -v --html=reports/report.html</t>
  </si>
  <si>
    <t>NOTES</t>
  </si>
  <si>
    <t>Idempotent</t>
  </si>
  <si>
    <t>Tests check if data already exists before adding — safe to re-run</t>
  </si>
  <si>
    <t>Order matters</t>
  </si>
  <si>
    <t>Run Add before Edit; Edit before Delete within the same screen</t>
  </si>
  <si>
    <t>Dates</t>
  </si>
  <si>
    <t>Enter dates as YYYY-MM-DD  e.g. 2025-01-01</t>
  </si>
  <si>
    <t>Numbers</t>
  </si>
  <si>
    <t>Enter numbers without $ or commas  e.g. 10000000</t>
  </si>
  <si>
    <t>► Portfolio Details</t>
  </si>
  <si>
    <t>Portfolio Name</t>
  </si>
  <si>
    <t>Vendor</t>
  </si>
  <si>
    <t>Create Date</t>
  </si>
  <si>
    <t>[Name]</t>
  </si>
  <si>
    <t>[Vendor]</t>
  </si>
  <si>
    <t>[CreateDate]</t>
  </si>
  <si>
    <t>TC_PF_001</t>
  </si>
  <si>
    <t>AIR</t>
  </si>
  <si>
    <t>PASS</t>
  </si>
  <si>
    <t>► Transaction Info (Required)</t>
  </si>
  <si>
    <t>► Transaction Info (Optional)</t>
  </si>
  <si>
    <t>ILS Name</t>
  </si>
  <si>
    <t>Class</t>
  </si>
  <si>
    <t>Series</t>
  </si>
  <si>
    <t>Reset Year</t>
  </si>
  <si>
    <t>Transaction Type</t>
  </si>
  <si>
    <t>Transaction Date</t>
  </si>
  <si>
    <t>Quantity</t>
  </si>
  <si>
    <t>CUSIP</t>
  </si>
  <si>
    <t>Bond Price</t>
  </si>
  <si>
    <t>Security Instrument</t>
  </si>
  <si>
    <t>Broker Price</t>
  </si>
  <si>
    <t>Broker Name</t>
  </si>
  <si>
    <t>Coupon (%)</t>
  </si>
  <si>
    <t>ROL</t>
  </si>
  <si>
    <t>Company Share</t>
  </si>
  <si>
    <t>[PortfolioID]</t>
  </si>
  <si>
    <t>[Class]</t>
  </si>
  <si>
    <t>[Series]</t>
  </si>
  <si>
    <t>[ResetYear]</t>
  </si>
  <si>
    <t>[TransactionType]</t>
  </si>
  <si>
    <t>[TransactionDate]</t>
  </si>
  <si>
    <t>[Quantity]</t>
  </si>
  <si>
    <t>[CUSIP]</t>
  </si>
  <si>
    <t>[Price]</t>
  </si>
  <si>
    <t>[SecurityInstrument]</t>
  </si>
  <si>
    <t>[BondPrice]</t>
  </si>
  <si>
    <t>[BrokerName]</t>
  </si>
  <si>
    <t>[Coupon]</t>
  </si>
  <si>
    <t>[ROL]</t>
  </si>
  <si>
    <t>[CompanyShare]</t>
  </si>
  <si>
    <t>Class 1</t>
  </si>
  <si>
    <t>2024-1</t>
  </si>
  <si>
    <t>Buy</t>
  </si>
  <si>
    <t>62984JAC2</t>
  </si>
  <si>
    <t>Cat Bond</t>
  </si>
  <si>
    <t>BH</t>
  </si>
  <si>
    <t>Pending</t>
  </si>
  <si>
    <t>Class B</t>
  </si>
  <si>
    <t>2025-1</t>
  </si>
  <si>
    <t>613752AE4</t>
  </si>
  <si>
    <t>RBC</t>
  </si>
  <si>
    <t>FAIL</t>
  </si>
  <si>
    <t>Class A</t>
  </si>
  <si>
    <t>2023-1</t>
  </si>
  <si>
    <t>096003AA6</t>
  </si>
  <si>
    <t>Class B-1</t>
  </si>
  <si>
    <t>2022-1</t>
  </si>
  <si>
    <t>89009PAB4</t>
  </si>
  <si>
    <t>Class AA</t>
  </si>
  <si>
    <t>2023-3</t>
  </si>
  <si>
    <t>90323WAP5</t>
  </si>
  <si>
    <t>92335TAD1</t>
  </si>
  <si>
    <t>► Context</t>
  </si>
  <si>
    <t>► Constraint (Required)</t>
  </si>
  <si>
    <t>► Limits &amp; Settings</t>
  </si>
  <si>
    <t>Portfolio ID</t>
  </si>
  <si>
    <t>Constraint Type</t>
  </si>
  <si>
    <t>Constraint Name</t>
  </si>
  <si>
    <t>Single Limit</t>
  </si>
  <si>
    <t>Max Limit</t>
  </si>
  <si>
    <t>Loss Type</t>
  </si>
  <si>
    <t>Return Period (Yrs)</t>
  </si>
  <si>
    <t>[PortfolioId]</t>
  </si>
  <si>
    <t>[ConstraintType]</t>
  </si>
  <si>
    <t>[ConstraintName]</t>
  </si>
  <si>
    <t>[SingleLimit]</t>
  </si>
  <si>
    <t>[MaxLimit]</t>
  </si>
  <si>
    <t>[LossType]</t>
  </si>
  <si>
    <t>[ReturnPeriod]</t>
  </si>
  <si>
    <t>Cedant</t>
  </si>
  <si>
    <t xml:space="preserve">Single Cedent (including business fronted by Allianz Risk Transfer) </t>
  </si>
  <si>
    <t>Issuer</t>
  </si>
  <si>
    <t>ILW Long</t>
  </si>
  <si>
    <t>ILW Short</t>
  </si>
  <si>
    <t>Side Car</t>
  </si>
  <si>
    <t>Retro XOL</t>
  </si>
  <si>
    <t>Retro QS</t>
  </si>
  <si>
    <t>Reinsurance</t>
  </si>
  <si>
    <t>Single</t>
  </si>
  <si>
    <t>CAT Bond</t>
  </si>
  <si>
    <t>Cash</t>
  </si>
  <si>
    <t>PerilRegion</t>
  </si>
  <si>
    <t>US Hurricanes</t>
  </si>
  <si>
    <t>OEP</t>
  </si>
  <si>
    <t>Florida Hurricane</t>
  </si>
  <si>
    <t>Gulf of Mexico WS</t>
  </si>
  <si>
    <t>Japan Typhoon</t>
  </si>
  <si>
    <t>Texas Hurricane</t>
  </si>
  <si>
    <t>California Earthquake</t>
  </si>
  <si>
    <t>Japan Earthquake</t>
  </si>
  <si>
    <t>All other WS</t>
  </si>
  <si>
    <t>all other EQ</t>
  </si>
  <si>
    <t>WildFire</t>
  </si>
  <si>
    <t>InlandFlood</t>
  </si>
  <si>
    <t>SevereStorm</t>
  </si>
  <si>
    <t>Terrorism</t>
  </si>
  <si>
    <t>AEP</t>
  </si>
  <si>
    <t>US Earthquake xl CA</t>
  </si>
  <si>
    <t>US Winter Storm</t>
  </si>
  <si>
    <t>US WildFire</t>
  </si>
  <si>
    <t>US Severe Storm</t>
  </si>
  <si>
    <t>US Inland Flood</t>
  </si>
  <si>
    <t>ReinsuranceType</t>
  </si>
  <si>
    <t>SCREEN 5 — PORTFOLIO PRICING PARAMETERS  |  Test Cases</t>
  </si>
  <si>
    <t>► Pricing Params</t>
  </si>
  <si>
    <t>Target UW Return %</t>
  </si>
  <si>
    <t>Tail Return Contrib %</t>
  </si>
  <si>
    <t>Tail Return Target %</t>
  </si>
  <si>
    <t>Target Capacity Charge %</t>
  </si>
  <si>
    <t>A</t>
  </si>
  <si>
    <t>R %</t>
  </si>
  <si>
    <t>Cap</t>
  </si>
  <si>
    <t>Threshold %</t>
  </si>
  <si>
    <t>Target Return on Risk %</t>
  </si>
  <si>
    <t>[Save / Delete]</t>
  </si>
  <si>
    <t>[TargetUWReturn]</t>
  </si>
  <si>
    <t>[TailReturnContributionPerc]</t>
  </si>
  <si>
    <t>[TailReturnTarget]</t>
  </si>
  <si>
    <t>[TargetCapacityCharge]</t>
  </si>
  <si>
    <t>[A]</t>
  </si>
  <si>
    <t>[R]</t>
  </si>
  <si>
    <t>[Cap]</t>
  </si>
  <si>
    <t>[Thresh]</t>
  </si>
  <si>
    <t>[TargetReturnOnRisk]</t>
  </si>
  <si>
    <t>TC_PP_001</t>
  </si>
  <si>
    <t>Save</t>
  </si>
  <si>
    <t>2026-07-10 13:57:37</t>
  </si>
  <si>
    <t>Default values</t>
  </si>
  <si>
    <t>Different vendor</t>
  </si>
  <si>
    <t>► Expense Details</t>
  </si>
  <si>
    <t>Management Fee</t>
  </si>
  <si>
    <t>Carry</t>
  </si>
  <si>
    <t>Hurdle Type</t>
  </si>
  <si>
    <t>Hurdle</t>
  </si>
  <si>
    <t>Fronting Fee</t>
  </si>
  <si>
    <t>Acquisition Expense</t>
  </si>
  <si>
    <t>FET</t>
  </si>
  <si>
    <t>Investment Income</t>
  </si>
  <si>
    <t>Operating Expenses</t>
  </si>
  <si>
    <t>Risk Free Rate</t>
  </si>
  <si>
    <t>QS Attritional LR US Wind</t>
  </si>
  <si>
    <t>QS Attritional LR Worldwide</t>
  </si>
  <si>
    <t>Pro Forma Rate Change</t>
  </si>
  <si>
    <t>[ManagementFee]</t>
  </si>
  <si>
    <t>[Carry]</t>
  </si>
  <si>
    <t>[HurdleType]</t>
  </si>
  <si>
    <t>[Hurdle]</t>
  </si>
  <si>
    <t>[FrontingFee]</t>
  </si>
  <si>
    <t>[AcquisitionExpense]</t>
  </si>
  <si>
    <t>[FET]</t>
  </si>
  <si>
    <t>[InvestmentIncome]</t>
  </si>
  <si>
    <t>[OpsExpenses]</t>
  </si>
  <si>
    <t>[RiskFreeRate]</t>
  </si>
  <si>
    <t>[QSAttritionalLRUSWind]</t>
  </si>
  <si>
    <t>[QSAttritionalLRWorldwide]</t>
  </si>
  <si>
    <t>[ProFormaRateChange]</t>
  </si>
  <si>
    <t>Hard</t>
  </si>
  <si>
    <t>► Bound Portfolio Info</t>
  </si>
  <si>
    <t>Name</t>
  </si>
  <si>
    <t>Currency Code</t>
  </si>
  <si>
    <t>Run Off</t>
  </si>
  <si>
    <t>Include Expired</t>
  </si>
  <si>
    <t>Notional AUM</t>
  </si>
  <si>
    <t>Deployed AUM</t>
  </si>
  <si>
    <t>Version</t>
  </si>
  <si>
    <t>As Of Date</t>
  </si>
  <si>
    <t>Report Date</t>
  </si>
  <si>
    <t>Remark</t>
  </si>
  <si>
    <t>[CurrencyCode]</t>
  </si>
  <si>
    <t>[RunOff]</t>
  </si>
  <si>
    <t>[IncludeExpired]</t>
  </si>
  <si>
    <t>[NotionalAUM]</t>
  </si>
  <si>
    <t>[DeployedAUM]</t>
  </si>
  <si>
    <t>[Version]</t>
  </si>
  <si>
    <t>[AsOfDate]</t>
  </si>
  <si>
    <t>[ReportDate]</t>
  </si>
  <si>
    <t>[Remarks]</t>
  </si>
  <si>
    <t>USD</t>
  </si>
  <si>
    <t>v12.0</t>
  </si>
  <si>
    <t>TransactionType</t>
  </si>
  <si>
    <t>SecurityInstrument</t>
  </si>
  <si>
    <t>MappingStatus</t>
  </si>
  <si>
    <t>ConstraintType</t>
  </si>
  <si>
    <t>CurrencyCode</t>
  </si>
  <si>
    <t>RunOff</t>
  </si>
  <si>
    <t>IncludeExpired</t>
  </si>
  <si>
    <t>HurdleType</t>
  </si>
  <si>
    <t>Expected</t>
  </si>
  <si>
    <t>Mapped</t>
  </si>
  <si>
    <t>0</t>
  </si>
  <si>
    <t>Edit</t>
  </si>
  <si>
    <t>Sell</t>
  </si>
  <si>
    <t>RMS</t>
  </si>
  <si>
    <t>EUR</t>
  </si>
  <si>
    <t>1</t>
  </si>
  <si>
    <t>Absolute</t>
  </si>
  <si>
    <t>Delete</t>
  </si>
  <si>
    <t>No Mapping Found</t>
  </si>
  <si>
    <t>KCC</t>
  </si>
  <si>
    <t>GBP</t>
  </si>
  <si>
    <t>Relative</t>
  </si>
  <si>
    <t>CoreLogic</t>
  </si>
  <si>
    <t>JPY</t>
  </si>
  <si>
    <t>Verisk</t>
  </si>
  <si>
    <t>CHF</t>
  </si>
  <si>
    <t>AIR Worldwide</t>
  </si>
  <si>
    <t>CAD</t>
  </si>
  <si>
    <t>AUD</t>
  </si>
  <si>
    <t>SGD</t>
  </si>
  <si>
    <t>HKD</t>
  </si>
  <si>
    <t>NZD</t>
  </si>
  <si>
    <t xml:space="preserve">SCREEN 1 — PORTFOLIO </t>
  </si>
  <si>
    <t xml:space="preserve">SCREEN 4 — PORTFOLIO GUIDELINES </t>
  </si>
  <si>
    <t>SCREEN 6 — PORTFOLIO EXPENSES</t>
  </si>
  <si>
    <t>SCREEN 7 — BOUND PORTFOLIO</t>
  </si>
  <si>
    <t>SCREEN 2 — TRANSACTION</t>
  </si>
  <si>
    <t>Add Guidelines</t>
  </si>
  <si>
    <t>Add Expenses</t>
  </si>
  <si>
    <t>Add Transactions</t>
  </si>
  <si>
    <t>Yes</t>
  </si>
  <si>
    <t>TC_PF_002</t>
  </si>
  <si>
    <t>Test_Portfolio_001</t>
  </si>
  <si>
    <t>Test_Portfolio_002</t>
  </si>
  <si>
    <t xml:space="preserve">Nakama Re Pte. Ltd. Series 2024-1 </t>
  </si>
  <si>
    <t xml:space="preserve">Montoya Re Ltd. Series 2025-1 </t>
  </si>
  <si>
    <t xml:space="preserve">Blue Ridge Re Ltd. Series 2023-1 </t>
  </si>
  <si>
    <t xml:space="preserve">Tomoni Re Pte. Ltd. Series 2022-1 </t>
  </si>
  <si>
    <t xml:space="preserve">Ursa Re Ltd. Series 2023-3 </t>
  </si>
  <si>
    <t xml:space="preserve">Veraison Re Ltd. Series 2025-1 </t>
  </si>
  <si>
    <t xml:space="preserve">Fuchsia 2 Series 2024-1 </t>
  </si>
  <si>
    <t xml:space="preserve">Fish Pond Re Ltd. Series 2024-1 </t>
  </si>
  <si>
    <t xml:space="preserve">Baldwin Re Ltd. Series 2023-1 </t>
  </si>
  <si>
    <t xml:space="preserve">Sanders Re III Ltd. Series 2023-1 </t>
  </si>
  <si>
    <t>2025</t>
  </si>
  <si>
    <t>2024</t>
  </si>
  <si>
    <t/>
  </si>
  <si>
    <t>541917AA8</t>
  </si>
  <si>
    <t>33774EAA2</t>
  </si>
  <si>
    <t>05826BAB2</t>
  </si>
  <si>
    <t>80001QAA1</t>
  </si>
  <si>
    <t>No</t>
  </si>
  <si>
    <t>TC_TR_011</t>
  </si>
  <si>
    <t>TC_TR_012</t>
  </si>
  <si>
    <t xml:space="preserve">Gateway Re Ltd. Series 2025-1 </t>
  </si>
  <si>
    <t>TC_TR_013</t>
  </si>
  <si>
    <t xml:space="preserve">Purple Re Ltd. Series 2024-1 </t>
  </si>
  <si>
    <t>74639NAC7</t>
  </si>
  <si>
    <t xml:space="preserve">Acorn Re Ltd. Series 2023-1 </t>
  </si>
  <si>
    <t>00485YAD1</t>
  </si>
  <si>
    <t xml:space="preserve">Wrigley Re Ltd. Series 2023-1 </t>
  </si>
  <si>
    <t xml:space="preserve">Charles River Re Ltd. Series 2024-1 </t>
  </si>
  <si>
    <t>159873AA6</t>
  </si>
  <si>
    <t>TC_TR_021</t>
  </si>
  <si>
    <t xml:space="preserve">Winston Re Ltd. Series 2025-1 </t>
  </si>
  <si>
    <t>TC_TR_022</t>
  </si>
  <si>
    <t xml:space="preserve">Torrey Pines Re Ltd. Series 2023-1 </t>
  </si>
  <si>
    <t>89141WAF9</t>
  </si>
  <si>
    <t>TC_TR_023</t>
  </si>
  <si>
    <t xml:space="preserve">Bayou Re Ltd. Series 2023-1 </t>
  </si>
  <si>
    <t>07304LAA9</t>
  </si>
  <si>
    <t>TC_TR_026</t>
  </si>
  <si>
    <t xml:space="preserve">Palm Re Ltd. Series 2024-1 </t>
  </si>
  <si>
    <t>69664FAA6</t>
  </si>
  <si>
    <t xml:space="preserve">Logistics Re Ltd. Series 2024-1 </t>
  </si>
  <si>
    <t>54143LAB4</t>
  </si>
  <si>
    <t>TC_TR_031</t>
  </si>
  <si>
    <t>TC_TR_032</t>
  </si>
  <si>
    <t>TC_TR_033</t>
  </si>
  <si>
    <t xml:space="preserve">Veraison Re Ltd. Series 2023-1 </t>
  </si>
  <si>
    <t xml:space="preserve">Citrus Re Ltd. Series 2023-1 </t>
  </si>
  <si>
    <t>177510AM6</t>
  </si>
  <si>
    <t xml:space="preserve">Purple Re Ltd. Series 2023-2 </t>
  </si>
  <si>
    <t>2023-2</t>
  </si>
  <si>
    <t>74639NAB9</t>
  </si>
  <si>
    <t>Swiss Re</t>
  </si>
  <si>
    <t>Class 2</t>
  </si>
  <si>
    <t xml:space="preserve">Winston Re Ltd. Series 2024-1 </t>
  </si>
  <si>
    <t>975660AA9</t>
  </si>
  <si>
    <t>975660AB7</t>
  </si>
  <si>
    <t>TC_TR_044</t>
  </si>
  <si>
    <t xml:space="preserve">Everglades Re II Ltd. Series 2024-1 </t>
  </si>
  <si>
    <t>30014LAM6</t>
  </si>
  <si>
    <t>TC_TR_045</t>
  </si>
  <si>
    <t xml:space="preserve">Res Re 2025 Ltd. Series 2025-II </t>
  </si>
  <si>
    <t>2025-II</t>
  </si>
  <si>
    <t>76091JAA6</t>
  </si>
  <si>
    <t>TC_PF_003</t>
  </si>
  <si>
    <t>TC_PF_004</t>
  </si>
  <si>
    <t>Test_Portfolio_004</t>
  </si>
  <si>
    <t>975660AC5</t>
  </si>
  <si>
    <t>Test_Portfolio_005</t>
  </si>
  <si>
    <t>TC_TR_046</t>
  </si>
  <si>
    <t>TC_TR_047</t>
  </si>
  <si>
    <t>Test_Portfolio_006</t>
  </si>
  <si>
    <t>TC_TR_048</t>
  </si>
  <si>
    <t>Test_Portfolio_007</t>
  </si>
  <si>
    <t>Test_Portfolio_008</t>
  </si>
  <si>
    <t>Test_Portfolio_009</t>
  </si>
  <si>
    <t>Test_Portfolio_010</t>
  </si>
  <si>
    <t>Test_Portfolio_011</t>
  </si>
  <si>
    <t>Test_Portfolio_012</t>
  </si>
  <si>
    <t>Test_Portfolio_013</t>
  </si>
  <si>
    <t>Test_Portfolio_014</t>
  </si>
  <si>
    <t>Test_Portfolio_015</t>
  </si>
  <si>
    <t>Test_Portfolio_016</t>
  </si>
  <si>
    <t>Test_Portfolio_017</t>
  </si>
  <si>
    <t>Test_Portfolio_018</t>
  </si>
  <si>
    <t>Test_Portfolio_019</t>
  </si>
  <si>
    <t>Test_Portfolio_020</t>
  </si>
  <si>
    <t xml:space="preserve">Nakama Re Pte. Ltd. Series 2021-1 </t>
  </si>
  <si>
    <t>2021-1</t>
  </si>
  <si>
    <t>62984JAA6</t>
  </si>
  <si>
    <t>62984JAB4</t>
  </si>
  <si>
    <t xml:space="preserve">Ursa Re Ltd. Series 2023-2 </t>
  </si>
  <si>
    <t>Class E</t>
  </si>
  <si>
    <t>90323WAN0</t>
  </si>
  <si>
    <t>Class D</t>
  </si>
  <si>
    <t>90323WAQ3</t>
  </si>
  <si>
    <t xml:space="preserve">Herbie Re Ltd. Series 2022-1 </t>
  </si>
  <si>
    <t>42703VAF0</t>
  </si>
  <si>
    <t>Test_Portfolio_021</t>
  </si>
  <si>
    <t>CB-Blue Ridge Re Ltd. Series 2023-1 Class B Reset 2025</t>
  </si>
  <si>
    <t>096003AB4</t>
  </si>
  <si>
    <t>CB-Nature Coast Re Ltd. Series 2023-1 Class A Reset 2025</t>
  </si>
  <si>
    <t>63901CAA9</t>
  </si>
  <si>
    <t>CB-Nature Coast Re Ltd. Series 2023-1 Class B Reset 2025</t>
  </si>
  <si>
    <t>63901CAB7</t>
  </si>
  <si>
    <t>CB-Winston Re Ltd. Series 2024-1 Class A Reset 2025</t>
  </si>
  <si>
    <t>CB-Winston Re Ltd. Series 2024-1 Class B Reset 2025</t>
  </si>
  <si>
    <t>CB-Orange Capital Re DAC Series 2023-1 Class A Reset 2025</t>
  </si>
  <si>
    <t>XS2722275190</t>
  </si>
  <si>
    <t>CB-Eiffel Re Ltd. Series 2023-1 Class A Reset 2025</t>
  </si>
  <si>
    <t>XS2641776773</t>
  </si>
  <si>
    <t>Test_Portfolio_022</t>
  </si>
  <si>
    <t xml:space="preserve">Test_Portfolio_023
</t>
  </si>
  <si>
    <t>92335TAB5</t>
  </si>
  <si>
    <t xml:space="preserve">Ursa Re II Ltd. Series 2025-1 </t>
  </si>
  <si>
    <t>Class G</t>
  </si>
  <si>
    <t>91734PAH9</t>
  </si>
  <si>
    <t xml:space="preserve">Ursa Re Ltd. Series 2025-1 </t>
  </si>
  <si>
    <t>Class F</t>
  </si>
  <si>
    <t>90323WAR1</t>
  </si>
  <si>
    <t>982533AC5</t>
  </si>
  <si>
    <t xml:space="preserve">Sutter Re Ltd. Series 2023-1 </t>
  </si>
  <si>
    <t>86944RAE8</t>
  </si>
  <si>
    <t>Test_Portfolio_003</t>
  </si>
  <si>
    <t>36779CAQ9</t>
  </si>
  <si>
    <t xml:space="preserve">3264 Re Ltd. Series 2024-1 </t>
  </si>
  <si>
    <t>88577CAD3</t>
  </si>
  <si>
    <t>TC_PF_005</t>
  </si>
  <si>
    <t>TC_PF_006</t>
  </si>
  <si>
    <t>TC_PF_007</t>
  </si>
  <si>
    <t>TC_PF_009</t>
  </si>
  <si>
    <t>TC_PF_017</t>
  </si>
  <si>
    <t>TC_PF_008</t>
  </si>
  <si>
    <t>TC_PF_010</t>
  </si>
  <si>
    <t>TC_PF_011</t>
  </si>
  <si>
    <t>TC_PF_012</t>
  </si>
  <si>
    <t>Soft</t>
  </si>
  <si>
    <t>TC_PF_013</t>
  </si>
  <si>
    <t>TC_PF_014</t>
  </si>
  <si>
    <t>TC_PF_015</t>
  </si>
  <si>
    <t>TC_PF_016</t>
  </si>
  <si>
    <t>TC_PF_018</t>
  </si>
  <si>
    <t>TC_PF_019</t>
  </si>
  <si>
    <t>TC_PF_020</t>
  </si>
  <si>
    <t>TC_PF_021</t>
  </si>
  <si>
    <t>TC_PF_022</t>
  </si>
  <si>
    <t>TC_PF_023</t>
  </si>
  <si>
    <t>TC_PF_024</t>
  </si>
  <si>
    <t>TC_PF_025</t>
  </si>
  <si>
    <t>TC_PF_026</t>
  </si>
  <si>
    <t>TC_PF_027</t>
  </si>
  <si>
    <t>TC_PF_028</t>
  </si>
  <si>
    <t>TC_PF_029</t>
  </si>
  <si>
    <t>TC_PF_030</t>
  </si>
  <si>
    <t>TC_PF_031</t>
  </si>
  <si>
    <t>TC_PF_032</t>
  </si>
  <si>
    <t>TC_PF_033</t>
  </si>
  <si>
    <t>TC_PF_034</t>
  </si>
  <si>
    <t>TC_PF_035</t>
  </si>
  <si>
    <t>Test_Portfolio_023</t>
  </si>
  <si>
    <t>ADD</t>
  </si>
  <si>
    <t xml:space="preserve">Nature Coast Re Ltd. Series 2023-1 </t>
  </si>
  <si>
    <t xml:space="preserve">Orange Capital Re DAC Series 2023-1 </t>
  </si>
  <si>
    <t xml:space="preserve">Eiffel Re Ltd. Series 2023-1 </t>
  </si>
  <si>
    <t>CB-Nakama Re Pte. Ltd. Series 2024-1 Class 1 Reset 2025</t>
  </si>
  <si>
    <t>CB-Montoya Re Ltd. Series 2025-1 Class B Reset 2025</t>
  </si>
  <si>
    <t>CB-Tomoni Re Pte. Ltd. Series 2022-1 Class B-1 Reset 2025</t>
  </si>
  <si>
    <t>CB-Ursa Re Ltd. Series 2023-3 Class AA Reset 2024</t>
  </si>
  <si>
    <t>CB-Veraison Re Ltd. Series 2025-1 Class A</t>
  </si>
  <si>
    <t>CB-Fuchsia 2 Series 2024-1 Class A Reset 2025</t>
  </si>
  <si>
    <t>CB-Fish Pond Re Ltd. Series 2024-1 Class A Reset 2025</t>
  </si>
  <si>
    <t>CB-Baldwin Re Ltd. Series 2023-1 Class A Reset 2025</t>
  </si>
  <si>
    <t>CB-Sanders Re III Ltd. Series 2023-1 Class A Reset 2025</t>
  </si>
  <si>
    <t>CB-Gateway Re Ltd. Series 2025-1 Class C2</t>
  </si>
  <si>
    <t>CB-Purple Re Ltd. Series 2024-1 Class A Reset 2025</t>
  </si>
  <si>
    <t>CB-Aragonite Re Ltd. Series 2024-1 Class A Reset 2025</t>
  </si>
  <si>
    <t>CB-Acorn Re Ltd. Series 2023-1 Class A</t>
  </si>
  <si>
    <t>CB-Commonwealth Re Ltd. Series 2023-1 Class A Reset 2025</t>
  </si>
  <si>
    <t>CB-Wrigley Re Ltd. Series 2023-1 Class A Reset 2025</t>
  </si>
  <si>
    <t>CB-Charles River Re Ltd. Series 2024-1 Class A Reset 2025</t>
  </si>
  <si>
    <t>CB-Torrey Pines Re Ltd. Series 2023-1 Class A Reset 2025</t>
  </si>
  <si>
    <t>CB-Lightning Re Ltd. Series 2023-1 Class A Reset 2025</t>
  </si>
  <si>
    <t>CB-Alamo Re Ltd. Series 2023-1 Class A Reset 2025</t>
  </si>
  <si>
    <t>CB-Bayou Re Ltd. Series 2023-1 Class A Reset 2025</t>
  </si>
  <si>
    <t>CB-Palm Re Ltd. Series 2024-1 Class A Reset 2025</t>
  </si>
  <si>
    <t>CB-Titania Re Ltd. Series 2023-1 Class A Reset 2025</t>
  </si>
  <si>
    <t>CB-Logistics Re Ltd. Series 2024-1 Class A</t>
  </si>
  <si>
    <t>CB-Four Lakes Re Ltd. Series 2023-1 Class B Reset 2025_V12</t>
  </si>
  <si>
    <t>CB-FloodSmart Re Ltd. Series 2024-1 Class A Reset 2025_wLMF</t>
  </si>
  <si>
    <t>CB-Four Lakes Re Ltd. Series 2024-1 Class B_V12</t>
  </si>
  <si>
    <t>CB-Mountain Re Ltd. Series 2023-1 Class A Reset 2025</t>
  </si>
  <si>
    <t>CB-Veraison Re Ltd. Series 2023-1 Class A Reset 2025</t>
  </si>
  <si>
    <t>CB-Torrey Pines Re Ltd. Series 2023-1 Class B Reset 2025</t>
  </si>
  <si>
    <t>CB-Citrus Re Ltd. Series 2023-1 Class B Reset 2025</t>
  </si>
  <si>
    <t>CB-Purple Re Ltd. Series 2023-2 Class A Reset 2025</t>
  </si>
  <si>
    <t>CB-Matterhorn Re Ltd. Series 2025-3 Class A</t>
  </si>
  <si>
    <t>CB-Nakama Re Ltd. Series 2023-1 Class 2 Reset 2025</t>
  </si>
  <si>
    <t>CB-Black Kite Re Ltd. Series 2025-1 Class A</t>
  </si>
  <si>
    <t>CB-Alamo Re Ltd. Series 2024-1 Class C Reset 2025</t>
  </si>
  <si>
    <t>CB-Sanders Re III Ltd. Series 2024-1 Class A Reset 2025</t>
  </si>
  <si>
    <t>CB-Everglades Re II Ltd. Series 2024-1 Class A Reset 2025</t>
  </si>
  <si>
    <t>CB-Res Re 2025 Ltd. Series 2025-II Class 2</t>
  </si>
  <si>
    <t>CB-Veraison Re Ltd. Series 2023-1 Class B Reset 2025</t>
  </si>
  <si>
    <t>CB-Ursa Re II Ltd. Series 2022-2 Class AA Reset 2024</t>
  </si>
  <si>
    <t>CB-Ursa Re II Ltd. Series 2022-2 Class C Reset 2024</t>
  </si>
  <si>
    <t>CB-Ursa Re II Ltd. Series 2025-1 Class G</t>
  </si>
  <si>
    <t>CB-Ursa Re Ltd. Series 2023-2 Class E Reset 2024</t>
  </si>
  <si>
    <t>CB-Ursa Re Ltd. Series 2023-3 Class D Reset 2024</t>
  </si>
  <si>
    <t>CB-Ursa Re Ltd. Series 2023-1 Class AA Reset 2024</t>
  </si>
  <si>
    <t>CB-Ursa Re Ltd. Series 2023-1 Class C Reset 2024</t>
  </si>
  <si>
    <t>CB-Ursa Re Ltd. Series 2025-1 Class F</t>
  </si>
  <si>
    <t>CB-Wrigley Re Ltd. Series 2023-1 Class B Reset 2025</t>
  </si>
  <si>
    <t>CB-Sutter Re Ltd. Series 2023-1 Class B Reset 2025</t>
  </si>
  <si>
    <t>CB-Sutter Re Ltd. Series 2023-1 Class E Reset 2025</t>
  </si>
  <si>
    <t>CB-Gateway Re Ltd. Series 2025-1 Class A</t>
  </si>
  <si>
    <t>CB-3264 Re Ltd. Series 2024-1 Class B Reset 2025</t>
  </si>
  <si>
    <t>CB-Bayou Re Ltd. Series 2023-1 Class B Reset 2025</t>
  </si>
  <si>
    <t>CB-Bayou Re Ltd. Series 2024-1 Class A Reset 2025</t>
  </si>
  <si>
    <t>CB-Bayou Re Ltd. Series 2024-1 Class B Reset 2025</t>
  </si>
  <si>
    <t>CB-Bayou Re Ltd. Series 2025-1 Class A</t>
  </si>
  <si>
    <t>CB-Gateway Re Ltd. Series 2023-1 Class A Reset 2025</t>
  </si>
  <si>
    <t>CB-Gateway Re Ltd. Series 2023-1 Class B Reset 2025</t>
  </si>
  <si>
    <t>CB-Winston Re Ltd. Series 2025-1 Class A</t>
  </si>
  <si>
    <t>CB-Nakama Re Pte. Ltd. Series 2021-1 Class 1 Reset 2023</t>
  </si>
  <si>
    <t>CB-Nakama Re Pte. Ltd. Series 2021-1 Class 2 Reset 2023</t>
  </si>
  <si>
    <t>CB-Herbie Re Ltd. Series 2022-1 Class A Reset 2025</t>
  </si>
  <si>
    <t>CB-Maschpark Re Ltd. Series 2024-1 Class A</t>
  </si>
  <si>
    <t>CB-Foundation Re IV Ltd. Series 2023-1 Class A Reset 2025</t>
  </si>
  <si>
    <t>What is the purpose of test plan</t>
  </si>
  <si>
    <t>The purpose of a test plan for CAT bond portfolio testing is to ensure that the portfolio analysis system produces accurate, reliable, and consistent results under different conditions, portfolio compositions, and user actions before it is released to production.</t>
  </si>
  <si>
    <t>what is test strategy</t>
  </si>
  <si>
    <t xml:space="preserve">The testing strategy for the CAT Bond Bound Portfolio module is designed to validate Constraints, Guidelines, Expenses, Buy/sell Transaction date difference, Share %, Price (Premium, at Par, Discounted), Trade Date, Short - Term Deal and Run-Off Testing </t>
  </si>
  <si>
    <t>Prerequisite</t>
  </si>
  <si>
    <t>Prerequisites for testing are the conditions that must be met before testing can begin. They ensure that the environment, data, and application are ready for test execution.</t>
  </si>
  <si>
    <t>Prereq</t>
  </si>
  <si>
    <r>
      <t xml:space="preserve">This is base data and is populated using the Excel driver sheet  </t>
    </r>
    <r>
      <rPr>
        <b/>
        <sz val="11"/>
        <color theme="1"/>
        <rFont val="Calibri"/>
        <family val="2"/>
      </rPr>
      <t>Peril_AAL_by_Instrument_v3.xlsm</t>
    </r>
  </si>
  <si>
    <t>Prereq_result</t>
  </si>
  <si>
    <t>This is data from the testing environment and can be populated using the same excel driver sheet by changing the server, DB Name, and tab name</t>
  </si>
  <si>
    <t>Prereq stored Proc</t>
  </si>
  <si>
    <t>ARAPL_Configuration.dbo.usp_GetActivityRegionPerilAAL_DealAAL</t>
  </si>
  <si>
    <t>Pre req comparison check</t>
  </si>
  <si>
    <t>This pulls the unique Deals from Prereq_Result and comapre the AAL by deal agaisnt each deal in Base data and flag true or false. For us to proceed with test all the outcome should be true</t>
  </si>
  <si>
    <t>Testing EnvironmentPrep</t>
  </si>
  <si>
    <t>Need to clean up the Data tables and results tables of past test cases to avoid any confusion</t>
  </si>
  <si>
    <t>Clean up stored proc</t>
  </si>
  <si>
    <t>ARAPL_Configuration.dbo.usp_DeleteTestPortfolio</t>
  </si>
  <si>
    <t xml:space="preserve">Output </t>
  </si>
  <si>
    <t>Output file path Base data</t>
  </si>
  <si>
    <t>C:\Users\ARAPL_USER\Desktop\UI Testing\Portfolio Test\PortfolioTestCasefiles\Revised</t>
  </si>
  <si>
    <t>Output file name Base Data</t>
  </si>
  <si>
    <t>BoundReportOutput-07232026.xlsx</t>
  </si>
  <si>
    <t>Output file path UI Testing Data</t>
  </si>
  <si>
    <t>Output file name UI Testing data</t>
  </si>
  <si>
    <t>UITestingOutput.xlsx</t>
  </si>
  <si>
    <t>Comparison file path Base vs UI Testing</t>
  </si>
  <si>
    <t>Comparison file Name Base vs UI Testing</t>
  </si>
  <si>
    <t>PnL_Comparison_Driver</t>
  </si>
  <si>
    <t>ILSName</t>
  </si>
  <si>
    <t>ILSInstrumentID</t>
  </si>
  <si>
    <t>ActivityID</t>
  </si>
  <si>
    <t>ScaleFactor</t>
  </si>
  <si>
    <t>DealAAL</t>
  </si>
  <si>
    <t>AAL_WWAP</t>
  </si>
  <si>
    <t>AAL_US Hurricanes</t>
  </si>
  <si>
    <t>AAL_Florida Hurricane</t>
  </si>
  <si>
    <t>AAL_Gulf of Mexico WS</t>
  </si>
  <si>
    <t>AAL_Texas Hurricane</t>
  </si>
  <si>
    <t>AAL_Mexico Hurricane</t>
  </si>
  <si>
    <t>AAL_All other WS</t>
  </si>
  <si>
    <t>AAL_all other EQ</t>
  </si>
  <si>
    <t>AAL_Mexico Earthquake</t>
  </si>
  <si>
    <t>AAL_South America Earthquake</t>
  </si>
  <si>
    <t>AAL_Louisiana Hurricane</t>
  </si>
  <si>
    <t>AAL_Europe Earthquake</t>
  </si>
  <si>
    <t>AAL_US Winter Storm</t>
  </si>
  <si>
    <t>AAL_US WildFire</t>
  </si>
  <si>
    <t>AAL_US Severe Storm</t>
  </si>
  <si>
    <t>AAL_US Inland Flood</t>
  </si>
  <si>
    <t>AAL_Southeast Hurricane</t>
  </si>
  <si>
    <t>AAL_Northeast Hurricane</t>
  </si>
  <si>
    <t>AAL_Other US WS</t>
  </si>
  <si>
    <t>AAL_California Earthquake</t>
  </si>
  <si>
    <t>AAL_US Earthquake xl CA</t>
  </si>
  <si>
    <t>AAL_Japan Typhoon</t>
  </si>
  <si>
    <t>AAL_Japan Earthquake</t>
  </si>
  <si>
    <t>AAL_WildFire</t>
  </si>
  <si>
    <t>AAL_InlandFlood</t>
  </si>
  <si>
    <t>AAL_SevereStorm</t>
  </si>
  <si>
    <t>AAL_Terrorism</t>
  </si>
  <si>
    <t>AAL_Europe Tropical Cyclone</t>
  </si>
  <si>
    <t>AAL_0</t>
  </si>
  <si>
    <t>RunTimestamp</t>
  </si>
  <si>
    <t>CB-Recoletos Re DAC Series 2024-1 Class A</t>
  </si>
  <si>
    <t>CB-Stabilitas Re Ltd. Series 2023-1 Class A Reset 2025</t>
  </si>
  <si>
    <t>CB-Cape Lookout Re Ltd. Series 2023-1 Class A Reset 2025</t>
  </si>
  <si>
    <t>CB-Cape Lookout Re Ltd. Series 2024-1 Class A Reset 2025</t>
  </si>
  <si>
    <t>CB-Ashera Re Ltd. Series 2024-1 Class A Reset 2025</t>
  </si>
  <si>
    <t>CB-Ramble Re Ltd. Series 2024-1 Class A Reset 2025</t>
  </si>
  <si>
    <t>CB-Galileo Re Ltd. Series 2023-1 Class A Reset 2025</t>
  </si>
  <si>
    <t>GR_AAL</t>
  </si>
  <si>
    <t>Flag</t>
  </si>
  <si>
    <t>Proceed Teting</t>
  </si>
  <si>
    <t>CB-Herbie Re Ltd. Series 2025-1 Class A LMF USSCS</t>
  </si>
  <si>
    <t>CB-Meadows Ltd. Series 2025-1 Class A</t>
  </si>
  <si>
    <t>CB-Meadows Ltd. Series 2025-1 Class C</t>
  </si>
  <si>
    <t>CB-Blue Ridge Re Ltd. Series 2025-1 Class B</t>
  </si>
  <si>
    <t>CB-Blue Ridge Re Ltd. Series 2025-1 Class D</t>
  </si>
  <si>
    <t>CB-Aquila Re I Ltd. Series 2023-1 Class A-1 Reset 2025</t>
  </si>
  <si>
    <t>CB-Aquila Re I Ltd. Series 2023-1 Class B-1 Reset 2025</t>
  </si>
  <si>
    <t>CB-Aquila Re I Ltd. Series 2023-1 Class C-1 Reset 2025</t>
  </si>
  <si>
    <t>CB-Aquila Re I Ltd. Series 2024-1 Class A-1 Reset 2025</t>
  </si>
  <si>
    <t>CB-Aquila Re I Ltd. Series 2024-1 Class B-1 Reset 2025</t>
  </si>
  <si>
    <t>CB-123 Lights Re Ltd. Series 2025-1 Class A</t>
  </si>
  <si>
    <t>CB-Sakura Re Ltd. Series 2022-1 Class A Reset 2024</t>
  </si>
  <si>
    <t>CB-Marlon Ltd. Series 2024-1 Class A Reset 2025</t>
  </si>
  <si>
    <t>CB-Marlon Ltd. Series 2024-1 Class B Reset 2025</t>
  </si>
  <si>
    <t>CB-Galileo Re Ltd. Series 2023-1 Class B Reset 2025</t>
  </si>
  <si>
    <t>CB-MMIFS Re Ltd. Series 2025-1 Class A</t>
  </si>
  <si>
    <t>CB-Bonanza Re Ltd. Series 2024-1 Class A</t>
  </si>
  <si>
    <t>CB-Bonanza Re Ltd. Series 2024-1 Class B</t>
  </si>
  <si>
    <t>CB-Bonanza Re Ltd. Series 2024-1 Class C</t>
  </si>
  <si>
    <t>CB-Sanders Re II Ltd. Series 2024-3 Class B Reset 2025</t>
  </si>
  <si>
    <t>CB-Sanders Re II Ltd. Series 2024-3 Class A Reset 2025</t>
  </si>
  <si>
    <t>CB-Queen Street 2023 Re DAC Reset 2025</t>
  </si>
  <si>
    <t>CB-Res Re 2025 Ltd. Series 2025-I Class 13</t>
  </si>
  <si>
    <t>CB-Res Re 2025 Ltd. Series 2025-I Class 14</t>
  </si>
  <si>
    <t>CB-Res Re 2025 Ltd. Series 2025-I Class 15</t>
  </si>
  <si>
    <t>CB-Easton Re Ltd. Series 2024-1 Class A Reset 2025</t>
  </si>
  <si>
    <t>CB-Bridge Street Re Ltd. Series 2025-1 Class A</t>
  </si>
  <si>
    <t>CB-Res Re 2021 Ltd. Series 2021-II Class 2 Reset 2025</t>
  </si>
  <si>
    <t>CB-Res Re 2021 Ltd. Series 2021-II Class 3 Reset 2025</t>
  </si>
  <si>
    <t>CB-Res Re 2022 Ltd. Series 2022-II Class 3 Reset 2025</t>
  </si>
  <si>
    <t>CB-Res Re 2022 Ltd. Series 2022-II Class 5 Reset 2025</t>
  </si>
  <si>
    <t>CB-Res Re 2023 Ltd. Series 2023-II Class 3 Reset 2025</t>
  </si>
  <si>
    <t>CB-Res Re 2023 Ltd. Series 2023-II Class 5 Reset 2025</t>
  </si>
  <si>
    <t>CB-Res Re 2024 Ltd. Series 2024-II Class 2 Reset 2025</t>
  </si>
  <si>
    <t>CB-Res Re 2024 Ltd. Series 2024-II Class 3 Reset 2025</t>
  </si>
  <si>
    <t>CB-Res Re 2024 Ltd. Series 2024-II Class 4 Reset 2025</t>
  </si>
  <si>
    <t>CB-Baldwin Re Ltd. Series 2025-1 Class A</t>
  </si>
  <si>
    <t>CB-Mayflower Re Ltd. Series 2023-1 Class A Reset 2025</t>
  </si>
  <si>
    <t>CB-Mayflower Re Ltd. Series 2023-1 Class B Reset 2025</t>
  </si>
  <si>
    <t>CB-Mayflower Re Ltd. Series 2024-1 Class A Reset 2025</t>
  </si>
  <si>
    <t>CB-Mayflower Re Ltd. Series 2025-1 Class A</t>
  </si>
  <si>
    <t>CB-Res Re 2022 Ltd. Series 2022-I Class 11 Reset 2025</t>
  </si>
  <si>
    <t>CB-Res Re 2022 Ltd. Series 2022-I Class 12 Reset 2025</t>
  </si>
  <si>
    <t>CB-Res Re 2022 Ltd. Series 2022-I Class 13 Reset 2025</t>
  </si>
  <si>
    <t>CB-Res Re 2022 Ltd. Series 2022-I Class 14 Reset 2025</t>
  </si>
  <si>
    <t>CB-Res Re 2023 Ltd. Series 2023-I Class 13 Reset 2025</t>
  </si>
  <si>
    <t>CB-Res Re 2023 Ltd. Series 2023-I Class 14 Reset 2025</t>
  </si>
  <si>
    <t>CB-Res Re 2024 Ltd. Series 2024-I Class 13 Reset 2025</t>
  </si>
  <si>
    <t>CB-Res Re 2024 Ltd. Series 2024-I Class 14 Reset 2025</t>
  </si>
  <si>
    <t>CB-Gateway Re Ltd. Series 2025-1 Class AAA</t>
  </si>
  <si>
    <t>CB-Gateway Re Ltd. Series 2025-1 Class C1</t>
  </si>
  <si>
    <t>CB-Gateway Re Ltd. Series 2025-1 Class AA</t>
  </si>
  <si>
    <t>CB-Gateway Re Ltd. Series 2025-2 Class A</t>
  </si>
  <si>
    <t>CB-MetroCat Re Ltd. Series 2023-1 Class A</t>
  </si>
  <si>
    <t>CB-IBRD CAR Jamaica 2024</t>
  </si>
  <si>
    <t>CB-IBRD CAR Chile 2023</t>
  </si>
  <si>
    <t>CB-Genesee Street Re Ltd. Series 2025-1 Class A</t>
  </si>
  <si>
    <t>CB-Sanders Re III Ltd. Series 2023-1 Class B Reset 2025</t>
  </si>
  <si>
    <t>CB-Sanders Re III Ltd. Series 2022-3 Class A Reset 2025</t>
  </si>
  <si>
    <t>CB-Sanders Re III Ltd. Series 2022-1 Class A Reset 2025</t>
  </si>
  <si>
    <t>CB-Sanders Re III Ltd. Series 2022-1 Class B Reset 2025</t>
  </si>
  <si>
    <t>CB-Sanders Re III Ltd. Series 2022-1 Class C Reset 2025</t>
  </si>
  <si>
    <t>CB-Sanders Re II Ltd. Series 2025-1 Class A-1</t>
  </si>
  <si>
    <t>CB-Sanders Re II Ltd. Series 2025-1 Class B-1</t>
  </si>
  <si>
    <t>CB-Sanders Re II Ltd. Series 2025-1 Class A-2</t>
  </si>
  <si>
    <t>CB-Sanders Re II Ltd. Series 2025-1 Class B-2</t>
  </si>
  <si>
    <t>CB-Matterhorn Re Ltd. Series 2025-3 Class B</t>
  </si>
  <si>
    <t>CB-Atela Re Ltd. Series 2024-1 Class A Reset 2025</t>
  </si>
  <si>
    <t>CB-Atela Re Ltd. Series 2024-1 Class B Reset 2025</t>
  </si>
  <si>
    <t>CB-Solomon Re Ltd. Series 2023-1 Class A Reset 2025</t>
  </si>
  <si>
    <t>CB-Four Lakes Re Ltd. Series 2022-1 Class A Reset 2025</t>
  </si>
  <si>
    <t>CB-Four Lakes Re Ltd. Series 2023-1 Class A Reset 2025</t>
  </si>
  <si>
    <t>CB-Four Lakes Re Ltd. Series 2023-1 Class B Reset 2025</t>
  </si>
  <si>
    <t>CB-Four Lakes Re Ltd. Series 2024-1 Class A</t>
  </si>
  <si>
    <t>CB-Four Lakes Re Ltd. Series 2024-1 Class B</t>
  </si>
  <si>
    <t>CB-Kilimanjaro II Re Ltd. Series 2025-1 Class A-1</t>
  </si>
  <si>
    <t>CB-Kilimanjaro II Re Ltd. Series 2025-1 Class B-1</t>
  </si>
  <si>
    <t>CB-Kilimanjaro II Re Ltd. Series 2025-1 Class C-1</t>
  </si>
  <si>
    <t>CB-Kilimanjaro II Re Ltd. Series 2025-1 Class D-1</t>
  </si>
  <si>
    <t>CB-Kilimanjaro II Re Ltd. Series 2025-2 Class A-2</t>
  </si>
  <si>
    <t>CB-Kilimanjaro II Re Ltd. Series 2025-2 Class B-2</t>
  </si>
  <si>
    <t>CB-Kilimanjaro II Re Ltd. Series 2025-2 Class C-2</t>
  </si>
  <si>
    <t>CB-Kilimanjaro II Re Ltd. Series 2025-2 Class D-2</t>
  </si>
  <si>
    <t>CB-Kilimanjaro II Re Ltd. Series 2024-1 Class A Reset 2025</t>
  </si>
  <si>
    <t>CB-Kilimanjaro II Re Ltd. Series 2024-1 Class B Reset 2025</t>
  </si>
  <si>
    <t>CB-Kilimanjaro III Re Ltd. Series 2021-2 Class A-2 Reset 2025</t>
  </si>
  <si>
    <t>CB-Kilimanjaro III Re Ltd. Series 2021-2 Class B-2 Reset 2025</t>
  </si>
  <si>
    <t>CB-Kilimanjaro III Re Ltd. Series 2021-2 Class C-2 Reset 2025</t>
  </si>
  <si>
    <t>CB-Riverfront Re Ltd. Series 2025-1 Class B</t>
  </si>
  <si>
    <t>CB-Riverfront Re Ltd. Series 2025-1 Class A</t>
  </si>
  <si>
    <t>CB-Nature Coast Re Ltd. Series 2025-1 Class A Reset 2025</t>
  </si>
  <si>
    <t>CB-Lapis 2025-1 Series 2025-1</t>
  </si>
  <si>
    <t>CB-Gateway Re Ltd. Series 2023-3 Class A Reset 2025</t>
  </si>
  <si>
    <t>CB-1886 Re Ltd. Series 2025-1 Class A</t>
  </si>
  <si>
    <t>CB-Armor Re II Ltd. Series 2024-1 Class A Reset 2025</t>
  </si>
  <si>
    <t>CB-Torrey Pines Re Ltd. Series 2024-1 Class A Reset 2025</t>
  </si>
  <si>
    <t>CB-Torrey Pines Re Ltd. Series 2024-1 Class B Reset 2025</t>
  </si>
  <si>
    <t>CB-Torrey Pines Re Ltd. Series 2024-1 Class C Reset 2025</t>
  </si>
  <si>
    <t>CB-Torrey Pines Re Ltd. Series 2025-1 Class A</t>
  </si>
  <si>
    <t>CB-Torrey Pines Re Ltd. Series 2025-1 Class B</t>
  </si>
  <si>
    <t>CB-Torrey Pines Re Ltd. Series 2025-1 Class C</t>
  </si>
  <si>
    <t>CB-Finca Re Ltd. Series 2025-1 Class A</t>
  </si>
  <si>
    <t>CB-IBRD CAR Mexico 2024 Class A</t>
  </si>
  <si>
    <t>CB-IBRD CAR Mexico 2024 Class B</t>
  </si>
  <si>
    <t>CB-IBRD CAR Mexico 2024 Class C</t>
  </si>
  <si>
    <t>CB-IBRD CAR Mexico 2024 Class D</t>
  </si>
  <si>
    <t>CB-3264 Re Ltd. Series 2024-1 Class A Reset 2025</t>
  </si>
  <si>
    <t>CB-3264 Re Ltd. Series 2025-2 Class A</t>
  </si>
  <si>
    <t>CB-First Coast Re IV Ltd. Series 2023-1 Class A Reset 2025</t>
  </si>
  <si>
    <t>CB-Longleaf Pine Re Ltd. Series 2024-1 Class A Reset 2025</t>
  </si>
  <si>
    <t>CB-Veraison Re Ltd. Series 2024-1 Class A Reset 2025</t>
  </si>
  <si>
    <t>CB-Veraison Re Ltd. Series 2025-1 Class B</t>
  </si>
  <si>
    <t>CB-Vision 2039 Series 2025-1 Class A</t>
  </si>
  <si>
    <t>CB-Puerto Rico Parametric Re Ltd. Series 2024-1 Class A</t>
  </si>
  <si>
    <t>CB-Citrus Re Ltd. Series 2025-1 Class A</t>
  </si>
  <si>
    <t>CB-Citrus Re Ltd. Series 2025-1 Class B</t>
  </si>
  <si>
    <t>CB-Citrus Re Ltd. Series 2023-1 Class A Reset 2025</t>
  </si>
  <si>
    <t>CB-Citrus Re Ltd. Series 2024-1 Class A Reset 2025</t>
  </si>
  <si>
    <t>CB-Citrus Re Ltd. Series 2024-1 Class B Reset 2025</t>
  </si>
  <si>
    <t>CB-Armor Re II Ltd. Series 2024-2 Class A</t>
  </si>
  <si>
    <t>CB-Cape Lookout Re Ltd. Series 2025-1 Class A</t>
  </si>
  <si>
    <t>CB-Purple Re Ltd. Series 2025-1 Class A</t>
  </si>
  <si>
    <t>CB-Purple Re Ltd. Series 2025-1 Class B</t>
  </si>
  <si>
    <t>CB-Purple Re Ltd. Series 2023-1 Class A Reset 2025</t>
  </si>
  <si>
    <t>CB-Nakama Re Ltd. Series 2023-1 Class 1 Reset 2025</t>
  </si>
  <si>
    <t>CB-Nakama Re Pte. Ltd. Series 2025-1 Class 1</t>
  </si>
  <si>
    <t>CB-Atlas Capital DAC Series 2024-1 Class A Reset 2025</t>
  </si>
  <si>
    <t>CB-Hexagon III Re Pte. Ltd. Series 2021-1 Class A Reset 2025</t>
  </si>
  <si>
    <t>CB-Hexagon III Re Pte. Ltd. Series 2021-1 Class B Reset 2025</t>
  </si>
  <si>
    <t>CB-Hexagon IV Re Ltd. Series 2023-1 Class A Reset 2025</t>
  </si>
  <si>
    <t>CB-Hexagon IV Re Ltd. Series 2023-1 Class B Reset 2025</t>
  </si>
  <si>
    <t>CB-Bluebonnet Re Ltd. Series 2025-1 Class A</t>
  </si>
  <si>
    <t>CB-Bluebonnet Re Ltd. Series 2025-1 Class B</t>
  </si>
  <si>
    <t>CB-Bluebonnet Re Ltd. Series 2025-1 Class C</t>
  </si>
  <si>
    <t>CB-Bluebonnet Re Ltd. Series 2025-2 Class A</t>
  </si>
  <si>
    <t>CB-Hestia Re Ltd. Series 2025-1 Class A</t>
  </si>
  <si>
    <t>CB-Hestia Re Ltd. Series 2025-1 Class B</t>
  </si>
  <si>
    <t>CB-Hestia Re Ltd. Series 2023-1 Class A Reset 2025</t>
  </si>
  <si>
    <t>CB-Hypatia Ltd. Series 2025-1 Class A</t>
  </si>
  <si>
    <t>CB-Gateway Re Ltd. Series 2025-3 Class A</t>
  </si>
  <si>
    <t>CB-Integrity Re III Ltd. Series 2025-1 Class A-1 Reset 2025</t>
  </si>
  <si>
    <t>CB-Integrity Re III Ltd. Series 2025-1 Class B-1 Reset 2025</t>
  </si>
  <si>
    <t>CB-Integrity Re III Ltd. Series 2025-1 Class C Reset 2025</t>
  </si>
  <si>
    <t>CB-Integrity Re III Ltd. Series 2025-1 Class D Reset 2025</t>
  </si>
  <si>
    <t>CB-Integrity Re III Ltd. Series 2025-1 Class A-2 Reset 2025</t>
  </si>
  <si>
    <t>CB-Integrity Re III Ltd. Series 2025-1 Class B-2 Reset 2025</t>
  </si>
  <si>
    <t>CB-Integrity Re Ltd. Series 2024-1 Class A Reset 2025</t>
  </si>
  <si>
    <t>CB-Integrity Re Ltd. Series 2024-1 Class B Reset 2025</t>
  </si>
  <si>
    <t>CB-Integrity Re Ltd. Series 2024-1 Class C Reset 2025</t>
  </si>
  <si>
    <t>CB-Integrity Re Ltd. Series 2024-1 Class D Reset 2025</t>
  </si>
  <si>
    <t>CB-Ocelot Re Ltd. Series 2023-1 Class A Reset 2025</t>
  </si>
  <si>
    <t>CB-Ocelot Re Ltd. Series 2025-1 Class A</t>
  </si>
  <si>
    <t>CB-Ocelot Re Ltd. Series 2025-1 Class B</t>
  </si>
  <si>
    <t>CB-Lower Ferry Re Ltd. Series 2023-1 Class A Reset 2025</t>
  </si>
  <si>
    <t>CB-Lower Ferry Re Ltd. Series 2023-1 Class B Reset 2025</t>
  </si>
  <si>
    <t>CB-Luca Re Ltd. Series 2025-1 Class A</t>
  </si>
  <si>
    <t>CB-Matterhorn Re Ltd. Series 2021-1 Class A Reset 2025</t>
  </si>
  <si>
    <t>CB-Matterhorn Re Ltd. Series 2025-1 Class A</t>
  </si>
  <si>
    <t>CB-Matterhorn Re Ltd. Series 2025-1 Class B</t>
  </si>
  <si>
    <t>CB-Matterhorn Re Ltd. Series 2025-2 Class A</t>
  </si>
  <si>
    <t>CB-Kizuna Re III Pte. Ltd. Series 2024-1 Class A Reset 2025</t>
  </si>
  <si>
    <t>CB-Kizuna Re III Pte. Ltd. Series 2021-1 Class A Reset 2023</t>
  </si>
  <si>
    <t>CB-Tomoni Re Pte. Ltd. Series 2022-1 Class A-1 Reset 2025</t>
  </si>
  <si>
    <t>CB-Tomoni Re Pte. Ltd. Series 2024-1 Class A Reset 2025</t>
  </si>
  <si>
    <t>CB-Tomoni Re Pte. Ltd. Series 2024-1 Class B Reset 2025</t>
  </si>
  <si>
    <t>CB-Nature Coast Re Ltd. Series 2024-1 Class A Reset 2025</t>
  </si>
  <si>
    <t>CB-Nature Coast Re Ltd. Series 2025-2 Class A</t>
  </si>
  <si>
    <t>CB-Gateway Re II Ltd. Series 2023-1 Class A Reset 2025</t>
  </si>
  <si>
    <t>CB-Gateway Re Ltd. Series 2024-1 Class AA Reset 2025</t>
  </si>
  <si>
    <t>CB-Mystic Re IV Ltd. Series 2023-1 Class A Reset 2025</t>
  </si>
  <si>
    <t>CB-Greengrove Re Ltd. Series 2025-1 Class A</t>
  </si>
  <si>
    <t>CB-Lion Re DAC Series 2025-1 Class A</t>
  </si>
  <si>
    <t>CB-Lion Re DAC Series 2025-1 Class B</t>
  </si>
  <si>
    <t>CB-Liongate Re DAC</t>
  </si>
  <si>
    <t>CB-Chartwell Re Ltd. Series 2025-1 Class C</t>
  </si>
  <si>
    <t>CB-Chartwell Re Ltd. Series 2025-1 Class B</t>
  </si>
  <si>
    <t>CB-Chartwell Re Ltd. Series 2025-1 Class A</t>
  </si>
  <si>
    <t>CB-Hypatia Ltd. Series 2023-1 Class A Reset 2025</t>
  </si>
  <si>
    <t>CB-Everglades Re II Ltd. Series 2024-1 Class B Reset 2025</t>
  </si>
  <si>
    <t>CB-Everglades Re II Ltd. Series 2024-1 Class C Reset 2025</t>
  </si>
  <si>
    <t>CB-Everglades Re II Ltd. Series 2025-1 Class A</t>
  </si>
  <si>
    <t>CB-Everglades Re II Ltd. Series 2025-1 Class B</t>
  </si>
  <si>
    <t>CB-Everglades Re II Ltd. Series 2025-1 Class C</t>
  </si>
  <si>
    <t>CB-Everglades Re II Ltd. Series 2025-1 Class D</t>
  </si>
  <si>
    <t>CB-Mystic Re IV Ltd. Series 2024-1 Class A Reset 2025</t>
  </si>
  <si>
    <t>CB-Northshore Re II Ltd. Series 2025-1 Class A</t>
  </si>
  <si>
    <t>CB-Oceanside Re Ltd. Series 2025-1 Class A</t>
  </si>
  <si>
    <t>CB-Palm Re Ltd. Series 2025-1 Class A</t>
  </si>
  <si>
    <t>CB-Acorn Re Ltd. Series 2024-1 Class A</t>
  </si>
  <si>
    <t>CB-Acorn Re Ltd. Series 2024-1 Class B</t>
  </si>
  <si>
    <t>CB-Montoya Re Ltd. Series 2022-2 Class A Reset 2025</t>
  </si>
  <si>
    <t>CB-Totara Re Pte. Ltd. Series 2023-1 Class A Reset 2025</t>
  </si>
  <si>
    <t>CB-FloodSmart Re Ltd. Series 2023-1 Class A Reset 2025</t>
  </si>
  <si>
    <t>CB-FloodSmart Re Ltd. Series 2023-1 Class B Reset 2025</t>
  </si>
  <si>
    <t>CB-FloodSmart Re Ltd. Series 2024-1 Class A Reset 2025</t>
  </si>
  <si>
    <t>CB-FloodSmart Re Ltd. Series 2024-1 Class B Reset 2025</t>
  </si>
  <si>
    <t>CB-Quercus Re DAC Reset 2025</t>
  </si>
  <si>
    <t>CB-Sabine Re Ltd. Series 2024-1 Class A Reset 2025</t>
  </si>
  <si>
    <t>CB-Sakura Re Ltd. Series 2025-1 Class A</t>
  </si>
  <si>
    <t>CB-Solis Re Ltd. Series 2025-1 Class A</t>
  </si>
  <si>
    <t>CB-Taranis Re DAC Class A Reset 2025</t>
  </si>
  <si>
    <t>CB-Taranis Re DAC Class B Reset 2025</t>
  </si>
  <si>
    <t>CB-Yosemite Re Ltd. Series 2025-1 Class A</t>
  </si>
  <si>
    <t>CB-Montoya Re Ltd. Series 2024-1 Class A Reset 2025</t>
  </si>
  <si>
    <t>CB-Fuchsia Series 2023-1 Class A Reset 2025</t>
  </si>
  <si>
    <t>CB-Montoya Re Ltd. Series 2025-1 Class A Reset 2025</t>
  </si>
  <si>
    <t>CB-Mystic Re IV Ltd. Series 2025-1 Class A</t>
  </si>
  <si>
    <t>CB-Mystic Re IV Ltd. Series 2025-1 Class B</t>
  </si>
  <si>
    <t>CB-Mystic Re IV Ltd. Series 2025-1 Class C</t>
  </si>
  <si>
    <t>CB-Alamo Re Ltd. Series 2024-1 Class A Reset 2025</t>
  </si>
  <si>
    <t>CB-Alamo Re Ltd. Series 2024-1 Class B Reset 2025</t>
  </si>
  <si>
    <t>CB-Topanga Re Ltd. Series 2021-1 Class A Reset 2025</t>
  </si>
  <si>
    <t>CB-Sanders Re III Ltd. Series 2023-2 Class A Reset 2025</t>
  </si>
  <si>
    <t>CB-Mona Lisa Re Ltd. Series 2025-1 Class A</t>
  </si>
  <si>
    <t>CB-Mona Lisa Re Ltd. Series 2025-1 Class B</t>
  </si>
  <si>
    <t>CB-Mona Lisa Re Ltd. Series 2024-1 Class A Reset 2025</t>
  </si>
  <si>
    <t>CB-Mona Lisa Re Ltd. Series 2023-1 Class A Reset 2025</t>
  </si>
  <si>
    <t>CB-Mona Lisa Re Ltd. Series 2023-1 Class B Reset 2025</t>
  </si>
  <si>
    <t>CB-King Max Re DAC Reset 2025</t>
  </si>
  <si>
    <t>CB-Orange Capital Re DAC Series 2024-1 Class A</t>
  </si>
  <si>
    <t>CB-Locke Tavern Re Ltd. Series 2023-1 Class A Reset 2025</t>
  </si>
  <si>
    <t>CB-Herbie Re Ltd. Series 2024-1 Class A Reset 2025</t>
  </si>
  <si>
    <t>CB-Herbie Re Ltd. Series 2024-1 Class B Reset 2025</t>
  </si>
  <si>
    <t>CB-Herbie Re Ltd. Series 2024-2 Class A</t>
  </si>
  <si>
    <t>CB-Herbie Re Ltd. Series 2024-2 Class B</t>
  </si>
  <si>
    <t>CB-Herbie Re Ltd. Series 2024-2 Class C</t>
  </si>
  <si>
    <t>CB-Long Point Re IV Ltd. Series 2022-1 Class A Reset 2025</t>
  </si>
  <si>
    <t>CB-Windmill III Re DAC Series 2024-1 Class A Reset 2025</t>
  </si>
  <si>
    <t>CB-Titania Re Ltd. Series 2023-1 Class B Reset 2025</t>
  </si>
  <si>
    <t>CB-Titania Re Ltd. Series 2024-1 Class A</t>
  </si>
  <si>
    <t>CB-Titania Re Ltd. Series 2024-1 Class B</t>
  </si>
  <si>
    <t>CB-Titania Re Ltd. Series 2025-1 Class A</t>
  </si>
  <si>
    <t>CB-Titania Re Ltd. Series 2025-1 Class B</t>
  </si>
  <si>
    <t>CB-Kendall Re Ltd. Series 2024-1 Class A Reset 2025</t>
  </si>
  <si>
    <t>CB-Kendall Re Ltd. Series 2024-1 Class B Reset 2025</t>
  </si>
  <si>
    <t>CB-Sanders Re II Ltd. Series 2025-2 Class A</t>
  </si>
  <si>
    <t>CB-High Point Re Ltd. Series 2023-1 Class A Reset 2025</t>
  </si>
  <si>
    <t>CB-Azzurro Re II DAC Series 2024-1 Class A Reset 2025</t>
  </si>
  <si>
    <t>CB-Bonanza Re Ltd. Series 2023-1 Class A Reset 2025</t>
  </si>
  <si>
    <t>CB-Blue Sky Re DAC Series 2023-1 Reset 2025</t>
  </si>
  <si>
    <t>CB-Atlas Capital DAC Series 2023-1 Class A Reset 2025</t>
  </si>
  <si>
    <t>CB-Atlas Capital DAC Series 2025-1 Class A</t>
  </si>
  <si>
    <t>CB-Commonwealth Re Ltd. Series 2025-1 Class A</t>
  </si>
  <si>
    <t>CB-First Coast Re IV Ltd. Series 2025-1 Class B</t>
  </si>
  <si>
    <t>CB-First Coast Re IV Ltd. Series 2025-1 Class A</t>
  </si>
  <si>
    <t>CB-3264 Re Ltd. Series 2025-1 Class B</t>
  </si>
  <si>
    <t>CB-3264 Re Ltd. Series 2025-1 Class A</t>
  </si>
  <si>
    <t>CB-2001 CAT Re Ltd. Series 2023-1 Class A Reset 2025</t>
  </si>
  <si>
    <t>CB-Herbie Re Ltd. Series 2025-1 Class A</t>
  </si>
  <si>
    <t>Run This Test Case</t>
  </si>
  <si>
    <t>[RunTestCase]</t>
  </si>
  <si>
    <t>Notes Taken</t>
  </si>
  <si>
    <t>Worldwide data with 5 transactions</t>
  </si>
  <si>
    <t>Change Guidelines</t>
  </si>
  <si>
    <t>Changed Notional and deployed AUM twice as test case 1</t>
  </si>
  <si>
    <t>CA EQ</t>
  </si>
  <si>
    <t>US only</t>
  </si>
  <si>
    <t>FL only</t>
  </si>
  <si>
    <t>Guidelines failures for each guidelines</t>
  </si>
  <si>
    <t>Modify expenses</t>
  </si>
  <si>
    <t>Buy/sell deals - Partial sell of few deals - Nakama Re Pte. Ltd. Series 2024-1 and Montoya Re Ltd. Series 2025-1 were bought 250k each and sold 100 each after a year</t>
  </si>
  <si>
    <t>Buy/sell deals - oversell -  Sell Montoya Re Ltd. Series 2025-1  200k more where we have only 150k left</t>
  </si>
  <si>
    <t>Buy/sell deals - Same bond multiple times bought (Nakama Re Pte. Ltd. Series 2024-1  bought totally thrice)</t>
  </si>
  <si>
    <t>Buy/sell deals - Sell zero quantity</t>
  </si>
  <si>
    <t>Buy/sell deals - Buy Zero quantity</t>
  </si>
  <si>
    <t>Buy/sell deals - Buy - Buy - Sell</t>
  </si>
  <si>
    <t>Buy/sell deals - Buy-Sell -Buy</t>
  </si>
  <si>
    <t>Base case</t>
  </si>
  <si>
    <t>Vary share/price and buy/sell date - Half Postiton - Reduce the share to 50% for each bond, dates are same</t>
  </si>
  <si>
    <t>Vary share/price and buy/sell date - Same share but move the buy date to 6 months later for all bonds</t>
  </si>
  <si>
    <t>Vary share/price and buy/sell date - Large Trade - Performance and overflow testing Large Trade 10*quantity</t>
  </si>
  <si>
    <t>Vary share/price and buy/sell date -Decrese and Increase the price of all Bonds</t>
  </si>
  <si>
    <t>Vary share/price and buy/sell date - at Par</t>
  </si>
  <si>
    <t>Vary share/price and buy/sell date - Discounted price</t>
  </si>
  <si>
    <t>Vary share/price and buy/sell date - Future Buy date</t>
  </si>
  <si>
    <t>Short term deals &lt; 1 year by Peril - Eq</t>
  </si>
  <si>
    <t>Short term deals &lt; 1 year by Peril - HU</t>
  </si>
  <si>
    <t>Run off only - Expiration of deals becomes very important - Eq deals with run off -1</t>
  </si>
  <si>
    <t>Run off only - Expiration of deals becomes very important - WS deals with run off -1</t>
  </si>
  <si>
    <t>Portfolio 'Test_Portfolio_001' added</t>
  </si>
  <si>
    <t>Portfolio 'Test_Portfolio_001' already existed</t>
  </si>
  <si>
    <t xml:space="preserve">Unhandled exception: TimeoutError: Locator.dblclick: Timeout 30000ms exceeded.
Call log:
  - waiting for locator("[role=\"gridcell\"]").filter(has_text="Test_Portfolio_001").first
</t>
  </si>
  <si>
    <t>Portfolio 'Test_Portfolio_002' added</t>
  </si>
  <si>
    <t>Unhandled exception: AssertionError: Could not navigate to Portfolio Overview screen. Check sidebar button selector — look at the actual sidebar button ID in your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</si>
</sst>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mm/dd/yyyy"/>
    <numFmt numFmtId="165" formatCode="_(* #,##0.000000_);_(* \(#,##0.000000\);_(* &quot;-&quot;??_);_(@_)"/>
    <numFmt numFmtId="166" formatCode="_(* #,##0.0000000_);_(* \(#,##0.0000000\);_(* &quot;-&quot;??_);_(@_)"/>
    <numFmt numFmtId="167" formatCode="_(* #,##0_);_(* \(#,##0\);_(* &quot;-&quot;??_);_(@_)"/>
    <numFmt numFmtId="168" formatCode="0.000000"/>
    <numFmt numFmtId="169" formatCode="0.0000000"/>
    <numFmt numFmtId="170" formatCode="yyyy\-mm\-dd\ hh:mm:ss"/>
  </numFmts>
  <fonts count="33" x14ac:knownFonts="1">
    <font>
      <sz val="11"/>
      <color theme="1"/>
      <name val="Calibri"/>
      <family val="2"/>
      <charset val="1"/>
    </font>
    <font>
      <sz val="11"/>
      <color theme="1"/>
      <name val="Calibri"/>
      <family val="2"/>
      <scheme val="minor"/>
    </font>
    <font>
      <b/>
      <sz val="14"/>
      <color rgb="FFFFFFFF"/>
      <name val="Arial"/>
      <family val="2"/>
    </font>
    <font>
      <b/>
      <sz val="10"/>
      <color rgb="FFFFFFFF"/>
      <name val="Arial"/>
      <family val="2"/>
    </font>
    <font>
      <b/>
      <sz val="10"/>
      <color rgb="FF000000"/>
      <name val="Arial"/>
      <family val="2"/>
    </font>
    <font>
      <sz val="10"/>
      <color rgb="FF000000"/>
      <name val="Arial"/>
      <family val="2"/>
    </font>
    <font>
      <b/>
      <sz val="13"/>
      <color rgb="FFFFFFFF"/>
      <name val="Arial"/>
      <family val="2"/>
    </font>
    <font>
      <i/>
      <sz val="9"/>
      <color rgb="FF595959"/>
      <name val="Arial"/>
      <family val="2"/>
    </font>
    <font>
      <b/>
      <sz val="9"/>
      <color rgb="FFC00000"/>
      <name val="Arial"/>
      <family val="2"/>
    </font>
    <font>
      <sz val="9"/>
      <color rgb="FF595959"/>
      <name val="Arial"/>
      <family val="2"/>
    </font>
    <font>
      <sz val="9"/>
      <color rgb="FF7030A0"/>
      <name val="Arial"/>
      <family val="2"/>
    </font>
    <font>
      <b/>
      <sz val="10"/>
      <color rgb="FF276221"/>
      <name val="Arial"/>
      <family val="2"/>
    </font>
    <font>
      <b/>
      <sz val="9"/>
      <name val="Arial"/>
      <family val="2"/>
    </font>
    <font>
      <sz val="9"/>
      <color rgb="FF000000"/>
      <name val="Arial"/>
      <family val="2"/>
    </font>
    <font>
      <sz val="9"/>
      <color rgb="FF276221"/>
      <name val="Arial"/>
      <family val="2"/>
    </font>
    <font>
      <sz val="9"/>
      <color rgb="FF9C0006"/>
      <name val="Arial"/>
      <family val="2"/>
    </font>
    <font>
      <b/>
      <sz val="11"/>
      <name val="Arial"/>
      <family val="2"/>
    </font>
    <font>
      <sz val="11"/>
      <color theme="1"/>
      <name val="Calibri"/>
      <family val="2"/>
      <charset val="1"/>
    </font>
    <font>
      <b/>
      <sz val="10"/>
      <name val="Arial"/>
      <family val="2"/>
    </font>
    <font>
      <sz val="8"/>
      <name val="Calibri"/>
      <family val="2"/>
      <charset val="1"/>
    </font>
    <font>
      <sz val="11"/>
      <name val="Calibri"/>
      <family val="2"/>
      <charset val="1"/>
    </font>
    <font>
      <sz val="9"/>
      <name val="Calibri"/>
      <family val="2"/>
      <scheme val="minor"/>
    </font>
    <font>
      <sz val="9"/>
      <color rgb="FF000000"/>
      <name val="Calibri"/>
      <family val="2"/>
      <scheme val="minor"/>
    </font>
    <font>
      <sz val="9"/>
      <color theme="1"/>
      <name val="Calibri"/>
      <family val="2"/>
      <scheme val="minor"/>
    </font>
    <font>
      <sz val="9"/>
      <color theme="1"/>
      <name val="Calibri"/>
      <family val="2"/>
      <charset val="1"/>
    </font>
    <font>
      <b/>
      <sz val="9"/>
      <color rgb="FF276221"/>
      <name val="Arial"/>
      <family val="2"/>
    </font>
    <font>
      <sz val="9"/>
      <color rgb="FFFF0000"/>
      <name val="Calibri"/>
      <family val="2"/>
      <scheme val="minor"/>
    </font>
    <font>
      <b/>
      <sz val="11"/>
      <color theme="0"/>
      <name val="Calibri"/>
      <family val="2"/>
    </font>
    <font>
      <sz val="11"/>
      <color theme="1"/>
      <name val="Calibri"/>
      <family val="2"/>
    </font>
    <font>
      <b/>
      <sz val="11"/>
      <color theme="1"/>
      <name val="Calibri"/>
      <family val="2"/>
    </font>
    <font>
      <b/>
      <sz val="11"/>
      <color rgb="FFFFFFFF"/>
      <name val="Arial"/>
      <family val="2"/>
    </font>
    <font>
      <b/>
      <sz val="10"/>
      <name val="Calibri"/>
      <family val="2"/>
    </font>
    <font>
      <sz val="9"/>
      <name val="Arial"/>
      <family val="2"/>
    </font>
  </fonts>
  <fills count="23">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FFD966"/>
        <bgColor rgb="FFFFCC00"/>
      </patternFill>
    </fill>
    <fill>
      <patternFill patternType="solid">
        <fgColor rgb="FFD9D9D9"/>
        <bgColor rgb="FFDEEAF1"/>
      </patternFill>
    </fill>
    <fill>
      <patternFill patternType="solid">
        <fgColor rgb="FFFFF2CC"/>
        <bgColor rgb="FFFFFFFF"/>
      </patternFill>
    </fill>
    <fill>
      <patternFill patternType="solid">
        <fgColor rgb="FFDEEAF1"/>
        <bgColor rgb="FFD9D9D9"/>
      </patternFill>
    </fill>
    <fill>
      <patternFill patternType="solid">
        <fgColor rgb="FFC6EFCE"/>
        <bgColor rgb="FFDEEAF1"/>
      </patternFill>
    </fill>
    <fill>
      <patternFill patternType="solid">
        <fgColor rgb="FFFFC7CE"/>
        <bgColor rgb="FFD9D9D9"/>
      </patternFill>
    </fill>
    <fill>
      <patternFill patternType="solid">
        <fgColor rgb="FFFFFF00"/>
        <bgColor rgb="FFDEEAF1"/>
      </patternFill>
    </fill>
    <fill>
      <patternFill patternType="solid">
        <fgColor rgb="FFFFFF00"/>
        <bgColor rgb="FFFFCC00"/>
      </patternFill>
    </fill>
    <fill>
      <patternFill patternType="solid">
        <fgColor rgb="FFC6EFCE"/>
      </patternFill>
    </fill>
    <fill>
      <patternFill patternType="solid">
        <fgColor rgb="FF00B0F0"/>
        <bgColor rgb="FFD9D9D9"/>
      </patternFill>
    </fill>
    <fill>
      <patternFill patternType="solid">
        <fgColor rgb="FF00B0F0"/>
        <bgColor indexed="64"/>
      </patternFill>
    </fill>
    <fill>
      <patternFill patternType="solid">
        <fgColor theme="4" tint="0.39997558519241921"/>
        <bgColor indexed="64"/>
      </patternFill>
    </fill>
    <fill>
      <patternFill patternType="solid">
        <fgColor rgb="FF0070C0"/>
        <bgColor indexed="64"/>
      </patternFill>
    </fill>
    <fill>
      <patternFill patternType="solid">
        <fgColor theme="3" tint="0.59999389629810485"/>
        <bgColor indexed="64"/>
      </patternFill>
    </fill>
    <fill>
      <patternFill patternType="solid">
        <fgColor rgb="FF305496"/>
        <bgColor indexed="64"/>
      </patternFill>
    </fill>
    <fill>
      <patternFill patternType="solid">
        <fgColor theme="4" tint="-0.249977111117893"/>
        <bgColor indexed="64"/>
      </patternFill>
    </fill>
    <fill>
      <patternFill patternType="solid">
        <fgColor rgb="FFFFF2CC"/>
      </patternFill>
    </fill>
    <fill>
      <patternFill patternType="solid">
        <fgColor theme="0" tint="-0.14999847407452621"/>
        <bgColor rgb="FFFFFFFF"/>
      </patternFill>
    </fill>
    <fill>
      <patternFill patternType="solid">
        <fgColor theme="0" tint="-0.14999847407452621"/>
        <bgColor indexed="64"/>
      </patternFill>
    </fill>
  </fills>
  <borders count="26">
    <border>
      <left/>
      <right/>
      <top/>
      <bottom/>
      <diagonal/>
    </border>
    <border>
      <left style="thin">
        <color rgb="FFAAAAAA"/>
      </left>
      <right style="thin">
        <color rgb="FFAAAAAA"/>
      </right>
      <top style="thin">
        <color rgb="FFAAAAAA"/>
      </top>
      <bottom style="thin">
        <color rgb="FFAAAAAA"/>
      </bottom>
      <diagonal/>
    </border>
    <border>
      <left style="thin">
        <color indexed="64"/>
      </left>
      <right style="thin">
        <color indexed="64"/>
      </right>
      <top style="thin">
        <color indexed="64"/>
      </top>
      <bottom style="thin">
        <color indexed="64"/>
      </bottom>
      <diagonal/>
    </border>
    <border>
      <left style="thin">
        <color rgb="FFAAAAAA"/>
      </left>
      <right style="thin">
        <color rgb="FFAAAAAA"/>
      </right>
      <top style="thin">
        <color rgb="FFAAAAAA"/>
      </top>
      <bottom/>
      <diagonal/>
    </border>
    <border>
      <left/>
      <right style="thin">
        <color rgb="FFAAAAAA"/>
      </right>
      <top style="thin">
        <color rgb="FFAAAAAA"/>
      </top>
      <bottom style="thin">
        <color rgb="FFAAAAAA"/>
      </bottom>
      <diagonal/>
    </border>
    <border>
      <left/>
      <right/>
      <top style="thin">
        <color rgb="FFAAAAAA"/>
      </top>
      <bottom style="thin">
        <color rgb="FFAAAAAA"/>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rgb="FFAAAAAA"/>
      </left>
      <right/>
      <top style="thin">
        <color rgb="FFAAAAAA"/>
      </top>
      <bottom style="thin">
        <color rgb="FFAAAAAA"/>
      </bottom>
      <diagonal/>
    </border>
  </borders>
  <cellStyleXfs count="4">
    <xf numFmtId="0" fontId="0" fillId="0" borderId="0"/>
    <xf numFmtId="43" fontId="17" fillId="0" borderId="0"/>
    <xf numFmtId="43" fontId="1" fillId="0" borderId="0"/>
    <xf numFmtId="9" fontId="17" fillId="0" borderId="0" applyFont="0" applyFill="0" applyBorder="0" applyAlignment="0" applyProtection="0"/>
  </cellStyleXfs>
  <cellXfs count="133">
    <xf numFmtId="0" fontId="0" fillId="0" borderId="0" xfId="0"/>
    <xf numFmtId="0" fontId="3" fillId="3" borderId="1" xfId="0" applyFont="1" applyFill="1" applyBorder="1" applyAlignment="1">
      <alignment horizontal="center" vertical="center" wrapText="1"/>
    </xf>
    <xf numFmtId="0" fontId="3" fillId="3" borderId="0" xfId="0" applyFont="1" applyFill="1" applyAlignment="1">
      <alignment horizontal="left" vertical="center"/>
    </xf>
    <xf numFmtId="0" fontId="3" fillId="3" borderId="0" xfId="0" applyFont="1" applyFill="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4" fillId="0" borderId="0" xfId="0" applyFont="1" applyAlignment="1">
      <alignment horizontal="left" vertical="center"/>
    </xf>
    <xf numFmtId="0" fontId="5" fillId="0" borderId="0" xfId="0" applyFont="1" applyAlignment="1">
      <alignment horizontal="left" vertical="center" wrapText="1"/>
    </xf>
    <xf numFmtId="0" fontId="5" fillId="0" borderId="0" xfId="0" applyFont="1" applyAlignment="1">
      <alignment horizontal="left" vertical="center"/>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9" fillId="5" borderId="1" xfId="0" applyFont="1" applyFill="1" applyBorder="1" applyAlignment="1">
      <alignment horizontal="center" vertical="center"/>
    </xf>
    <xf numFmtId="0" fontId="10" fillId="6" borderId="1" xfId="0" applyFont="1" applyFill="1" applyBorder="1" applyAlignment="1">
      <alignment horizontal="center" vertical="center"/>
    </xf>
    <xf numFmtId="0" fontId="4" fillId="7"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16" fillId="0" borderId="0" xfId="0" applyFont="1"/>
    <xf numFmtId="0" fontId="4" fillId="10"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8" fillId="11" borderId="1" xfId="0" applyFont="1" applyFill="1" applyBorder="1" applyAlignment="1">
      <alignment horizontal="center" vertical="center"/>
    </xf>
    <xf numFmtId="0" fontId="8" fillId="4" borderId="3" xfId="0" applyFont="1" applyFill="1" applyBorder="1" applyAlignment="1">
      <alignment horizontal="center" vertical="center"/>
    </xf>
    <xf numFmtId="0" fontId="9" fillId="5" borderId="3" xfId="0" applyFont="1" applyFill="1" applyBorder="1" applyAlignment="1">
      <alignment horizontal="center" vertical="center"/>
    </xf>
    <xf numFmtId="0" fontId="5" fillId="7" borderId="2" xfId="0" applyFont="1" applyFill="1" applyBorder="1" applyAlignment="1">
      <alignment horizontal="left" vertical="center" wrapText="1"/>
    </xf>
    <xf numFmtId="0" fontId="18" fillId="12" borderId="1" xfId="0" applyFont="1" applyFill="1" applyBorder="1" applyAlignment="1">
      <alignment horizontal="center"/>
    </xf>
    <xf numFmtId="0" fontId="0" fillId="0" borderId="4" xfId="0" applyBorder="1"/>
    <xf numFmtId="0" fontId="20" fillId="0" borderId="0" xfId="0" applyFont="1"/>
    <xf numFmtId="0" fontId="10" fillId="6" borderId="3" xfId="0" applyFont="1" applyFill="1" applyBorder="1" applyAlignment="1">
      <alignment horizontal="center" vertical="center"/>
    </xf>
    <xf numFmtId="0" fontId="21" fillId="7" borderId="1" xfId="0" applyFont="1" applyFill="1" applyBorder="1" applyAlignment="1">
      <alignment horizontal="left" vertical="center" wrapText="1"/>
    </xf>
    <xf numFmtId="14" fontId="21" fillId="7" borderId="1" xfId="0" applyNumberFormat="1" applyFont="1" applyFill="1" applyBorder="1" applyAlignment="1">
      <alignment horizontal="left" vertical="center" wrapText="1"/>
    </xf>
    <xf numFmtId="0" fontId="22" fillId="7" borderId="1" xfId="0" applyFont="1" applyFill="1" applyBorder="1" applyAlignment="1">
      <alignment horizontal="left" vertical="center" wrapText="1"/>
    </xf>
    <xf numFmtId="0" fontId="22" fillId="7" borderId="2" xfId="0" applyFont="1" applyFill="1" applyBorder="1" applyAlignment="1">
      <alignment horizontal="left" vertical="center" wrapText="1"/>
    </xf>
    <xf numFmtId="0" fontId="22" fillId="7" borderId="2" xfId="0" applyFont="1" applyFill="1" applyBorder="1" applyAlignment="1">
      <alignment horizontal="left" vertical="center"/>
    </xf>
    <xf numFmtId="0" fontId="21" fillId="0" borderId="0" xfId="0" applyFont="1"/>
    <xf numFmtId="14" fontId="23" fillId="0" borderId="0" xfId="0" applyNumberFormat="1" applyFont="1"/>
    <xf numFmtId="167" fontId="23" fillId="0" borderId="0" xfId="1" applyNumberFormat="1" applyFont="1"/>
    <xf numFmtId="43" fontId="23" fillId="0" borderId="0" xfId="1" applyFont="1"/>
    <xf numFmtId="168" fontId="23" fillId="0" borderId="0" xfId="1" applyNumberFormat="1" applyFont="1"/>
    <xf numFmtId="0" fontId="23" fillId="0" borderId="0" xfId="0" applyFont="1"/>
    <xf numFmtId="0" fontId="23" fillId="0" borderId="0" xfId="3" applyNumberFormat="1" applyFont="1" applyFill="1"/>
    <xf numFmtId="169" fontId="23" fillId="0" borderId="0" xfId="1" applyNumberFormat="1" applyFont="1"/>
    <xf numFmtId="0" fontId="24" fillId="7" borderId="2" xfId="0" applyFont="1" applyFill="1" applyBorder="1" applyAlignment="1">
      <alignment horizontal="left" vertical="center"/>
    </xf>
    <xf numFmtId="0" fontId="24" fillId="0" borderId="2" xfId="0" applyFont="1" applyBorder="1"/>
    <xf numFmtId="0" fontId="13" fillId="7" borderId="2" xfId="0" applyFont="1" applyFill="1" applyBorder="1" applyAlignment="1">
      <alignment horizontal="left" vertical="center"/>
    </xf>
    <xf numFmtId="0" fontId="25" fillId="8" borderId="2" xfId="0" applyFont="1" applyFill="1" applyBorder="1" applyAlignment="1">
      <alignment horizontal="left" vertical="center"/>
    </xf>
    <xf numFmtId="0" fontId="24" fillId="0" borderId="0" xfId="0" applyFont="1"/>
    <xf numFmtId="0" fontId="23" fillId="0" borderId="2" xfId="0" applyFont="1" applyBorder="1"/>
    <xf numFmtId="164" fontId="23" fillId="0" borderId="2" xfId="0" applyNumberFormat="1" applyFont="1" applyBorder="1"/>
    <xf numFmtId="0" fontId="23" fillId="0" borderId="2" xfId="1" applyNumberFormat="1" applyFont="1" applyBorder="1"/>
    <xf numFmtId="14" fontId="23" fillId="0" borderId="2" xfId="0" applyNumberFormat="1" applyFont="1" applyBorder="1"/>
    <xf numFmtId="165" fontId="23" fillId="0" borderId="2" xfId="1" applyNumberFormat="1" applyFont="1" applyBorder="1"/>
    <xf numFmtId="166" fontId="23" fillId="0" borderId="2" xfId="1" applyNumberFormat="1" applyFont="1" applyBorder="1"/>
    <xf numFmtId="0" fontId="22" fillId="13" borderId="2" xfId="0" applyFont="1" applyFill="1" applyBorder="1" applyAlignment="1">
      <alignment horizontal="left" vertical="center" wrapText="1"/>
    </xf>
    <xf numFmtId="0" fontId="23" fillId="14" borderId="2" xfId="1" applyNumberFormat="1" applyFont="1" applyFill="1" applyBorder="1"/>
    <xf numFmtId="0" fontId="26" fillId="7" borderId="1" xfId="0" applyFont="1" applyFill="1" applyBorder="1" applyAlignment="1">
      <alignment horizontal="left" vertical="center"/>
    </xf>
    <xf numFmtId="164" fontId="23" fillId="14" borderId="2" xfId="0" applyNumberFormat="1" applyFont="1" applyFill="1" applyBorder="1"/>
    <xf numFmtId="0" fontId="22" fillId="0" borderId="2" xfId="0" applyFont="1" applyBorder="1" applyAlignment="1">
      <alignment horizontal="left" vertical="center" wrapText="1"/>
    </xf>
    <xf numFmtId="0" fontId="22" fillId="0" borderId="1" xfId="0" applyFont="1" applyBorder="1" applyAlignment="1">
      <alignment horizontal="left" vertical="center" wrapText="1"/>
    </xf>
    <xf numFmtId="0" fontId="22" fillId="14" borderId="2"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2" fillId="0" borderId="6" xfId="0" applyFont="1" applyBorder="1" applyAlignment="1">
      <alignment horizontal="left" vertical="center" wrapText="1"/>
    </xf>
    <xf numFmtId="0" fontId="22" fillId="0" borderId="3" xfId="0" applyFont="1" applyBorder="1" applyAlignment="1">
      <alignment horizontal="left" vertical="center" wrapText="1"/>
    </xf>
    <xf numFmtId="168" fontId="23" fillId="0" borderId="0" xfId="0" applyNumberFormat="1" applyFont="1"/>
    <xf numFmtId="169" fontId="23" fillId="0" borderId="0" xfId="0" applyNumberFormat="1" applyFont="1"/>
    <xf numFmtId="0" fontId="22" fillId="0" borderId="3" xfId="0" applyFont="1" applyBorder="1" applyAlignment="1">
      <alignment horizontal="left" vertical="center"/>
    </xf>
    <xf numFmtId="0" fontId="27" fillId="15" borderId="7" xfId="0" applyFont="1" applyFill="1" applyBorder="1" applyAlignment="1">
      <alignment horizontal="left" vertical="center"/>
    </xf>
    <xf numFmtId="0" fontId="27" fillId="16" borderId="10" xfId="0" applyFont="1" applyFill="1" applyBorder="1" applyAlignment="1">
      <alignment horizontal="left" vertical="center"/>
    </xf>
    <xf numFmtId="0" fontId="29" fillId="0" borderId="2" xfId="0" applyFont="1" applyBorder="1" applyAlignment="1">
      <alignment vertical="center"/>
    </xf>
    <xf numFmtId="0" fontId="29" fillId="0" borderId="17" xfId="0" applyFont="1" applyBorder="1"/>
    <xf numFmtId="0" fontId="28" fillId="0" borderId="17" xfId="0" applyFont="1" applyBorder="1"/>
    <xf numFmtId="0" fontId="0" fillId="0" borderId="12" xfId="0" applyBorder="1"/>
    <xf numFmtId="0" fontId="0" fillId="0" borderId="2" xfId="0" applyBorder="1"/>
    <xf numFmtId="0" fontId="0" fillId="0" borderId="17" xfId="0" applyBorder="1"/>
    <xf numFmtId="0" fontId="30" fillId="18" borderId="0" xfId="0" applyFont="1" applyFill="1" applyAlignment="1">
      <alignment horizontal="center"/>
    </xf>
    <xf numFmtId="2" fontId="30" fillId="18" borderId="0" xfId="0" applyNumberFormat="1" applyFont="1" applyFill="1" applyAlignment="1">
      <alignment horizontal="center"/>
    </xf>
    <xf numFmtId="170" fontId="30" fillId="18" borderId="0" xfId="0" applyNumberFormat="1" applyFont="1" applyFill="1" applyAlignment="1">
      <alignment horizontal="center"/>
    </xf>
    <xf numFmtId="2" fontId="0" fillId="0" borderId="0" xfId="0" applyNumberFormat="1"/>
    <xf numFmtId="170" fontId="0" fillId="0" borderId="0" xfId="0" applyNumberFormat="1"/>
    <xf numFmtId="167" fontId="17" fillId="0" borderId="0" xfId="1" applyNumberFormat="1"/>
    <xf numFmtId="9" fontId="0" fillId="0" borderId="0" xfId="3" applyFont="1"/>
    <xf numFmtId="0" fontId="27" fillId="19" borderId="0" xfId="0" applyFont="1" applyFill="1"/>
    <xf numFmtId="0" fontId="18" fillId="20" borderId="2" xfId="0" applyFont="1" applyFill="1" applyBorder="1" applyAlignment="1">
      <alignment horizontal="center" vertical="center" wrapText="1"/>
    </xf>
    <xf numFmtId="0" fontId="4" fillId="21" borderId="2" xfId="0" applyFont="1" applyFill="1" applyBorder="1" applyAlignment="1">
      <alignment horizontal="center" vertical="center" wrapText="1"/>
    </xf>
    <xf numFmtId="0" fontId="31" fillId="22" borderId="2" xfId="0" applyFont="1" applyFill="1" applyBorder="1" applyAlignment="1">
      <alignment horizontal="center"/>
    </xf>
    <xf numFmtId="0" fontId="0" fillId="22" borderId="2" xfId="0" applyFill="1" applyBorder="1"/>
    <xf numFmtId="0" fontId="0" fillId="22" borderId="2" xfId="0" applyFill="1" applyBorder="1" applyAlignment="1">
      <alignment horizontal="center"/>
    </xf>
    <xf numFmtId="0" fontId="32" fillId="7" borderId="2" xfId="0" applyFont="1" applyFill="1" applyBorder="1" applyAlignment="1">
      <alignment horizontal="left" vertical="center" wrapText="1"/>
    </xf>
    <xf numFmtId="0" fontId="21" fillId="7" borderId="25" xfId="0" applyFont="1" applyFill="1" applyBorder="1" applyAlignment="1">
      <alignment horizontal="left" vertical="center"/>
    </xf>
    <xf numFmtId="0" fontId="6" fillId="2" borderId="0" xfId="0" applyFont="1" applyFill="1" applyAlignment="1">
      <alignment horizontal="center" vertical="center"/>
    </xf>
    <xf numFmtId="0" fontId="0" fillId="0" borderId="0" xfId="0"/>
    <xf numFmtId="0" fontId="3" fillId="3" borderId="1" xfId="0" applyFont="1" applyFill="1" applyBorder="1" applyAlignment="1">
      <alignment horizontal="center" vertical="center" wrapText="1"/>
    </xf>
    <xf numFmtId="0" fontId="0" fillId="0" borderId="4" xfId="0" applyBorder="1"/>
    <xf numFmtId="0" fontId="0" fillId="0" borderId="5" xfId="0" applyBorder="1"/>
    <xf numFmtId="0" fontId="0" fillId="0" borderId="2" xfId="0" applyBorder="1" applyAlignment="1">
      <alignment horizontal="left"/>
    </xf>
    <xf numFmtId="0" fontId="0" fillId="0" borderId="15" xfId="0" applyBorder="1" applyAlignment="1">
      <alignment horizontal="left"/>
    </xf>
    <xf numFmtId="0" fontId="29" fillId="0" borderId="17" xfId="0" applyFont="1" applyBorder="1" applyAlignment="1">
      <alignment horizontal="left"/>
    </xf>
    <xf numFmtId="0" fontId="29" fillId="0" borderId="18" xfId="0" applyFont="1" applyBorder="1" applyAlignment="1">
      <alignment horizontal="left"/>
    </xf>
    <xf numFmtId="0" fontId="27" fillId="0" borderId="0" xfId="0" applyFont="1" applyAlignment="1">
      <alignment horizontal="center" vertical="center"/>
    </xf>
    <xf numFmtId="0" fontId="27" fillId="16" borderId="11" xfId="0" applyFont="1" applyFill="1" applyBorder="1" applyAlignment="1">
      <alignment horizontal="center" vertical="center"/>
    </xf>
    <xf numFmtId="0" fontId="27" fillId="16" borderId="16" xfId="0" applyFont="1" applyFill="1" applyBorder="1" applyAlignment="1">
      <alignment horizontal="center" vertical="center"/>
    </xf>
    <xf numFmtId="0" fontId="20" fillId="0" borderId="19" xfId="0" applyFont="1" applyBorder="1" applyAlignment="1">
      <alignment horizontal="left" vertical="center"/>
    </xf>
    <xf numFmtId="0" fontId="20" fillId="0" borderId="20" xfId="0" applyFont="1" applyBorder="1" applyAlignment="1">
      <alignment horizontal="left" vertical="center"/>
    </xf>
    <xf numFmtId="0" fontId="20" fillId="0" borderId="21" xfId="0" applyFont="1" applyBorder="1" applyAlignment="1">
      <alignment horizontal="left" vertical="center"/>
    </xf>
    <xf numFmtId="0" fontId="27" fillId="17" borderId="22" xfId="0" applyFont="1" applyFill="1" applyBorder="1" applyAlignment="1">
      <alignment horizontal="center" vertical="center"/>
    </xf>
    <xf numFmtId="0" fontId="27" fillId="17" borderId="23" xfId="0" applyFont="1" applyFill="1" applyBorder="1" applyAlignment="1">
      <alignment horizontal="center" vertical="center"/>
    </xf>
    <xf numFmtId="0" fontId="27" fillId="17" borderId="24" xfId="0" applyFont="1" applyFill="1" applyBorder="1" applyAlignment="1">
      <alignment horizontal="center" vertical="center"/>
    </xf>
    <xf numFmtId="0" fontId="0" fillId="0" borderId="12" xfId="0" applyBorder="1" applyAlignment="1">
      <alignment horizontal="left"/>
    </xf>
    <xf numFmtId="0" fontId="0" fillId="0" borderId="13" xfId="0" applyBorder="1" applyAlignment="1">
      <alignment horizontal="left"/>
    </xf>
    <xf numFmtId="0" fontId="28" fillId="0" borderId="8" xfId="0" applyFont="1" applyBorder="1" applyAlignment="1">
      <alignment horizontal="left" wrapText="1"/>
    </xf>
    <xf numFmtId="0" fontId="28" fillId="0" borderId="9" xfId="0" applyFont="1" applyBorder="1" applyAlignment="1">
      <alignment horizontal="left" wrapText="1"/>
    </xf>
    <xf numFmtId="0" fontId="0" fillId="0" borderId="8" xfId="0" applyBorder="1" applyAlignment="1">
      <alignment horizontal="left" wrapText="1"/>
    </xf>
    <xf numFmtId="0" fontId="0" fillId="0" borderId="9" xfId="0" applyBorder="1" applyAlignment="1">
      <alignment horizontal="left" wrapText="1"/>
    </xf>
    <xf numFmtId="0" fontId="27" fillId="17" borderId="11" xfId="0" applyFont="1" applyFill="1" applyBorder="1" applyAlignment="1">
      <alignment horizontal="center" vertical="center"/>
    </xf>
    <xf numFmtId="0" fontId="27" fillId="17" borderId="14" xfId="0" applyFont="1" applyFill="1" applyBorder="1" applyAlignment="1">
      <alignment horizontal="center" vertical="center"/>
    </xf>
    <xf numFmtId="0" fontId="27" fillId="17" borderId="16" xfId="0" applyFont="1" applyFill="1" applyBorder="1" applyAlignment="1">
      <alignment horizontal="center" vertical="center"/>
    </xf>
    <xf numFmtId="0" fontId="28" fillId="0" borderId="12" xfId="0" applyFont="1" applyBorder="1" applyAlignment="1">
      <alignment horizontal="left" wrapText="1"/>
    </xf>
    <xf numFmtId="0" fontId="28" fillId="0" borderId="13" xfId="0" applyFont="1" applyBorder="1" applyAlignment="1">
      <alignment horizontal="left" wrapText="1"/>
    </xf>
    <xf numFmtId="0" fontId="0" fillId="0" borderId="2" xfId="0" applyBorder="1" applyAlignment="1">
      <alignment horizontal="left" vertical="center"/>
    </xf>
    <xf numFmtId="0" fontId="0" fillId="0" borderId="15" xfId="0" applyBorder="1" applyAlignment="1">
      <alignment horizontal="left" vertical="center"/>
    </xf>
    <xf numFmtId="0" fontId="0" fillId="0" borderId="2" xfId="0" applyBorder="1" applyAlignment="1">
      <alignment horizontal="left" vertical="center" wrapText="1"/>
    </xf>
    <xf numFmtId="0" fontId="0" fillId="0" borderId="15" xfId="0" applyBorder="1" applyAlignment="1">
      <alignment horizontal="left" vertical="center" wrapText="1"/>
    </xf>
    <xf numFmtId="0" fontId="29" fillId="0" borderId="2" xfId="0" applyFont="1" applyBorder="1" applyAlignment="1">
      <alignment horizontal="left" vertical="center"/>
    </xf>
    <xf numFmtId="0" fontId="0" fillId="0" borderId="17" xfId="0" applyBorder="1" applyAlignment="1">
      <alignment horizontal="left" wrapText="1"/>
    </xf>
    <xf numFmtId="0" fontId="0" fillId="0" borderId="18" xfId="0" applyBorder="1" applyAlignment="1">
      <alignment horizontal="left" wrapText="1"/>
    </xf>
    <xf numFmtId="0" fontId="2" fillId="2" borderId="0" xfId="0" applyFont="1" applyFill="1" applyAlignment="1">
      <alignment horizontal="center" vertical="center"/>
    </xf>
    <xf numFmtId="0" fontId="13" fillId="4" borderId="0" xfId="0" applyFont="1" applyFill="1" applyAlignment="1">
      <alignment horizontal="left" vertical="center"/>
    </xf>
    <xf numFmtId="0" fontId="12" fillId="0" borderId="0" xfId="0" applyFont="1"/>
    <xf numFmtId="0" fontId="15" fillId="9" borderId="0" xfId="0" applyFont="1" applyFill="1" applyAlignment="1">
      <alignment horizontal="left" vertical="center"/>
    </xf>
    <xf numFmtId="0" fontId="14" fillId="8" borderId="0" xfId="0" applyFont="1" applyFill="1" applyAlignment="1">
      <alignment horizontal="left" vertical="center"/>
    </xf>
    <xf numFmtId="0" fontId="13" fillId="5" borderId="0" xfId="0" applyFont="1" applyFill="1" applyAlignment="1">
      <alignment horizontal="left" vertical="center"/>
    </xf>
    <xf numFmtId="0" fontId="13" fillId="6" borderId="0" xfId="0" applyFont="1" applyFill="1" applyAlignment="1">
      <alignment horizontal="left" vertical="center"/>
    </xf>
  </cellXfs>
  <cellStyles count="4">
    <cellStyle name="Comma" xfId="1" builtinId="3"/>
    <cellStyle name="Comma 2 27" xfId="2" xr:uid="{22FAEA73-965A-4995-8A8A-F0542931D893}"/>
    <cellStyle name="Normal" xfId="0" builtinId="0"/>
    <cellStyle name="Percent" xfId="3" builtinId="5"/>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276221"/>
      <rgbColor rgb="FF000080"/>
      <rgbColor rgb="FF808000"/>
      <rgbColor rgb="FF800080"/>
      <rgbColor rgb="FF008080"/>
      <rgbColor rgb="FFC0C0C0"/>
      <rgbColor rgb="FF808080"/>
      <rgbColor rgb="FF9999FF"/>
      <rgbColor rgb="FF7030A0"/>
      <rgbColor rgb="FFFFF2CC"/>
      <rgbColor rgb="FFDEEA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D966"/>
      <rgbColor rgb="FF99CCFF"/>
      <rgbColor rgb="FFFF99CC"/>
      <rgbColor rgb="FFCC99FF"/>
      <rgbColor rgb="FFFFC7CE"/>
      <rgbColor rgb="FF2E75B6"/>
      <rgbColor rgb="FF33CCCC"/>
      <rgbColor rgb="FF99CC00"/>
      <rgbColor rgb="FFFFCC00"/>
      <rgbColor rgb="FFFF9900"/>
      <rgbColor rgb="FFFF6600"/>
      <rgbColor rgb="FF595959"/>
      <rgbColor rgb="FFAAAAAA"/>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Boo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1">
          <cell r="B1" t="str">
            <v>CUSIP_ID</v>
          </cell>
          <cell r="C1" t="str">
            <v>CoveredPerils</v>
          </cell>
        </row>
        <row r="2">
          <cell r="B2" t="str">
            <v>096003AD0</v>
          </cell>
          <cell r="C2" t="str">
            <v>Named Storm, Severe Thunderstorm / North Carolina</v>
          </cell>
        </row>
        <row r="3">
          <cell r="B3" t="str">
            <v>096003AF5</v>
          </cell>
          <cell r="C3" t="str">
            <v>Named Storm, Severe Thunderstorm, Winter Storm / North Carolina</v>
          </cell>
        </row>
        <row r="4">
          <cell r="B4" t="str">
            <v>03843AAA0</v>
          </cell>
          <cell r="C4" t="str">
            <v>All Natural Perils / U.S.</v>
          </cell>
        </row>
        <row r="5">
          <cell r="B5" t="str">
            <v>03843AAB8</v>
          </cell>
          <cell r="C5" t="str">
            <v>All Natural Perils / U.S.</v>
          </cell>
        </row>
        <row r="6">
          <cell r="B6" t="str">
            <v>03843AAC6</v>
          </cell>
          <cell r="C6" t="str">
            <v>All Natural Perils / U.S.</v>
          </cell>
        </row>
        <row r="7">
          <cell r="B7" t="str">
            <v>037987AA2</v>
          </cell>
          <cell r="C7" t="str">
            <v>All Natural Perils / U.S.</v>
          </cell>
        </row>
        <row r="8">
          <cell r="B8" t="str">
            <v>037987AB0</v>
          </cell>
          <cell r="C8" t="str">
            <v>All Natural Perils / U.S.</v>
          </cell>
        </row>
        <row r="9">
          <cell r="B9" t="str">
            <v>68302QAA2</v>
          </cell>
          <cell r="C9" t="str">
            <v>Wildfire / California</v>
          </cell>
        </row>
        <row r="10">
          <cell r="B10" t="str">
            <v>79381MAC8</v>
          </cell>
          <cell r="C10" t="str">
            <v>Earthquake ; Named Storm / U.S., Canada, Puerto Rico, U.S. VI</v>
          </cell>
        </row>
        <row r="11">
          <cell r="B11" t="str">
            <v>571253AA1</v>
          </cell>
          <cell r="C11" t="str">
            <v>Named Storm / Florida</v>
          </cell>
        </row>
        <row r="12">
          <cell r="B12" t="str">
            <v>571253AB9</v>
          </cell>
          <cell r="C12" t="str">
            <v>Named Storm / Florida</v>
          </cell>
        </row>
        <row r="13">
          <cell r="B13" t="str">
            <v>532242AA2</v>
          </cell>
          <cell r="C13" t="str">
            <v>Named Storm / Florida</v>
          </cell>
        </row>
        <row r="14">
          <cell r="B14" t="str">
            <v>755933AA6</v>
          </cell>
          <cell r="C14" t="str">
            <v>Named Storm / U.S.</v>
          </cell>
        </row>
        <row r="15">
          <cell r="B15" t="str">
            <v>85237TAA0</v>
          </cell>
          <cell r="C15" t="str">
            <v>Earthquake ; Named Storm / U.S.</v>
          </cell>
        </row>
        <row r="16">
          <cell r="B16" t="str">
            <v>13947LAE2</v>
          </cell>
          <cell r="C16" t="str">
            <v>Named Storm / North Carolina</v>
          </cell>
        </row>
        <row r="17">
          <cell r="B17" t="str">
            <v>13947LAF9</v>
          </cell>
          <cell r="C17" t="str">
            <v>Named Storm / North Carolina</v>
          </cell>
        </row>
        <row r="18">
          <cell r="B18" t="str">
            <v>04401RAA5</v>
          </cell>
          <cell r="C18" t="str">
            <v>Earthquake ; Named Storm / U.S., Canada</v>
          </cell>
        </row>
        <row r="19">
          <cell r="B19" t="str">
            <v>751443AA0</v>
          </cell>
          <cell r="C19" t="str">
            <v>Earthquake / U.S., Canada ; Named Storm / Northeast U.S.</v>
          </cell>
        </row>
        <row r="20">
          <cell r="B20" t="str">
            <v>36354TAN2</v>
          </cell>
          <cell r="C20" t="str">
            <v>Earthquake / U.S., Canada, Puerto Rico, U.S. VI ; Named Storm / U.S., Puerto Rico, U.S. VI</v>
          </cell>
        </row>
        <row r="21">
          <cell r="B21" t="str">
            <v>36354TAP7</v>
          </cell>
          <cell r="C21" t="str">
            <v>Earthquake / U.S., Canada, Puerto Rico, U.S. VI ; Named Storm / U.S., Puerto Rico, U.S. VI</v>
          </cell>
        </row>
        <row r="22">
          <cell r="B22" t="str">
            <v>XS2969300081</v>
          </cell>
          <cell r="C22" t="str">
            <v>Earthquake ; Severe Convective Storm / Canada</v>
          </cell>
        </row>
        <row r="23">
          <cell r="B23" t="str">
            <v>09785EAN1</v>
          </cell>
          <cell r="C23" t="str">
            <v>All Natural Perils / U.S.</v>
          </cell>
        </row>
        <row r="24">
          <cell r="B24" t="str">
            <v>09785EAP6</v>
          </cell>
          <cell r="C24" t="str">
            <v>All Natural Perils / U.S.</v>
          </cell>
        </row>
        <row r="25">
          <cell r="B25" t="str">
            <v>09785EAQ4</v>
          </cell>
          <cell r="C25" t="str">
            <v>All Natural Perils / U.S.</v>
          </cell>
        </row>
        <row r="26">
          <cell r="B26" t="str">
            <v>80001RAB7</v>
          </cell>
          <cell r="C26" t="str">
            <v>All Natural Perils / U.S. (excl. FL)</v>
          </cell>
        </row>
        <row r="27">
          <cell r="B27" t="str">
            <v>80001RAA9</v>
          </cell>
          <cell r="C27" t="str">
            <v>All Natural Perils / U.S. (excl. FL)</v>
          </cell>
        </row>
        <row r="28">
          <cell r="B28" t="str">
            <v>747977AA4</v>
          </cell>
          <cell r="C28" t="str">
            <v>Named Storm / U.S., Puerto Rico, U.S. VI</v>
          </cell>
        </row>
        <row r="29">
          <cell r="B29" t="str">
            <v>76091DAA9</v>
          </cell>
          <cell r="C29" t="str">
            <v>All Natural Perils / U.S.</v>
          </cell>
        </row>
        <row r="30">
          <cell r="B30" t="str">
            <v>76091DAB7</v>
          </cell>
          <cell r="C30" t="str">
            <v>All Natural Perils / U.S.</v>
          </cell>
        </row>
        <row r="31">
          <cell r="B31" t="str">
            <v>76091DAC5</v>
          </cell>
          <cell r="C31" t="str">
            <v>All Natural Perils / U.S.</v>
          </cell>
        </row>
        <row r="32">
          <cell r="B32" t="str">
            <v>27777AAA9</v>
          </cell>
          <cell r="C32" t="str">
            <v>Earthquake / U.S., Canada ; Named Storm / U.S., Puerto Rico, U.S. VI</v>
          </cell>
        </row>
        <row r="33">
          <cell r="B33" t="str">
            <v>10807LAA5</v>
          </cell>
          <cell r="C33" t="str">
            <v>Earthquake ; Named Storm / U.S., Canada, Puerto Rico, U.S. VI</v>
          </cell>
        </row>
        <row r="34">
          <cell r="B34" t="str">
            <v>76114NAE2</v>
          </cell>
          <cell r="C34" t="str">
            <v>NULL</v>
          </cell>
        </row>
        <row r="35">
          <cell r="B35" t="str">
            <v>76114NAF9</v>
          </cell>
          <cell r="C35" t="str">
            <v>NULL</v>
          </cell>
        </row>
        <row r="36">
          <cell r="B36" t="str">
            <v>76119YAF0</v>
          </cell>
          <cell r="C36" t="str">
            <v>All Natural Perils / U.S.</v>
          </cell>
        </row>
        <row r="37">
          <cell r="B37" t="str">
            <v>76119YAG8</v>
          </cell>
          <cell r="C37" t="str">
            <v>All Natural Perils / U.S.</v>
          </cell>
        </row>
        <row r="38">
          <cell r="B38" t="str">
            <v>76090WAB6</v>
          </cell>
          <cell r="C38" t="str">
            <v>All Natural Perils / U.S.</v>
          </cell>
        </row>
        <row r="39">
          <cell r="B39" t="str">
            <v>76090WAC4</v>
          </cell>
          <cell r="C39" t="str">
            <v>All Natural Perils / U.S.</v>
          </cell>
        </row>
        <row r="40">
          <cell r="B40" t="str">
            <v>76112AAC6</v>
          </cell>
          <cell r="C40" t="str">
            <v>All Natural Perils / U.S.</v>
          </cell>
        </row>
        <row r="41">
          <cell r="B41" t="str">
            <v>76112AAD4</v>
          </cell>
          <cell r="C41" t="str">
            <v>All Natural Perils / U.S.</v>
          </cell>
        </row>
        <row r="42">
          <cell r="B42" t="str">
            <v>76112AAE2</v>
          </cell>
          <cell r="C42" t="str">
            <v>All Natural Perils / U.S.</v>
          </cell>
        </row>
        <row r="43">
          <cell r="B43" t="str">
            <v>05826BAC0</v>
          </cell>
          <cell r="C43" t="str">
            <v>All Natural Perils / Northeast U.S.</v>
          </cell>
        </row>
        <row r="44">
          <cell r="B44" t="str">
            <v>05826BAB2</v>
          </cell>
          <cell r="C44" t="str">
            <v>All Natural Perils / Northeast U.S.</v>
          </cell>
        </row>
        <row r="45">
          <cell r="B45" t="str">
            <v>57839MAA6</v>
          </cell>
          <cell r="C45" t="str">
            <v>Named Storm ; Severe Thunderstorm ; Winter Storm / Massachusetts</v>
          </cell>
        </row>
        <row r="46">
          <cell r="B46" t="str">
            <v>57839MAB4</v>
          </cell>
          <cell r="C46" t="str">
            <v>Named Storm ; Severe Thunderstorm ; Winter Storm / Massachusetts</v>
          </cell>
        </row>
        <row r="47">
          <cell r="B47" t="str">
            <v>57839MAC2</v>
          </cell>
          <cell r="C47" t="str">
            <v>Named Storm ; Severe Thunderstorm ; Winter Storm / Massachusetts</v>
          </cell>
        </row>
        <row r="48">
          <cell r="B48" t="str">
            <v>57839MAD0</v>
          </cell>
          <cell r="C48" t="str">
            <v>Named Storm ; Severe Thunderstorm ; Winter Storm / Massachusetts</v>
          </cell>
        </row>
        <row r="49">
          <cell r="B49" t="str">
            <v>76119YAB9</v>
          </cell>
          <cell r="C49" t="str">
            <v>NULL</v>
          </cell>
        </row>
        <row r="50">
          <cell r="B50" t="str">
            <v>76119YAC7</v>
          </cell>
          <cell r="C50" t="str">
            <v>NULL</v>
          </cell>
        </row>
        <row r="51">
          <cell r="B51" t="str">
            <v>76119YAD5</v>
          </cell>
          <cell r="C51" t="str">
            <v>NULL</v>
          </cell>
        </row>
        <row r="52">
          <cell r="B52" t="str">
            <v>76119YAE3</v>
          </cell>
          <cell r="C52" t="str">
            <v>All Natural Perils / U.S.</v>
          </cell>
        </row>
        <row r="53">
          <cell r="B53" t="str">
            <v>76133XAA5</v>
          </cell>
          <cell r="C53" t="str">
            <v>All Natural Perils / U.S.</v>
          </cell>
        </row>
        <row r="54">
          <cell r="B54" t="str">
            <v>48878QAE0</v>
          </cell>
          <cell r="C54" t="str">
            <v>Earthquake / U.S., Canada, Puerto Rico, U.S. VI ; Named Storm / U.S., Puerto Rico, U.S. VI ; Windstorm / Europe</v>
          </cell>
        </row>
        <row r="55">
          <cell r="B55" t="str">
            <v>35087TAH1</v>
          </cell>
          <cell r="C55" t="str">
            <v>All Natural Perils / U.S.</v>
          </cell>
        </row>
        <row r="56">
          <cell r="B56" t="str">
            <v>76133XAB3</v>
          </cell>
          <cell r="C56" t="str">
            <v>All Natural Perils / U.S.</v>
          </cell>
        </row>
        <row r="57">
          <cell r="B57" t="str">
            <v>76091BAB1</v>
          </cell>
          <cell r="C57" t="str">
            <v>All Natural Perils / U.S.</v>
          </cell>
        </row>
        <row r="58">
          <cell r="B58" t="str">
            <v>76091BAC9</v>
          </cell>
          <cell r="C58" t="str">
            <v>All Natural Perils / U.S.</v>
          </cell>
        </row>
        <row r="59">
          <cell r="B59" t="str">
            <v>36779CAM8</v>
          </cell>
          <cell r="C59" t="str">
            <v>Named Storm / Alabama, Louisiana, Mississippi, New York, North Carolina, South Carolina, Texas</v>
          </cell>
        </row>
        <row r="60">
          <cell r="B60" t="str">
            <v>36779CAR7</v>
          </cell>
          <cell r="C60" t="str">
            <v>Named Storm / Alabama, Florida, Louisiana, Mississippi, New York, North Carolina, South Carolina, Texas</v>
          </cell>
        </row>
        <row r="61">
          <cell r="B61" t="str">
            <v>36779CAP1</v>
          </cell>
          <cell r="C61" t="str">
            <v>Named Storm / Alabama, Florida, Louisiana, Mississippi, New York, North Carolina, South Carolina, Texas</v>
          </cell>
        </row>
        <row r="62">
          <cell r="B62" t="str">
            <v>36779CAQ9</v>
          </cell>
          <cell r="C62" t="str">
            <v>Named Storm / Alabama, Florida, Louisiana, Mississippi, New York, North Carolina, South Carolina, Texas</v>
          </cell>
        </row>
        <row r="63">
          <cell r="B63" t="str">
            <v>42703VAM5</v>
          </cell>
          <cell r="C63" t="str">
            <v>EQ / North America, Australasia, Japan, Italy, Turkey ; NS / North America, Australia, Japan ; EW / Europe ; Other Wind / U.S., Canada ; WF / U.S.</v>
          </cell>
        </row>
        <row r="64">
          <cell r="B64" t="str">
            <v>33975CAP0</v>
          </cell>
          <cell r="C64" t="str">
            <v>Flood / U.S., Puerto Rico, U.S. VI</v>
          </cell>
        </row>
        <row r="65">
          <cell r="B65" t="str">
            <v>58320RAA9</v>
          </cell>
          <cell r="C65" t="str">
            <v>Named Storm / Florida, Puerto Rico, U.S. VI</v>
          </cell>
        </row>
        <row r="66">
          <cell r="B66" t="str">
            <v>58320RAC5</v>
          </cell>
          <cell r="C66" t="str">
            <v>Named Storm / Florida, Georgia, North Carolina, South Carolina, Puerto Rico, U.S. VI</v>
          </cell>
        </row>
        <row r="67">
          <cell r="B67" t="str">
            <v>36779CAN6</v>
          </cell>
          <cell r="C67" t="str">
            <v>Named Storm / Alabama, Florida, Louisiana, Mississippi, New York, North Carolina, South Carolina, Texas</v>
          </cell>
        </row>
        <row r="68">
          <cell r="B68" t="str">
            <v>36779CAS5</v>
          </cell>
          <cell r="C68" t="str">
            <v xml:space="preserve">Named Storm / Louisiana, Mississippi, South Carolina, Texas </v>
          </cell>
        </row>
        <row r="69">
          <cell r="B69" t="str">
            <v>59165HAD1</v>
          </cell>
          <cell r="C69" t="str">
            <v>Named Storm / New York, New Jersey</v>
          </cell>
        </row>
        <row r="70">
          <cell r="B70" t="str">
            <v>XS2806459314</v>
          </cell>
          <cell r="C70" t="str">
            <v>Named Storm / Jamaica</v>
          </cell>
        </row>
        <row r="71">
          <cell r="B71" t="str">
            <v>XS2599161192</v>
          </cell>
          <cell r="C71" t="str">
            <v>Earthquake / Chile</v>
          </cell>
        </row>
        <row r="72">
          <cell r="B72" t="str">
            <v>37173WAA0</v>
          </cell>
          <cell r="C72" t="str">
            <v>Named Storm ; Severe Thunderstorm / Eastern U.S.</v>
          </cell>
        </row>
        <row r="73">
          <cell r="B73" t="str">
            <v>799927AA6</v>
          </cell>
          <cell r="C73" t="str">
            <v>All Natural Perils / U.S. (excl. FL)</v>
          </cell>
        </row>
        <row r="74">
          <cell r="B74" t="str">
            <v>80001QAA1</v>
          </cell>
          <cell r="C74" t="str">
            <v>All Natural Perils / U.S. (excl. FL)</v>
          </cell>
        </row>
        <row r="75">
          <cell r="B75" t="str">
            <v>80001QAB9</v>
          </cell>
          <cell r="C75" t="str">
            <v>All Natural Perils / U.S. (excl. FL)</v>
          </cell>
        </row>
        <row r="76">
          <cell r="B76" t="str">
            <v>80000YAA5</v>
          </cell>
          <cell r="C76" t="str">
            <v>All Natural Perils / U.S. (excl. FL)</v>
          </cell>
        </row>
        <row r="77">
          <cell r="B77" t="str">
            <v>80000XAA7</v>
          </cell>
          <cell r="C77" t="str">
            <v>All Natural Perils / U.S. (excl. FL)</v>
          </cell>
        </row>
        <row r="78">
          <cell r="B78" t="str">
            <v>80001QAB9</v>
          </cell>
          <cell r="C78" t="str">
            <v>All Natural Perils / U.S. (excl. FL)</v>
          </cell>
        </row>
        <row r="79">
          <cell r="B79" t="str">
            <v>80000XAC3</v>
          </cell>
          <cell r="C79" t="str">
            <v>All Natural Perils / U.S.</v>
          </cell>
        </row>
        <row r="80">
          <cell r="B80" t="str">
            <v>80001TAA5</v>
          </cell>
          <cell r="C80" t="str">
            <v>All Natural Perils / U.S. (excl. FL)</v>
          </cell>
        </row>
        <row r="81">
          <cell r="B81" t="str">
            <v>80001TAC1</v>
          </cell>
          <cell r="C81" t="str">
            <v>All Natural Perils / U.S. (excl. FL)</v>
          </cell>
        </row>
        <row r="82">
          <cell r="B82" t="str">
            <v>80001TAB3</v>
          </cell>
          <cell r="C82" t="str">
            <v>All Natural Perils / U.S. (excl. FL)</v>
          </cell>
        </row>
        <row r="83">
          <cell r="B83" t="str">
            <v>80001TAD9</v>
          </cell>
          <cell r="C83" t="str">
            <v>All Natural Perils / U.S. (excl. FL)</v>
          </cell>
        </row>
        <row r="84">
          <cell r="B84" t="str">
            <v>577092AZ2</v>
          </cell>
          <cell r="C84" t="str">
            <v>Earthquake / U.S. (excl. HI), Canada</v>
          </cell>
        </row>
        <row r="85">
          <cell r="B85" t="str">
            <v>577092BA6</v>
          </cell>
          <cell r="C85" t="str">
            <v>Earthquake / U.S. (excl. HI), Canada</v>
          </cell>
        </row>
        <row r="86">
          <cell r="B86" t="str">
            <v>04681FAA2</v>
          </cell>
          <cell r="C86" t="str">
            <v>Earthquake ; Named Storm / U.S., Puerto Rico, U.S. VI</v>
          </cell>
        </row>
        <row r="87">
          <cell r="B87" t="str">
            <v>04681FAB0</v>
          </cell>
          <cell r="C87" t="str">
            <v>Earthquake ; Named Storm / U.S., Puerto Rico, U.S. VI</v>
          </cell>
        </row>
        <row r="88">
          <cell r="B88" t="str">
            <v>83427GAA3</v>
          </cell>
          <cell r="C88" t="str">
            <v>Earthquake ; Named Storm / U.S.</v>
          </cell>
        </row>
        <row r="89">
          <cell r="B89" t="str">
            <v>35087TAD0</v>
          </cell>
          <cell r="C89" t="str">
            <v>All Natural Perils / U.S.</v>
          </cell>
        </row>
        <row r="90">
          <cell r="B90" t="str">
            <v>35087TAE8</v>
          </cell>
          <cell r="C90" t="str">
            <v>All Natural Perils / U.S.</v>
          </cell>
        </row>
        <row r="91">
          <cell r="B91" t="str">
            <v>35087TAF5</v>
          </cell>
          <cell r="C91" t="str">
            <v>All Natural Perils / U.S.</v>
          </cell>
        </row>
        <row r="92">
          <cell r="B92" t="str">
            <v>35087TAG3</v>
          </cell>
          <cell r="C92" t="str">
            <v>All Natural Perils / U.S.</v>
          </cell>
        </row>
        <row r="93">
          <cell r="B93" t="str">
            <v>35087TAH1</v>
          </cell>
          <cell r="C93" t="str">
            <v>All Natural Perils / U.S.</v>
          </cell>
        </row>
        <row r="94">
          <cell r="B94" t="str">
            <v>49407QAJ7</v>
          </cell>
          <cell r="C94" t="str">
            <v>Earthquake ; Named Storm / U.S., Canada, Puerto Rico, U.S. VI</v>
          </cell>
        </row>
        <row r="95">
          <cell r="B95" t="str">
            <v>49407QAK4</v>
          </cell>
          <cell r="C95" t="str">
            <v>Earthquake ; Named Storm / U.S., Canada, Puerto Rico, U.S. VI</v>
          </cell>
        </row>
        <row r="96">
          <cell r="B96" t="str">
            <v>49407QAL2</v>
          </cell>
          <cell r="C96" t="str">
            <v>Earthquake ; Named Storm / U.S., Canada, Puerto Rico, U.S. VI</v>
          </cell>
        </row>
        <row r="97">
          <cell r="B97" t="str">
            <v>49407QAM0</v>
          </cell>
          <cell r="C97" t="str">
            <v>Earthquake ; Named Storm / U.S., Canada, Puerto Rico, U.S. VI</v>
          </cell>
        </row>
        <row r="98">
          <cell r="B98" t="str">
            <v>49407QAN8</v>
          </cell>
          <cell r="C98" t="str">
            <v>Earthquake ; Named Storm / U.S., Canada, Puerto Rico, U.S. VI</v>
          </cell>
        </row>
        <row r="99">
          <cell r="B99" t="str">
            <v>49407QAP3</v>
          </cell>
          <cell r="C99" t="str">
            <v>Earthquake ; Named Storm / U.S., Canada, Puerto Rico, U.S. VI</v>
          </cell>
        </row>
        <row r="100">
          <cell r="B100" t="str">
            <v>49407QAQ1</v>
          </cell>
          <cell r="C100" t="str">
            <v>Earthquake ; Named Storm / U.S., Canada, Puerto Rico, U.S. VI</v>
          </cell>
        </row>
        <row r="101">
          <cell r="B101" t="str">
            <v>49407QAR9</v>
          </cell>
          <cell r="C101" t="str">
            <v>Earthquake ; Named Storm / U.S., Canada, Puerto Rico, U.S. VI</v>
          </cell>
        </row>
        <row r="102">
          <cell r="B102" t="str">
            <v>49407QAG3</v>
          </cell>
          <cell r="C102" t="str">
            <v>Earthquake ; Named Storm / U.S., Canada, Puerto Rico, U.S. VI</v>
          </cell>
        </row>
        <row r="103">
          <cell r="B103" t="str">
            <v>49407QAH1</v>
          </cell>
          <cell r="C103" t="str">
            <v>Earthquake ; Named Storm / U.S., Canada, Puerto Rico, U.S. VI</v>
          </cell>
        </row>
        <row r="104">
          <cell r="B104" t="str">
            <v>49407PAH3</v>
          </cell>
          <cell r="C104" t="str">
            <v>NULL</v>
          </cell>
        </row>
        <row r="105">
          <cell r="B105" t="str">
            <v>49407PAJ9</v>
          </cell>
          <cell r="C105" t="str">
            <v>NULL</v>
          </cell>
        </row>
        <row r="106">
          <cell r="B106" t="str">
            <v>49407PAK6</v>
          </cell>
          <cell r="C106" t="str">
            <v>NULL</v>
          </cell>
        </row>
        <row r="107">
          <cell r="B107" t="str">
            <v>76870YAG7</v>
          </cell>
          <cell r="C107" t="str">
            <v>All Natural Perils / U.S., Canada</v>
          </cell>
        </row>
        <row r="108">
          <cell r="B108" t="str">
            <v>76870YAF9</v>
          </cell>
          <cell r="C108" t="str">
            <v>All Natural Perils / U.S., Canada</v>
          </cell>
        </row>
        <row r="109">
          <cell r="B109" t="str">
            <v>63901CAD3</v>
          </cell>
          <cell r="C109" t="str">
            <v>Named Storm / Alabama, Florida, Louisiana, Mississippi, Texas</v>
          </cell>
        </row>
        <row r="110">
          <cell r="B110" t="str">
            <v>54180CAA0</v>
          </cell>
          <cell r="C110" t="str">
            <v>Named Storm ; Earthquake / U.S., Canada, Puerto Rico, U.S. VI</v>
          </cell>
        </row>
        <row r="111">
          <cell r="B111" t="str">
            <v>36779CAF3</v>
          </cell>
          <cell r="C111" t="str">
            <v>Named Storm / Alabama, Louisiana, Mississippi, New York, North Carolina, South Carolina, Texas, Virginia</v>
          </cell>
        </row>
        <row r="112">
          <cell r="B112" t="str">
            <v>68252UAA3</v>
          </cell>
          <cell r="C112" t="str">
            <v>Named Storm / Connecticut, Massachusetts, New York, New Jersey, Rhode Island</v>
          </cell>
        </row>
        <row r="113">
          <cell r="B113" t="str">
            <v>03851YAA7</v>
          </cell>
          <cell r="C113" t="str">
            <v>Earthquake ; Named Storm / U.S., Canada</v>
          </cell>
        </row>
        <row r="114">
          <cell r="B114" t="str">
            <v>04227FAE5</v>
          </cell>
          <cell r="C114" t="str">
            <v>Named Storm / Florida</v>
          </cell>
        </row>
        <row r="115">
          <cell r="B115" t="str">
            <v>89141WAF9</v>
          </cell>
          <cell r="C115" t="str">
            <v>Earthquake / California</v>
          </cell>
        </row>
        <row r="116">
          <cell r="B116" t="str">
            <v>89141WAG7</v>
          </cell>
          <cell r="C116" t="str">
            <v>Earthquake / U.S.</v>
          </cell>
        </row>
        <row r="117">
          <cell r="B117" t="str">
            <v>89141WAH5</v>
          </cell>
          <cell r="C117" t="str">
            <v>Earthquake / California</v>
          </cell>
        </row>
        <row r="118">
          <cell r="B118" t="str">
            <v>89141WAJ1</v>
          </cell>
          <cell r="C118" t="str">
            <v>Earthquake / California</v>
          </cell>
        </row>
        <row r="119">
          <cell r="B119" t="str">
            <v>89141WAK8</v>
          </cell>
          <cell r="C119" t="str">
            <v>Earthquake / California</v>
          </cell>
        </row>
        <row r="120">
          <cell r="B120" t="str">
            <v>89141WAL6</v>
          </cell>
          <cell r="C120" t="str">
            <v>Earthquake / California</v>
          </cell>
        </row>
        <row r="121">
          <cell r="B121" t="str">
            <v>89141WAM4</v>
          </cell>
          <cell r="C121" t="str">
            <v>Earthquake / California</v>
          </cell>
        </row>
        <row r="122">
          <cell r="B122" t="str">
            <v>89141WAN2</v>
          </cell>
          <cell r="C122" t="str">
            <v>Earthquake / California</v>
          </cell>
        </row>
        <row r="123">
          <cell r="B123" t="str">
            <v>31771QAB0</v>
          </cell>
          <cell r="C123" t="str">
            <v>Earthquake ; Named Storm / U.S., Puerto Rico, U.S. VI</v>
          </cell>
        </row>
        <row r="124">
          <cell r="B124" t="str">
            <v>XS2799645515</v>
          </cell>
          <cell r="C124" t="str">
            <v>Earthquake / Mexico</v>
          </cell>
        </row>
        <row r="125">
          <cell r="B125" t="str">
            <v>XS2799645606</v>
          </cell>
          <cell r="C125" t="str">
            <v>Earthquake / Mexico</v>
          </cell>
        </row>
        <row r="126">
          <cell r="B126" t="str">
            <v>XS2799645788</v>
          </cell>
          <cell r="C126" t="str">
            <v>Atlantic Named Storm / Mexico</v>
          </cell>
        </row>
        <row r="127">
          <cell r="B127" t="str">
            <v>XS2809694198</v>
          </cell>
          <cell r="C127" t="str">
            <v>Pacific Named Storm / Mexico</v>
          </cell>
        </row>
        <row r="128">
          <cell r="B128" t="str">
            <v>88577CAC5</v>
          </cell>
          <cell r="C128" t="str">
            <v>Named Storm / Northeast U.S.</v>
          </cell>
        </row>
        <row r="129">
          <cell r="B129" t="str">
            <v>88577CAD3</v>
          </cell>
          <cell r="C129" t="str">
            <v>Named Storm / Alabama, Louisiana, Mississippi, Texas</v>
          </cell>
        </row>
        <row r="130">
          <cell r="B130" t="str">
            <v>88577CAG6</v>
          </cell>
          <cell r="C130" t="str">
            <v>Named Storm / Eastern U.S ; Earthquake / U.S., Canada</v>
          </cell>
        </row>
        <row r="131">
          <cell r="B131" t="str">
            <v>31969UAA5</v>
          </cell>
          <cell r="C131" t="str">
            <v>Named Storm ; Severe Thunderstorm / Florida</v>
          </cell>
        </row>
        <row r="132">
          <cell r="B132" t="str">
            <v>54307MAA6</v>
          </cell>
          <cell r="C132" t="str">
            <v>Named Storm / North Carolina</v>
          </cell>
        </row>
        <row r="133">
          <cell r="B133" t="str">
            <v>92335TAA7</v>
          </cell>
          <cell r="C133" t="str">
            <v>NULL</v>
          </cell>
        </row>
        <row r="134">
          <cell r="B134" t="str">
            <v>92335TAB5</v>
          </cell>
          <cell r="C134" t="str">
            <v>NULL</v>
          </cell>
        </row>
        <row r="135">
          <cell r="B135" t="str">
            <v>92335TAC3</v>
          </cell>
          <cell r="C135" t="str">
            <v>Earthquake / U.S.</v>
          </cell>
        </row>
        <row r="136">
          <cell r="B136" t="str">
            <v>92335TAD1</v>
          </cell>
          <cell r="C136" t="str">
            <v>Earthquake / U.S.</v>
          </cell>
        </row>
        <row r="137">
          <cell r="B137" t="str">
            <v>92335TAE9</v>
          </cell>
          <cell r="C137" t="str">
            <v>Earthquake / U.S.</v>
          </cell>
        </row>
        <row r="138">
          <cell r="B138" t="str">
            <v>XS3019877813</v>
          </cell>
          <cell r="C138" t="str">
            <v>Flood / United Kingdom</v>
          </cell>
        </row>
        <row r="139">
          <cell r="B139" t="str">
            <v>74528TAA2</v>
          </cell>
          <cell r="C139" t="str">
            <v>Earthquake ; Named Storm / Puerto Rico</v>
          </cell>
        </row>
        <row r="140">
          <cell r="B140" t="str">
            <v>092168AB9</v>
          </cell>
          <cell r="C140" t="str">
            <v>Typhoon / Japan ; Earthquake / Japan, China, India</v>
          </cell>
        </row>
        <row r="141">
          <cell r="B141" t="str">
            <v>177510AQ7</v>
          </cell>
          <cell r="C141" t="str">
            <v>Named Storm / Southeast U.S.</v>
          </cell>
        </row>
        <row r="142">
          <cell r="B142" t="str">
            <v>177510AR5</v>
          </cell>
          <cell r="C142" t="str">
            <v>Named Storm / Hawaii</v>
          </cell>
        </row>
        <row r="143">
          <cell r="B143" t="str">
            <v>177510AL8</v>
          </cell>
          <cell r="C143" t="str">
            <v>Named Storm / Northeast U.S.</v>
          </cell>
        </row>
        <row r="144">
          <cell r="B144" t="str">
            <v>177510AM6</v>
          </cell>
          <cell r="C144" t="str">
            <v>Named Storm / Northeast U.S.</v>
          </cell>
        </row>
        <row r="145">
          <cell r="B145" t="str">
            <v>177510AN4</v>
          </cell>
          <cell r="C145" t="str">
            <v>Named Storm / Southeast U.S.</v>
          </cell>
        </row>
        <row r="146">
          <cell r="B146" t="str">
            <v>177510AP9</v>
          </cell>
          <cell r="C146" t="str">
            <v>Named Storm / Southeast U.S.</v>
          </cell>
        </row>
        <row r="147">
          <cell r="B147" t="str">
            <v>096003AA6</v>
          </cell>
          <cell r="C147" t="str">
            <v>Named Storm / North Carolina</v>
          </cell>
        </row>
        <row r="148">
          <cell r="B148" t="str">
            <v>096003AB4</v>
          </cell>
          <cell r="C148" t="str">
            <v>Named Storm / North Carolina</v>
          </cell>
        </row>
        <row r="149">
          <cell r="B149" t="str">
            <v>04227FAF2</v>
          </cell>
          <cell r="C149" t="str">
            <v>Named Storm / Florida</v>
          </cell>
        </row>
        <row r="150">
          <cell r="B150" t="str">
            <v>13947LAG7</v>
          </cell>
          <cell r="C150" t="str">
            <v>Named Storm / North Carolina</v>
          </cell>
        </row>
        <row r="151">
          <cell r="B151" t="str">
            <v>07304LAA9</v>
          </cell>
          <cell r="C151" t="str">
            <v>Named Storm / Louisiana</v>
          </cell>
        </row>
        <row r="152">
          <cell r="B152" t="str">
            <v>07304LAB7</v>
          </cell>
          <cell r="C152" t="str">
            <v>Named Storm / Louisiana</v>
          </cell>
        </row>
        <row r="153">
          <cell r="B153" t="str">
            <v>74639NAD5</v>
          </cell>
          <cell r="C153" t="str">
            <v>Named Storm / Florida, South Carolina</v>
          </cell>
        </row>
        <row r="154">
          <cell r="B154" t="str">
            <v>74639NAE3</v>
          </cell>
          <cell r="C154" t="str">
            <v>Named Storm / Florida, South Carolina</v>
          </cell>
        </row>
        <row r="155">
          <cell r="B155" t="str">
            <v>74639NAC7</v>
          </cell>
          <cell r="C155" t="str">
            <v>Named Storm / Florida, South Carolina</v>
          </cell>
        </row>
        <row r="156">
          <cell r="B156" t="str">
            <v>74639NAB9</v>
          </cell>
          <cell r="C156" t="str">
            <v>Named Storm / Florida, South Carolina</v>
          </cell>
        </row>
        <row r="157">
          <cell r="B157" t="str">
            <v>74639NAA1</v>
          </cell>
          <cell r="C157" t="str">
            <v>Named Storm / Florida, South Carolina</v>
          </cell>
        </row>
        <row r="158">
          <cell r="B158" t="str">
            <v>62983QAN3</v>
          </cell>
          <cell r="C158" t="str">
            <v>Earthquake / Japan</v>
          </cell>
        </row>
        <row r="159">
          <cell r="B159" t="str">
            <v>62983QAP8</v>
          </cell>
          <cell r="C159" t="str">
            <v>Earthquake / Japan</v>
          </cell>
        </row>
        <row r="160">
          <cell r="B160" t="str">
            <v>62984JAC2</v>
          </cell>
          <cell r="C160" t="str">
            <v>Earthquake / Japan</v>
          </cell>
        </row>
        <row r="161">
          <cell r="B161" t="str">
            <v>62984JAD0</v>
          </cell>
          <cell r="C161" t="str">
            <v>Earthquake / Japan</v>
          </cell>
        </row>
        <row r="162">
          <cell r="B162" t="str">
            <v>62984JAA6</v>
          </cell>
          <cell r="C162" t="str">
            <v>Earthquake / Japan</v>
          </cell>
        </row>
        <row r="163">
          <cell r="B163" t="str">
            <v>62984JAB4</v>
          </cell>
          <cell r="C163" t="str">
            <v>Earthquake / Japan</v>
          </cell>
        </row>
        <row r="164">
          <cell r="B164" t="str">
            <v>049207AB9</v>
          </cell>
          <cell r="C164" t="str">
            <v>Earthquake / U.S., Canada, Puerto Rico, U.S. VI ; Named Storm / U.S., Puerto Rico, U.S. VI</v>
          </cell>
        </row>
        <row r="165">
          <cell r="B165" t="str">
            <v>XS2411652642</v>
          </cell>
          <cell r="C165" t="str">
            <v>Windstorm ; Hail / France</v>
          </cell>
        </row>
        <row r="166">
          <cell r="B166" t="str">
            <v>XS2411653293</v>
          </cell>
          <cell r="C166" t="str">
            <v>Windstorm / France</v>
          </cell>
        </row>
        <row r="167">
          <cell r="B167" t="str">
            <v>428270AA0</v>
          </cell>
          <cell r="C167" t="str">
            <v>Windstorm / France</v>
          </cell>
        </row>
        <row r="168">
          <cell r="B168" t="str">
            <v>428270AB8</v>
          </cell>
          <cell r="C168" t="str">
            <v>Windstorm / France</v>
          </cell>
        </row>
        <row r="169">
          <cell r="B169" t="str">
            <v>09610NAA0</v>
          </cell>
          <cell r="C169" t="str">
            <v>Named Storm ; Severe Thunderstorm / Texas</v>
          </cell>
        </row>
        <row r="170">
          <cell r="B170" t="str">
            <v>09610NAB8</v>
          </cell>
          <cell r="C170" t="str">
            <v>Named Storm ; Severe Thunderstorm / Texas</v>
          </cell>
        </row>
        <row r="171">
          <cell r="B171" t="str">
            <v>09610NAC6</v>
          </cell>
          <cell r="C171" t="str">
            <v>Named Storm ; Severe Thunderstorm / Texas</v>
          </cell>
        </row>
        <row r="172">
          <cell r="B172" t="str">
            <v>09610NAD4</v>
          </cell>
          <cell r="C172" t="str">
            <v>Named Storm ; Severe Thunderstorm ; Wildfire / Texas</v>
          </cell>
        </row>
        <row r="173">
          <cell r="B173" t="str">
            <v>42815KAC6</v>
          </cell>
          <cell r="C173" t="str">
            <v>Named Storm / Florida</v>
          </cell>
        </row>
        <row r="174">
          <cell r="B174" t="str">
            <v>42815KAD4</v>
          </cell>
          <cell r="C174" t="str">
            <v>Named Storm / Florida</v>
          </cell>
        </row>
        <row r="175">
          <cell r="B175" t="str">
            <v>42815KAB8</v>
          </cell>
          <cell r="C175" t="str">
            <v>Named Storm / Florida</v>
          </cell>
        </row>
        <row r="176">
          <cell r="B176" t="str">
            <v>44914CAD8</v>
          </cell>
          <cell r="C176" t="str">
            <v>Earthquake / U.S., Canada, Puerto Rico, U.S. VI ; Named Storm / U.S., Puerto Rico, U.S. VI</v>
          </cell>
        </row>
        <row r="177">
          <cell r="B177" t="str">
            <v>36779CAT3</v>
          </cell>
          <cell r="C177" t="str">
            <v xml:space="preserve">Named Storm / Louisiana, Mississippi, South Carolina, Texas </v>
          </cell>
        </row>
        <row r="178">
          <cell r="B178" t="str">
            <v>45870GAA4</v>
          </cell>
          <cell r="C178" t="str">
            <v>Named Storm / Florida, Georgia, South Carolina, North Carolina</v>
          </cell>
        </row>
        <row r="179">
          <cell r="B179" t="str">
            <v>45870GAC0</v>
          </cell>
          <cell r="C179" t="str">
            <v>Named Storm / Florida, Georgia, South Carolina, North Carolina</v>
          </cell>
        </row>
        <row r="180">
          <cell r="B180" t="str">
            <v>45870GAE6</v>
          </cell>
          <cell r="C180" t="str">
            <v>Named Storm / Florida, Georgia, South Carolina, North Carolina</v>
          </cell>
        </row>
        <row r="181">
          <cell r="B181" t="str">
            <v>45870GAF3</v>
          </cell>
          <cell r="C181" t="str">
            <v>Named Storm / Florida, Georgia, South Carolina</v>
          </cell>
        </row>
        <row r="182">
          <cell r="B182" t="str">
            <v>45870GAB2</v>
          </cell>
          <cell r="C182" t="str">
            <v>Named Storm / Florida, Georgia, South Carolina, North Carolina</v>
          </cell>
        </row>
        <row r="183">
          <cell r="B183" t="str">
            <v>45870GAD8</v>
          </cell>
          <cell r="C183" t="str">
            <v>Named Storm / Florida, Georgia, South Carolina, North Carolina</v>
          </cell>
        </row>
        <row r="184">
          <cell r="B184" t="str">
            <v>45833UAJ0</v>
          </cell>
          <cell r="C184" t="str">
            <v>Named Storm / Florida, Georgia, South Carolina</v>
          </cell>
        </row>
        <row r="185">
          <cell r="B185" t="str">
            <v>45833UAK7</v>
          </cell>
          <cell r="C185" t="str">
            <v>Named Storm / Florida, Georgia, South Carolina</v>
          </cell>
        </row>
        <row r="186">
          <cell r="B186" t="str">
            <v>45833UAL5</v>
          </cell>
          <cell r="C186" t="str">
            <v>Named Storm / Florida, Georgia, South Carolina</v>
          </cell>
        </row>
        <row r="187">
          <cell r="B187" t="str">
            <v>45833UAM3</v>
          </cell>
          <cell r="C187" t="str">
            <v>Named Storm / Florida, Georgia, South Carolina</v>
          </cell>
        </row>
        <row r="188">
          <cell r="B188" t="str">
            <v>675951AA5</v>
          </cell>
          <cell r="C188" t="str">
            <v>Earthquake ; Named Storm / U.S., Canada, Puerto Rico, U.S. VI</v>
          </cell>
        </row>
        <row r="189">
          <cell r="B189" t="str">
            <v>675951AB3</v>
          </cell>
          <cell r="C189" t="str">
            <v>Earthquake ; Named Storm / U.S., Canada, Puerto Rico, U.S. VI</v>
          </cell>
        </row>
        <row r="190">
          <cell r="B190" t="str">
            <v>675951AC1</v>
          </cell>
          <cell r="C190" t="str">
            <v>Earthquake ; Named Storm / U.S., Canada, Puerto Rico, U.S. VI</v>
          </cell>
        </row>
        <row r="191">
          <cell r="B191" t="str">
            <v>07304LAC5</v>
          </cell>
          <cell r="C191" t="str">
            <v>Named Storm / Louisiana</v>
          </cell>
        </row>
        <row r="192">
          <cell r="B192" t="str">
            <v>07304LAD3</v>
          </cell>
          <cell r="C192" t="str">
            <v>Named Storm / Louisiana</v>
          </cell>
        </row>
        <row r="193">
          <cell r="B193" t="str">
            <v>07304LAE1</v>
          </cell>
          <cell r="C193" t="str">
            <v>Named Storm / Louisiana</v>
          </cell>
        </row>
        <row r="194">
          <cell r="B194" t="str">
            <v>54143LAB4</v>
          </cell>
          <cell r="C194" t="str">
            <v>Earthquake / U.S. (excl. AK, HI)</v>
          </cell>
        </row>
        <row r="195">
          <cell r="B195" t="str">
            <v>547915AA6</v>
          </cell>
          <cell r="C195" t="str">
            <v>Named Storm / Northeast U.S., Ohio</v>
          </cell>
        </row>
        <row r="196">
          <cell r="B196" t="str">
            <v>547915AB4</v>
          </cell>
          <cell r="C196" t="str">
            <v>Named Storm / Northeast U.S., Ohio</v>
          </cell>
        </row>
        <row r="197">
          <cell r="B197" t="str">
            <v>54930CAA3</v>
          </cell>
          <cell r="C197" t="str">
            <v>Wildfire ; Fire Following Earthquake / California</v>
          </cell>
        </row>
        <row r="198">
          <cell r="B198" t="str">
            <v>577092AN9</v>
          </cell>
          <cell r="C198" t="str">
            <v>Earthquake / U.S., Canada ; Named Storm / U.S., Puerto Rico, U.S. VI</v>
          </cell>
        </row>
        <row r="199">
          <cell r="B199" t="str">
            <v>577092AW9</v>
          </cell>
          <cell r="C199" t="str">
            <v>Earthquake / U.S., Canada ; Named Storm / U.S., Canada</v>
          </cell>
        </row>
        <row r="200">
          <cell r="B200" t="str">
            <v>577092AX7</v>
          </cell>
          <cell r="C200" t="str">
            <v>Earthquake / U.S., Canada ; Named Storm / U.S., Canada</v>
          </cell>
        </row>
        <row r="201">
          <cell r="B201" t="str">
            <v>577092AY5</v>
          </cell>
          <cell r="C201" t="str">
            <v>Earthquake ; Named Storm / U.S., Canada</v>
          </cell>
        </row>
        <row r="202">
          <cell r="B202" t="str">
            <v>49835JAB2</v>
          </cell>
          <cell r="C202" t="str">
            <v>Earthquake / Japan</v>
          </cell>
        </row>
        <row r="203">
          <cell r="B203" t="str">
            <v>49835JAA4</v>
          </cell>
          <cell r="C203" t="str">
            <v>Earthquake / Japan</v>
          </cell>
        </row>
        <row r="204">
          <cell r="B204" t="str">
            <v>89009PAA6</v>
          </cell>
          <cell r="C204" t="str">
            <v>Typhoon ; Flood / Japan</v>
          </cell>
        </row>
        <row r="205">
          <cell r="B205" t="str">
            <v>89009PAB4</v>
          </cell>
          <cell r="C205" t="str">
            <v>Typhoon ; Flood / Japan</v>
          </cell>
        </row>
        <row r="206">
          <cell r="B206" t="str">
            <v>89009PAE8</v>
          </cell>
          <cell r="C206" t="str">
            <v>Typhoon ; Flood / Japan</v>
          </cell>
        </row>
        <row r="207">
          <cell r="B207" t="str">
            <v>89009PAF5</v>
          </cell>
          <cell r="C207" t="str">
            <v>Typhoon ; Flood ; Earthquake / Japan</v>
          </cell>
        </row>
        <row r="208">
          <cell r="B208" t="str">
            <v>63901CAA9</v>
          </cell>
          <cell r="C208" t="str">
            <v>Named Storm / Florida, Louisiana</v>
          </cell>
        </row>
        <row r="209">
          <cell r="B209" t="str">
            <v>63901CAB7</v>
          </cell>
          <cell r="C209" t="str">
            <v>Named Storm / Florida, Louisiana</v>
          </cell>
        </row>
        <row r="210">
          <cell r="B210" t="str">
            <v>63901CAC5</v>
          </cell>
          <cell r="C210" t="str">
            <v>Named Storm / Alabama, Florida, Louisiana, Mississippi, Texas</v>
          </cell>
        </row>
        <row r="211">
          <cell r="B211" t="str">
            <v>63901CAE1</v>
          </cell>
          <cell r="C211" t="str">
            <v>Named Storm / Alabama, Florida, Louisiana, Mississippi, Texas</v>
          </cell>
        </row>
        <row r="212">
          <cell r="B212" t="str">
            <v>159873AA6</v>
          </cell>
          <cell r="C212" t="str">
            <v>Named Storm / Massachusetts, New Jersey, New York, South Carolina</v>
          </cell>
        </row>
        <row r="213">
          <cell r="B213" t="str">
            <v>367927AA8</v>
          </cell>
          <cell r="C213" t="str">
            <v>Named Storm / Alabama, Louisiana, Mississippi, New York, North Carolina, South Carolina, Texas, Virginia</v>
          </cell>
        </row>
        <row r="214">
          <cell r="B214" t="str">
            <v>36779CAC0</v>
          </cell>
          <cell r="C214" t="str">
            <v>Named Storm / Alabama, Louisiana, Mississippi, North Carolina, South Carolina, Texas</v>
          </cell>
        </row>
        <row r="215">
          <cell r="B215" t="str">
            <v>36779CAD8</v>
          </cell>
          <cell r="C215" t="str">
            <v>Named Storm / Alabama, Louisiana, Mississippi, North Carolina, South Carolina, Texas</v>
          </cell>
        </row>
        <row r="216">
          <cell r="B216" t="str">
            <v>574591AA1</v>
          </cell>
          <cell r="C216" t="str">
            <v>Earthquake / Chile, Peru, Bolivia, Argentina</v>
          </cell>
        </row>
        <row r="217">
          <cell r="B217" t="str">
            <v>62865LAD9</v>
          </cell>
          <cell r="C217" t="str">
            <v>Earthquake ; Named Storm / U.S., Canada, Caribbean</v>
          </cell>
        </row>
        <row r="218">
          <cell r="B218" t="str">
            <v>36779CAG1</v>
          </cell>
          <cell r="C218" t="str">
            <v>Named Storm / Alabama, Louisiana, Mississippi, New York, North Carolina, South Carolina, Texas, Virginia</v>
          </cell>
        </row>
        <row r="219">
          <cell r="B219" t="str">
            <v>39526JAA9</v>
          </cell>
          <cell r="C219" t="str">
            <v>Fire ; Fire Following Earthquake / California</v>
          </cell>
        </row>
        <row r="220">
          <cell r="B220" t="str">
            <v>XS3075449036</v>
          </cell>
          <cell r="C220" t="str">
            <v>Earthquake / Italy ; Windstorm / Europe</v>
          </cell>
        </row>
        <row r="221">
          <cell r="B221" t="str">
            <v>XS3075450471</v>
          </cell>
          <cell r="C221" t="str">
            <v>Earthquake / Italy</v>
          </cell>
        </row>
        <row r="222">
          <cell r="B222" t="str">
            <v>53625HAA4</v>
          </cell>
          <cell r="C222" t="str">
            <v>Earthquake / Japan, Germany</v>
          </cell>
        </row>
        <row r="223">
          <cell r="B223" t="str">
            <v>16140YAC6</v>
          </cell>
          <cell r="C223" t="str">
            <v>Named Storm / Alabama, Florida, Mississippi, New Jersey, New York, Rhode Island, Texas</v>
          </cell>
        </row>
        <row r="224">
          <cell r="B224" t="str">
            <v>16140YAB8</v>
          </cell>
          <cell r="C224" t="str">
            <v>Named Storm / Alabama, Florida, Mississippi, New Jersey, New York, Rhode Island, Texas</v>
          </cell>
        </row>
        <row r="225">
          <cell r="B225" t="str">
            <v>16140YAA0</v>
          </cell>
          <cell r="C225" t="str">
            <v>Named Storm / Alabama, Florida, Mississippi, New Jersey, New York, Rhode Island, Texas</v>
          </cell>
        </row>
        <row r="226">
          <cell r="B226" t="str">
            <v>44914CAC0</v>
          </cell>
          <cell r="C226" t="str">
            <v>Earthquake / U.S., Canada, Puerto Rico, U.S. VI ; Named Storm / U.S., Puerto Rico, U.S. VI</v>
          </cell>
        </row>
        <row r="227">
          <cell r="B227" t="str">
            <v>203235AB2</v>
          </cell>
          <cell r="C227" t="str">
            <v>Named Storm / Northeast U.S.</v>
          </cell>
        </row>
        <row r="228">
          <cell r="B228" t="str">
            <v>30014LAM6</v>
          </cell>
          <cell r="C228" t="str">
            <v>Named Storm / Florida</v>
          </cell>
        </row>
        <row r="229">
          <cell r="B229" t="str">
            <v>30014LAN4</v>
          </cell>
          <cell r="C229" t="str">
            <v>Named Storm / Florida</v>
          </cell>
        </row>
        <row r="230">
          <cell r="B230" t="str">
            <v>30014LAP9</v>
          </cell>
          <cell r="C230" t="str">
            <v>Named Storm / Florida</v>
          </cell>
        </row>
        <row r="231">
          <cell r="B231" t="str">
            <v>30014LAT1</v>
          </cell>
          <cell r="C231" t="str">
            <v>Named Storm / Florida</v>
          </cell>
        </row>
        <row r="232">
          <cell r="B232" t="str">
            <v>30014LAU8</v>
          </cell>
          <cell r="C232" t="str">
            <v>Named Storm / Florida</v>
          </cell>
        </row>
        <row r="233">
          <cell r="B233" t="str">
            <v>30014LAV6</v>
          </cell>
          <cell r="C233" t="str">
            <v>Named Storm / Florida</v>
          </cell>
        </row>
        <row r="234">
          <cell r="B234" t="str">
            <v>30014LAW4</v>
          </cell>
          <cell r="C234" t="str">
            <v>Named Storm / Florida</v>
          </cell>
        </row>
        <row r="235">
          <cell r="B235" t="str">
            <v>33774EAA2</v>
          </cell>
          <cell r="C235" t="str">
            <v>Named Storm / Texas</v>
          </cell>
        </row>
        <row r="236">
          <cell r="B236" t="str">
            <v>62426LAA7</v>
          </cell>
          <cell r="C236" t="str">
            <v>Earthquake ; Named Storm ; Severe Thunderstorm ; Winter Storm / U.S.</v>
          </cell>
        </row>
        <row r="237">
          <cell r="B237" t="str">
            <v>62865LAE7</v>
          </cell>
          <cell r="C237" t="str">
            <v>Earthquake / U.S., Canada, Puerto Rico, U.S. VI ; Named Storm / U.S., Puerto Rico, U.S. VI</v>
          </cell>
        </row>
        <row r="238">
          <cell r="B238" t="str">
            <v>666842AF6</v>
          </cell>
          <cell r="C238" t="str">
            <v>Earthquake / U.S., Canada ; Named Storm / U.S., Puerto Rico, U.S. VI</v>
          </cell>
        </row>
        <row r="239">
          <cell r="B239" t="str">
            <v>67550LAA4</v>
          </cell>
          <cell r="C239" t="str">
            <v>Named Storm ; Severe Thunderstorm ; Winter Storm / New York</v>
          </cell>
        </row>
        <row r="240">
          <cell r="B240" t="str">
            <v>69664FAA6</v>
          </cell>
          <cell r="C240" t="str">
            <v>Named Storm / Florida</v>
          </cell>
        </row>
        <row r="241">
          <cell r="B241" t="str">
            <v>975660AA9</v>
          </cell>
          <cell r="C241" t="str">
            <v>Named Storm / Florida</v>
          </cell>
        </row>
        <row r="242">
          <cell r="B242" t="str">
            <v>975660AB7</v>
          </cell>
          <cell r="C242" t="str">
            <v>Named Storm / Florida</v>
          </cell>
        </row>
        <row r="243">
          <cell r="B243" t="str">
            <v>975660AC5</v>
          </cell>
          <cell r="C243" t="str">
            <v>Named Storm / Florida</v>
          </cell>
        </row>
        <row r="244">
          <cell r="B244" t="str">
            <v>69664FAB4</v>
          </cell>
          <cell r="C244" t="str">
            <v>Named Storm / Florida</v>
          </cell>
        </row>
        <row r="245">
          <cell r="B245" t="str">
            <v>00485YAD1</v>
          </cell>
          <cell r="C245" t="str">
            <v>Earthquake / U.S., Mexico</v>
          </cell>
        </row>
        <row r="246">
          <cell r="B246" t="str">
            <v>00485YAE9</v>
          </cell>
          <cell r="C246" t="str">
            <v>Earthquake / U.S., Canada, Mexico</v>
          </cell>
        </row>
        <row r="247">
          <cell r="B247" t="str">
            <v>00485YAF6</v>
          </cell>
          <cell r="C247" t="str">
            <v>Earthquake / U.S., Canada, Mexico</v>
          </cell>
        </row>
        <row r="248">
          <cell r="B248" t="str">
            <v>91734PAF3</v>
          </cell>
          <cell r="C248" t="str">
            <v>Earthquake / California</v>
          </cell>
        </row>
        <row r="249">
          <cell r="B249" t="str">
            <v>91734PAG1</v>
          </cell>
          <cell r="C249" t="str">
            <v>Earthquake / California</v>
          </cell>
        </row>
        <row r="250">
          <cell r="B250" t="str">
            <v>91734PAH9</v>
          </cell>
          <cell r="C250" t="str">
            <v>Earthquake / California</v>
          </cell>
        </row>
        <row r="251">
          <cell r="B251" t="str">
            <v>90323WAN0</v>
          </cell>
          <cell r="C251" t="str">
            <v>Earthquake / California</v>
          </cell>
        </row>
        <row r="252">
          <cell r="B252" t="str">
            <v>90323WAP5</v>
          </cell>
          <cell r="C252" t="str">
            <v>Earthquake / California</v>
          </cell>
        </row>
        <row r="253">
          <cell r="B253" t="str">
            <v>90323WAQ3</v>
          </cell>
          <cell r="C253" t="str">
            <v>Earthquake / California</v>
          </cell>
        </row>
        <row r="254">
          <cell r="B254" t="str">
            <v>90323WAL4</v>
          </cell>
          <cell r="C254" t="str">
            <v>Earthquake / California</v>
          </cell>
        </row>
        <row r="255">
          <cell r="B255" t="str">
            <v>90323WAM2</v>
          </cell>
          <cell r="C255" t="str">
            <v>Earthquake / California</v>
          </cell>
        </row>
        <row r="256">
          <cell r="B256" t="str">
            <v>90323WAR1</v>
          </cell>
          <cell r="C256" t="str">
            <v>Earthquake / California</v>
          </cell>
        </row>
        <row r="257">
          <cell r="B257" t="str">
            <v>613752AB0</v>
          </cell>
          <cell r="C257" t="str">
            <v>Earthquake / U.S., Canada, Puerto Rico, U.S. VI ; Named Storm / U.S., Puerto Rico, U.S. VI</v>
          </cell>
        </row>
        <row r="258">
          <cell r="B258" t="str">
            <v>XS2630523749</v>
          </cell>
          <cell r="C258" t="str">
            <v>Earthquake ; Landslide ; Hydrothermal Activity ; Volcanic Activity ; Tsunami ; Storm ; Flood / New Zealand</v>
          </cell>
        </row>
        <row r="259">
          <cell r="B259" t="str">
            <v>33975CAM7</v>
          </cell>
          <cell r="C259" t="str">
            <v>Flood / U.S., Puerto Rico, U.S. VI</v>
          </cell>
        </row>
        <row r="260">
          <cell r="B260" t="str">
            <v>33975CAN5</v>
          </cell>
          <cell r="C260" t="str">
            <v>Flood / U.S., Puerto Rico, U.S. VI</v>
          </cell>
        </row>
        <row r="261">
          <cell r="B261" t="str">
            <v>33975CAP0</v>
          </cell>
          <cell r="C261" t="str">
            <v>Flood / U.S., Puerto Rico, U.S. VI</v>
          </cell>
        </row>
        <row r="262">
          <cell r="B262" t="str">
            <v>33975CAQ8</v>
          </cell>
          <cell r="C262" t="str">
            <v>Flood / U.S., Puerto Rico, U.S. VI</v>
          </cell>
        </row>
        <row r="263">
          <cell r="B263" t="str">
            <v>349939AA6</v>
          </cell>
          <cell r="C263" t="str">
            <v>Earthquake ; Tropical Cyclone / U.S., Puerto Rico</v>
          </cell>
        </row>
        <row r="264">
          <cell r="B264" t="str">
            <v>XS2865536135</v>
          </cell>
          <cell r="C264" t="str">
            <v>Windstorm / France</v>
          </cell>
        </row>
        <row r="265">
          <cell r="B265" t="str">
            <v>785628AA6</v>
          </cell>
          <cell r="C265" t="str">
            <v>Named Storm / Louisiana, North Carolina, South Carolina, Texas</v>
          </cell>
        </row>
        <row r="266">
          <cell r="B266" t="str">
            <v>79381MAD6</v>
          </cell>
          <cell r="C266" t="str">
            <v>Typhoon ; Flood / Japan</v>
          </cell>
        </row>
        <row r="267">
          <cell r="B267" t="str">
            <v>83423TAA9</v>
          </cell>
          <cell r="C267" t="str">
            <v>Named Storm / Northeast U.S., Mid-Atlantic U.S.</v>
          </cell>
        </row>
        <row r="268">
          <cell r="B268" t="str">
            <v>87609TAA6</v>
          </cell>
          <cell r="C268" t="str">
            <v>Windstorm ; Hail Storm / France</v>
          </cell>
        </row>
        <row r="269">
          <cell r="B269" t="str">
            <v>87609TAB4</v>
          </cell>
          <cell r="C269" t="str">
            <v>Windstorm / France</v>
          </cell>
        </row>
        <row r="270">
          <cell r="B270" t="str">
            <v>982533AC5</v>
          </cell>
          <cell r="C270" t="str">
            <v>Earthquake / California</v>
          </cell>
        </row>
        <row r="271">
          <cell r="B271" t="str">
            <v>982533AB7</v>
          </cell>
          <cell r="C271" t="str">
            <v>Earthquake / U.S. (excl. CA), Canada ; Named Storm / U.S., Canada</v>
          </cell>
        </row>
        <row r="272">
          <cell r="B272" t="str">
            <v>98740RAB5</v>
          </cell>
          <cell r="C272" t="str">
            <v>Earthquake ; Named Storm / U.S.</v>
          </cell>
        </row>
        <row r="273">
          <cell r="B273" t="str">
            <v>613752AC8</v>
          </cell>
          <cell r="C273" t="str">
            <v>Earthquake / U.S., Canada, Puerto Rico, U.S. VI ; Named Storm / U.S., Puerto Rico, U.S. VI</v>
          </cell>
        </row>
        <row r="274">
          <cell r="B274" t="str">
            <v>54180TAA3</v>
          </cell>
          <cell r="C274" t="str">
            <v>Earthquake ; Named Storm / U.S., Canada, Caribbean</v>
          </cell>
        </row>
        <row r="275">
          <cell r="B275" t="str">
            <v>541917AA8</v>
          </cell>
          <cell r="C275" t="str">
            <v>Earthquake ; Named Storm / U.S., Canada, Caribbean</v>
          </cell>
        </row>
        <row r="276">
          <cell r="B276" t="str">
            <v>613752AD6</v>
          </cell>
          <cell r="C276" t="str">
            <v>Earthquake / U.S., Canada, Puerto Rico, U.S. VI ; Named Storm / U.S., Puerto Rico, U.S. VI</v>
          </cell>
        </row>
        <row r="277">
          <cell r="B277" t="str">
            <v>613752AE4</v>
          </cell>
          <cell r="C277" t="str">
            <v>Earthquake / U.S., Canada, Puerto Rico, U.S. VI ; Named Storm / U.S., Puerto Rico, U.S. VI</v>
          </cell>
        </row>
        <row r="278">
          <cell r="B278" t="str">
            <v>62865LAF4</v>
          </cell>
          <cell r="C278" t="str">
            <v>Earthquake ; Named Storm / U.S., Canada, Caribbean</v>
          </cell>
        </row>
        <row r="279">
          <cell r="B279" t="str">
            <v>62865LAG2</v>
          </cell>
          <cell r="C279" t="str">
            <v>Earthquake ; Named Storm / U.S., Canada, Caribbean</v>
          </cell>
        </row>
        <row r="280">
          <cell r="B280" t="str">
            <v>62865LAH0</v>
          </cell>
          <cell r="C280" t="str">
            <v>All Natural Perils / U.S., Canada, Caribbean</v>
          </cell>
        </row>
        <row r="281">
          <cell r="B281" t="str">
            <v>011395AJ9</v>
          </cell>
          <cell r="C281" t="str">
            <v>Named Storm ; Severe Thunderstorm / Texas</v>
          </cell>
        </row>
        <row r="282">
          <cell r="B282" t="str">
            <v>011395AN0</v>
          </cell>
          <cell r="C282" t="str">
            <v>Named Storm ; Severe Thunderstorm / Texas</v>
          </cell>
        </row>
        <row r="283">
          <cell r="B283" t="str">
            <v>011395AP5</v>
          </cell>
          <cell r="C283" t="str">
            <v>Named Storm ; Severe Thunderstorm / Texas</v>
          </cell>
        </row>
        <row r="284">
          <cell r="B284" t="str">
            <v>011395AQ3</v>
          </cell>
          <cell r="C284" t="str">
            <v>Named Storm ; Severe Thunderstorm / Texas</v>
          </cell>
        </row>
        <row r="285">
          <cell r="B285" t="str">
            <v>89055TAA1</v>
          </cell>
          <cell r="C285" t="str">
            <v>NULL</v>
          </cell>
        </row>
        <row r="286">
          <cell r="B286" t="str">
            <v>799925AA0</v>
          </cell>
          <cell r="C286" t="str">
            <v>Earthquake ; Named Storm ; Severe Thunderstorm ; Wildfire / Florida</v>
          </cell>
        </row>
        <row r="287">
          <cell r="B287" t="str">
            <v>608800AJ7</v>
          </cell>
          <cell r="C287" t="str">
            <v>Earthquake / U.S., Canada, Puerto Rico, U.S. VI ; Named Storm / U.S., Puerto Rico, U.S. VI</v>
          </cell>
        </row>
        <row r="288">
          <cell r="B288" t="str">
            <v>608800AK4</v>
          </cell>
          <cell r="C288" t="str">
            <v>Earthquake / U.S., Canada, Puerto Rico, U.S. VI ; Named Storm / U.S., Puerto Rico, U.S. VI</v>
          </cell>
        </row>
        <row r="289">
          <cell r="B289" t="str">
            <v>608800AH1</v>
          </cell>
          <cell r="C289" t="str">
            <v>Earthquake / U.S., Canada, Puerto Rico, U.S. VI ; Named Storm / U.S., Puerto Rico, U.S. VI</v>
          </cell>
        </row>
        <row r="290">
          <cell r="B290" t="str">
            <v>608800AF5</v>
          </cell>
          <cell r="C290" t="str">
            <v>Earthquake / U.S., Canada, Puerto Rico, U.S. VI ; Named Storm / U.S., Puerto Rico, U.S. VI</v>
          </cell>
        </row>
        <row r="291">
          <cell r="B291" t="str">
            <v>608800AG3</v>
          </cell>
          <cell r="C291" t="str">
            <v>Earthquake / U.S., Canada, Puerto Rico, U.S. VI ; Named Storm / U.S., Puerto Rico, U.S. VI</v>
          </cell>
        </row>
        <row r="292">
          <cell r="B292">
            <v>272383405</v>
          </cell>
          <cell r="C292" t="str">
            <v>Windstorm ; Hail Storm ; Flood ; Earthquake / Germany</v>
          </cell>
        </row>
        <row r="293">
          <cell r="B293" t="str">
            <v>XS2931270180</v>
          </cell>
          <cell r="C293" t="str">
            <v>Windstorm ; Severe Thunderstorm / Belgium, Netherlands</v>
          </cell>
        </row>
        <row r="294">
          <cell r="B294" t="str">
            <v>XS2722275190</v>
          </cell>
          <cell r="C294" t="str">
            <v>Windstorm ; Severe Thunderstorm / Belgium, Netherlands</v>
          </cell>
        </row>
        <row r="295">
          <cell r="B295" t="str">
            <v>539694AA7</v>
          </cell>
          <cell r="C295" t="str">
            <v>Earthquake ; Named Storm ; Severe Thunderstorm ; Winter Storm / Northeast U.S., Illinois</v>
          </cell>
        </row>
        <row r="296">
          <cell r="B296" t="str">
            <v>42703VAG8</v>
          </cell>
          <cell r="C296" t="str">
            <v>Earthquake ; Named Storm / U.S., Puerto Rico, U.S. VI</v>
          </cell>
        </row>
        <row r="297">
          <cell r="B297" t="str">
            <v>42703VAH6</v>
          </cell>
          <cell r="C297" t="str">
            <v>Earthquake ; Named Storm / U.S., Puerto Rico, U.S. VI</v>
          </cell>
        </row>
        <row r="298">
          <cell r="B298" t="str">
            <v>42703VAJ2</v>
          </cell>
          <cell r="C298" t="str">
            <v>Earthquake ; Named Storm / U.S., Puerto Rico, U.S. VI</v>
          </cell>
        </row>
        <row r="299">
          <cell r="B299" t="str">
            <v>42703VAK9</v>
          </cell>
          <cell r="C299" t="str">
            <v>Earthquake ; Named Storm / U.S., Puerto Rico, U.S. VI</v>
          </cell>
        </row>
        <row r="300">
          <cell r="B300" t="str">
            <v>42703VAL7</v>
          </cell>
          <cell r="C300" t="str">
            <v>Earthquake ; Named Storm / U.S., Puerto Rico, U.S. VI</v>
          </cell>
        </row>
        <row r="301">
          <cell r="B301" t="str">
            <v>42703VAF0</v>
          </cell>
          <cell r="C301" t="str">
            <v>Earthquake / U.S., Canada</v>
          </cell>
        </row>
        <row r="302">
          <cell r="B302" t="str">
            <v>54279PAA3</v>
          </cell>
          <cell r="C302" t="str">
            <v>Earthquake ; Tropical Cyclone ; Severe Thunderstorm ; Winter Storm  / Northeast U.S.</v>
          </cell>
        </row>
        <row r="303">
          <cell r="B303" t="str">
            <v>86944RAE8</v>
          </cell>
          <cell r="C303" t="str">
            <v>Earthquake / California</v>
          </cell>
        </row>
        <row r="304">
          <cell r="B304" t="str">
            <v>86944RAF5</v>
          </cell>
          <cell r="C304" t="str">
            <v>Earthquake / California</v>
          </cell>
        </row>
        <row r="305">
          <cell r="B305" t="str">
            <v>XS2845137541</v>
          </cell>
          <cell r="C305" t="str">
            <v>Windstorm / Europe</v>
          </cell>
        </row>
        <row r="306">
          <cell r="B306" t="str">
            <v>888329AC3</v>
          </cell>
          <cell r="C306" t="str">
            <v>Earthquake ; Named Storm / U.S., Canada, Puerto Rico, U.S. VI</v>
          </cell>
        </row>
        <row r="307">
          <cell r="B307" t="str">
            <v>888329AD1</v>
          </cell>
          <cell r="C307" t="str">
            <v>Named Storm / U.S., Canada, Puerto Rico, U.S. VI</v>
          </cell>
        </row>
        <row r="308">
          <cell r="B308" t="str">
            <v>888329AE9</v>
          </cell>
          <cell r="C308" t="str">
            <v>Earthquake ; Named Storm / U.S., Canada, Puerto Rico, U.S. VI</v>
          </cell>
        </row>
        <row r="309">
          <cell r="B309" t="str">
            <v>888329AF6</v>
          </cell>
          <cell r="C309" t="str">
            <v>Earthquake ; Named Storm / U.S., Canada, Puerto Rico, U.S. VI</v>
          </cell>
        </row>
        <row r="310">
          <cell r="B310" t="str">
            <v>888329AG4</v>
          </cell>
          <cell r="C310" t="str">
            <v>Earthquake ; Named Storm / U.S., Canada, Puerto Rico, U.S. VI ; Wildfire / U.S.</v>
          </cell>
        </row>
        <row r="311">
          <cell r="B311" t="str">
            <v>888329AH2</v>
          </cell>
          <cell r="C311" t="str">
            <v>Earthquake ; Named Storm / U.S., Canada, Puerto Rico, U.S. VI ; Wildfire / U.S.</v>
          </cell>
        </row>
        <row r="312">
          <cell r="B312" t="str">
            <v>48878QAD2</v>
          </cell>
          <cell r="C312" t="str">
            <v>Earthquake / U.S., Canada, Puerto Rico, U.S. VI ; Named Storm / U.S., Puerto Rico, U.S. VI ; Windstorm / Europe</v>
          </cell>
        </row>
        <row r="313">
          <cell r="B313" t="str">
            <v>80001AAA6</v>
          </cell>
          <cell r="C313" t="str">
            <v>Earthquake ; Named Storm ; Severe Thunderstorm ; Wildfire / Florida</v>
          </cell>
        </row>
        <row r="314">
          <cell r="B314" t="str">
            <v>429932AA4</v>
          </cell>
          <cell r="C314" t="str">
            <v>All Natural Perils / U.S. (excl. CA, FL, LA, TX)</v>
          </cell>
        </row>
        <row r="315">
          <cell r="B315" t="str">
            <v>XS2788028178</v>
          </cell>
          <cell r="C315" t="str">
            <v>Earthquake / Italy, Austria, Croatia, France, Monaco, Slovenia, Switzerland</v>
          </cell>
        </row>
        <row r="316">
          <cell r="B316" t="str">
            <v>09785EAK7</v>
          </cell>
          <cell r="C316" t="str">
            <v>Named Storm / U.S.</v>
          </cell>
        </row>
        <row r="317">
          <cell r="B317" t="str">
            <v>09605UAA1</v>
          </cell>
          <cell r="C317" t="str">
            <v>Windstorm / Europe</v>
          </cell>
        </row>
        <row r="318">
          <cell r="B318" t="str">
            <v>XS2641776773</v>
          </cell>
          <cell r="C318" t="str">
            <v>Windstorm / Europe</v>
          </cell>
        </row>
        <row r="319">
          <cell r="B319" t="str">
            <v>049207AA1</v>
          </cell>
          <cell r="C319" t="str">
            <v>Earthquake / U.S., Canada, Puerto Rico, U.S. VI ; Named Storm / U.S., Puerto Rico, U.S. VI ; Windstorm / Europe</v>
          </cell>
        </row>
        <row r="320">
          <cell r="B320" t="str">
            <v>049207AC7</v>
          </cell>
          <cell r="C320" t="str">
            <v>Earthquake / U.S., Canada, Puerto Rico, U.S. VI ; Named Storm / U.S., Caribbean, Puerto Rico, U.S. VI ; Windstorm / Europe</v>
          </cell>
        </row>
        <row r="321">
          <cell r="B321" t="str">
            <v>203235AC0</v>
          </cell>
          <cell r="C321" t="str">
            <v>All Natural Perils / U.S.</v>
          </cell>
        </row>
        <row r="322">
          <cell r="B322" t="str">
            <v>31969UAC1</v>
          </cell>
          <cell r="C322" t="str">
            <v>Named Storm / Florida</v>
          </cell>
        </row>
        <row r="323">
          <cell r="B323" t="str">
            <v>31969UAB3</v>
          </cell>
          <cell r="C323" t="str">
            <v>Named Storm / Florida</v>
          </cell>
        </row>
        <row r="324">
          <cell r="B324" t="str">
            <v>88577CAF8</v>
          </cell>
          <cell r="C324" t="str">
            <v>EQ / North America</v>
          </cell>
        </row>
        <row r="325">
          <cell r="B325" t="str">
            <v>88577CAE1</v>
          </cell>
          <cell r="C325" t="str">
            <v xml:space="preserve">EQ / North America, Australasia, Japan, Italy, Turkey ; NS / North America, Australia, Japan ; EW / Europe ; Other Wind / U.S., Canada </v>
          </cell>
        </row>
        <row r="326">
          <cell r="B326" t="str">
            <v>90215BAB3</v>
          </cell>
          <cell r="C326" t="str">
            <v>Earthquake / U.S., Canada, Puerto Rico, U.S. VI ; Named Storm / U.S., Puerto Rico, U.S. VI ; Windstorm / Europe</v>
          </cell>
        </row>
        <row r="327">
          <cell r="B327" t="str">
            <v>42703VAM5</v>
          </cell>
          <cell r="C327" t="str">
            <v>EQ / North America, Australasia, Japan, Italy, Turkey ; NS / North America, Australia, Japan ; EW / Europe ; Other Wind / U.S., Canada ; WF / U.S.</v>
          </cell>
        </row>
        <row r="328">
          <cell r="B328" t="str">
            <v>76091JAA6</v>
          </cell>
          <cell r="C328" t="str">
            <v>All Natural Perils / U.S.</v>
          </cell>
        </row>
        <row r="329">
          <cell r="B329" t="str">
            <v>35087TAF5</v>
          </cell>
          <cell r="C329" t="str">
            <v>All Natural Perils / U.S.</v>
          </cell>
        </row>
      </sheetData>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9DF1F-B452-4BF3-8D68-C83BAB88E4F3}">
  <dimension ref="A1:J20"/>
  <sheetViews>
    <sheetView topLeftCell="A9" workbookViewId="0">
      <selection activeCell="E24" sqref="E24"/>
    </sheetView>
  </sheetViews>
  <sheetFormatPr defaultRowHeight="14.4" x14ac:dyDescent="0.3"/>
  <cols>
    <col min="1" max="1" width="28.109375" bestFit="1" customWidth="1"/>
    <col min="2" max="2" width="35.109375" customWidth="1"/>
    <col min="10" max="10" width="39" customWidth="1"/>
  </cols>
  <sheetData>
    <row r="1" spans="1:10" ht="15" thickBot="1" x14ac:dyDescent="0.35"/>
    <row r="2" spans="1:10" ht="46.2" customHeight="1" thickBot="1" x14ac:dyDescent="0.35">
      <c r="A2" s="67" t="s">
        <v>569</v>
      </c>
      <c r="B2" s="110" t="s">
        <v>570</v>
      </c>
      <c r="C2" s="110"/>
      <c r="D2" s="110"/>
      <c r="E2" s="110"/>
      <c r="F2" s="110"/>
      <c r="G2" s="110"/>
      <c r="H2" s="110"/>
      <c r="I2" s="110"/>
      <c r="J2" s="111"/>
    </row>
    <row r="3" spans="1:10" s="99" customFormat="1" ht="11.4" customHeight="1" thickBot="1" x14ac:dyDescent="0.35"/>
    <row r="4" spans="1:10" ht="57.6" customHeight="1" thickBot="1" x14ac:dyDescent="0.35">
      <c r="A4" s="68" t="s">
        <v>571</v>
      </c>
      <c r="B4" s="112" t="s">
        <v>572</v>
      </c>
      <c r="C4" s="112"/>
      <c r="D4" s="112"/>
      <c r="E4" s="112"/>
      <c r="F4" s="112"/>
      <c r="G4" s="112"/>
      <c r="H4" s="112"/>
      <c r="I4" s="112"/>
      <c r="J4" s="113"/>
    </row>
    <row r="5" spans="1:10" s="99" customFormat="1" ht="11.4" customHeight="1" thickBot="1" x14ac:dyDescent="0.35"/>
    <row r="6" spans="1:10" ht="40.799999999999997" customHeight="1" x14ac:dyDescent="0.3">
      <c r="A6" s="114" t="s">
        <v>573</v>
      </c>
      <c r="B6" s="117" t="s">
        <v>574</v>
      </c>
      <c r="C6" s="117"/>
      <c r="D6" s="117"/>
      <c r="E6" s="117"/>
      <c r="F6" s="117"/>
      <c r="G6" s="117"/>
      <c r="H6" s="117"/>
      <c r="I6" s="117"/>
      <c r="J6" s="118"/>
    </row>
    <row r="7" spans="1:10" ht="30" customHeight="1" x14ac:dyDescent="0.3">
      <c r="A7" s="115"/>
      <c r="B7" s="69" t="s">
        <v>575</v>
      </c>
      <c r="C7" s="119" t="s">
        <v>576</v>
      </c>
      <c r="D7" s="119"/>
      <c r="E7" s="119"/>
      <c r="F7" s="119"/>
      <c r="G7" s="119"/>
      <c r="H7" s="119"/>
      <c r="I7" s="119"/>
      <c r="J7" s="120"/>
    </row>
    <row r="8" spans="1:10" ht="28.2" customHeight="1" x14ac:dyDescent="0.3">
      <c r="A8" s="115"/>
      <c r="B8" s="69" t="s">
        <v>577</v>
      </c>
      <c r="C8" s="121" t="s">
        <v>578</v>
      </c>
      <c r="D8" s="121"/>
      <c r="E8" s="121"/>
      <c r="F8" s="121"/>
      <c r="G8" s="121"/>
      <c r="H8" s="121"/>
      <c r="I8" s="121"/>
      <c r="J8" s="122"/>
    </row>
    <row r="9" spans="1:10" ht="33" customHeight="1" x14ac:dyDescent="0.3">
      <c r="A9" s="115"/>
      <c r="B9" s="69" t="s">
        <v>579</v>
      </c>
      <c r="C9" s="123" t="s">
        <v>580</v>
      </c>
      <c r="D9" s="119"/>
      <c r="E9" s="119"/>
      <c r="F9" s="119"/>
      <c r="G9" s="119"/>
      <c r="H9" s="119"/>
      <c r="I9" s="119"/>
      <c r="J9" s="120"/>
    </row>
    <row r="10" spans="1:10" ht="31.8" customHeight="1" thickBot="1" x14ac:dyDescent="0.35">
      <c r="A10" s="116"/>
      <c r="B10" s="70" t="s">
        <v>581</v>
      </c>
      <c r="C10" s="124" t="s">
        <v>582</v>
      </c>
      <c r="D10" s="124"/>
      <c r="E10" s="124"/>
      <c r="F10" s="124"/>
      <c r="G10" s="124"/>
      <c r="H10" s="124"/>
      <c r="I10" s="124"/>
      <c r="J10" s="125"/>
    </row>
    <row r="11" spans="1:10" s="99" customFormat="1" ht="11.4" customHeight="1" thickBot="1" x14ac:dyDescent="0.35"/>
    <row r="12" spans="1:10" ht="32.4" customHeight="1" x14ac:dyDescent="0.3">
      <c r="A12" s="100" t="s">
        <v>583</v>
      </c>
      <c r="B12" s="102" t="s">
        <v>584</v>
      </c>
      <c r="C12" s="103"/>
      <c r="D12" s="103"/>
      <c r="E12" s="103"/>
      <c r="F12" s="103"/>
      <c r="G12" s="103"/>
      <c r="H12" s="103"/>
      <c r="I12" s="103"/>
      <c r="J12" s="104"/>
    </row>
    <row r="13" spans="1:10" ht="15" thickBot="1" x14ac:dyDescent="0.35">
      <c r="A13" s="101"/>
      <c r="B13" s="71" t="s">
        <v>585</v>
      </c>
      <c r="C13" s="97" t="s">
        <v>586</v>
      </c>
      <c r="D13" s="97"/>
      <c r="E13" s="97"/>
      <c r="F13" s="97"/>
      <c r="G13" s="97"/>
      <c r="H13" s="97"/>
      <c r="I13" s="97"/>
      <c r="J13" s="98"/>
    </row>
    <row r="14" spans="1:10" s="99" customFormat="1" ht="11.4" customHeight="1" thickBot="1" x14ac:dyDescent="0.35"/>
    <row r="15" spans="1:10" x14ac:dyDescent="0.3">
      <c r="A15" s="105" t="s">
        <v>587</v>
      </c>
      <c r="B15" s="72" t="s">
        <v>588</v>
      </c>
      <c r="C15" s="108" t="s">
        <v>589</v>
      </c>
      <c r="D15" s="108"/>
      <c r="E15" s="108"/>
      <c r="F15" s="108"/>
      <c r="G15" s="108"/>
      <c r="H15" s="108"/>
      <c r="I15" s="108"/>
      <c r="J15" s="109"/>
    </row>
    <row r="16" spans="1:10" x14ac:dyDescent="0.3">
      <c r="A16" s="106"/>
      <c r="B16" s="73" t="s">
        <v>590</v>
      </c>
      <c r="C16" s="95" t="s">
        <v>591</v>
      </c>
      <c r="D16" s="95"/>
      <c r="E16" s="95"/>
      <c r="F16" s="95"/>
      <c r="G16" s="95"/>
      <c r="H16" s="95"/>
      <c r="I16" s="95"/>
      <c r="J16" s="96"/>
    </row>
    <row r="17" spans="1:10" x14ac:dyDescent="0.3">
      <c r="A17" s="106"/>
      <c r="B17" s="73" t="s">
        <v>592</v>
      </c>
      <c r="C17" s="95" t="s">
        <v>589</v>
      </c>
      <c r="D17" s="95"/>
      <c r="E17" s="95"/>
      <c r="F17" s="95"/>
      <c r="G17" s="95"/>
      <c r="H17" s="95"/>
      <c r="I17" s="95"/>
      <c r="J17" s="96"/>
    </row>
    <row r="18" spans="1:10" x14ac:dyDescent="0.3">
      <c r="A18" s="106"/>
      <c r="B18" s="73" t="s">
        <v>593</v>
      </c>
      <c r="C18" s="95" t="s">
        <v>594</v>
      </c>
      <c r="D18" s="95"/>
      <c r="E18" s="95"/>
      <c r="F18" s="95"/>
      <c r="G18" s="95"/>
      <c r="H18" s="95"/>
      <c r="I18" s="95"/>
      <c r="J18" s="96"/>
    </row>
    <row r="19" spans="1:10" x14ac:dyDescent="0.3">
      <c r="A19" s="106"/>
      <c r="B19" s="73" t="s">
        <v>595</v>
      </c>
      <c r="C19" s="95" t="s">
        <v>589</v>
      </c>
      <c r="D19" s="95"/>
      <c r="E19" s="95"/>
      <c r="F19" s="95"/>
      <c r="G19" s="95"/>
      <c r="H19" s="95"/>
      <c r="I19" s="95"/>
      <c r="J19" s="96"/>
    </row>
    <row r="20" spans="1:10" ht="15" thickBot="1" x14ac:dyDescent="0.35">
      <c r="A20" s="107"/>
      <c r="B20" s="74" t="s">
        <v>596</v>
      </c>
      <c r="C20" s="97" t="s">
        <v>597</v>
      </c>
      <c r="D20" s="97"/>
      <c r="E20" s="97"/>
      <c r="F20" s="97"/>
      <c r="G20" s="97"/>
      <c r="H20" s="97"/>
      <c r="I20" s="97"/>
      <c r="J20" s="98"/>
    </row>
  </sheetData>
  <mergeCells count="22">
    <mergeCell ref="B2:J2"/>
    <mergeCell ref="A3:XFD3"/>
    <mergeCell ref="B4:J4"/>
    <mergeCell ref="A5:XFD5"/>
    <mergeCell ref="A6:A10"/>
    <mergeCell ref="B6:J6"/>
    <mergeCell ref="C7:J7"/>
    <mergeCell ref="C8:J8"/>
    <mergeCell ref="C9:J9"/>
    <mergeCell ref="C10:J10"/>
    <mergeCell ref="C19:J19"/>
    <mergeCell ref="C20:J20"/>
    <mergeCell ref="A11:XFD11"/>
    <mergeCell ref="A12:A13"/>
    <mergeCell ref="B12:J12"/>
    <mergeCell ref="C13:J13"/>
    <mergeCell ref="A14:XFD14"/>
    <mergeCell ref="A15:A20"/>
    <mergeCell ref="C15:J15"/>
    <mergeCell ref="C16:J16"/>
    <mergeCell ref="C17:J17"/>
    <mergeCell ref="C18:J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E4897-8BC9-4242-80F6-5A3D6ABBFE9D}">
  <dimension ref="A1:AI329"/>
  <sheetViews>
    <sheetView workbookViewId="0">
      <selection activeCell="D1" sqref="D1"/>
    </sheetView>
  </sheetViews>
  <sheetFormatPr defaultRowHeight="14.4" x14ac:dyDescent="0.3"/>
  <cols>
    <col min="1" max="1" width="49.21875" bestFit="1" customWidth="1"/>
    <col min="2" max="2" width="16.77734375" bestFit="1" customWidth="1"/>
    <col min="3" max="3" width="10.44140625" bestFit="1" customWidth="1"/>
    <col min="4" max="4" width="12.44140625" bestFit="1" customWidth="1"/>
    <col min="5" max="6" width="13.6640625" style="80" bestFit="1" customWidth="1"/>
    <col min="7" max="7" width="20.44140625" style="80" bestFit="1" customWidth="1"/>
    <col min="8" max="8" width="23.33203125" style="80" bestFit="1" customWidth="1"/>
    <col min="9" max="9" width="24.44140625" style="80" bestFit="1" customWidth="1"/>
    <col min="10" max="10" width="22.5546875" style="80" bestFit="1" customWidth="1"/>
    <col min="11" max="11" width="23.6640625" style="80" bestFit="1" customWidth="1"/>
    <col min="12" max="12" width="18.5546875" style="80" bestFit="1" customWidth="1"/>
    <col min="13" max="13" width="17.88671875" style="80" bestFit="1" customWidth="1"/>
    <col min="14" max="14" width="25.21875" style="80" bestFit="1" customWidth="1"/>
    <col min="15" max="15" width="32.77734375" style="80" bestFit="1" customWidth="1"/>
    <col min="16" max="16" width="26.109375" style="80" bestFit="1" customWidth="1"/>
    <col min="17" max="17" width="25.21875" style="80" bestFit="1" customWidth="1"/>
    <col min="18" max="18" width="22.77734375" style="80" bestFit="1" customWidth="1"/>
    <col min="19" max="19" width="17.88671875" style="80" bestFit="1" customWidth="1"/>
    <col min="20" max="20" width="23.44140625" style="80" bestFit="1" customWidth="1"/>
    <col min="21" max="21" width="21.88671875" style="80" bestFit="1" customWidth="1"/>
    <col min="22" max="22" width="26.5546875" style="80" bestFit="1" customWidth="1"/>
    <col min="23" max="23" width="26.21875" style="80" bestFit="1" customWidth="1"/>
    <col min="24" max="24" width="19.109375" style="80" bestFit="1" customWidth="1"/>
    <col min="25" max="25" width="27.5546875" style="80" bestFit="1" customWidth="1"/>
    <col min="26" max="26" width="26.88671875" style="80" bestFit="1" customWidth="1"/>
    <col min="27" max="27" width="21.5546875" style="80" bestFit="1" customWidth="1"/>
    <col min="28" max="28" width="24" style="80" bestFit="1" customWidth="1"/>
    <col min="29" max="29" width="14.44140625" style="80" bestFit="1" customWidth="1"/>
    <col min="30" max="30" width="17.88671875" style="80" bestFit="1" customWidth="1"/>
    <col min="31" max="31" width="19.44140625" style="80" bestFit="1" customWidth="1"/>
    <col min="32" max="32" width="16" style="80" bestFit="1" customWidth="1"/>
    <col min="33" max="33" width="30.77734375" style="80" bestFit="1" customWidth="1"/>
    <col min="34" max="34" width="12.5546875" style="80" bestFit="1" customWidth="1"/>
    <col min="35" max="35" width="18.109375" bestFit="1" customWidth="1"/>
  </cols>
  <sheetData>
    <row r="1" spans="1:35" x14ac:dyDescent="0.3">
      <c r="A1" s="75" t="s">
        <v>598</v>
      </c>
      <c r="B1" s="75" t="s">
        <v>599</v>
      </c>
      <c r="C1" s="75" t="s">
        <v>600</v>
      </c>
      <c r="D1" s="75" t="s">
        <v>601</v>
      </c>
      <c r="E1" s="80" t="s">
        <v>602</v>
      </c>
      <c r="F1" s="80" t="s">
        <v>603</v>
      </c>
      <c r="G1" s="80" t="s">
        <v>604</v>
      </c>
      <c r="H1" s="80" t="s">
        <v>605</v>
      </c>
      <c r="I1" s="80" t="s">
        <v>630</v>
      </c>
      <c r="J1" s="80" t="s">
        <v>619</v>
      </c>
      <c r="K1" s="80" t="s">
        <v>607</v>
      </c>
      <c r="L1" s="80" t="s">
        <v>606</v>
      </c>
      <c r="M1" s="80" t="s">
        <v>613</v>
      </c>
      <c r="N1" s="80" t="s">
        <v>628</v>
      </c>
      <c r="O1" s="80" t="s">
        <v>617</v>
      </c>
      <c r="P1" s="80" t="s">
        <v>621</v>
      </c>
      <c r="Q1" s="80" t="s">
        <v>616</v>
      </c>
      <c r="R1" s="80" t="s">
        <v>620</v>
      </c>
      <c r="S1" s="80" t="s">
        <v>622</v>
      </c>
      <c r="T1" s="80" t="s">
        <v>610</v>
      </c>
      <c r="U1" s="80" t="s">
        <v>624</v>
      </c>
      <c r="V1" s="80" t="s">
        <v>609</v>
      </c>
      <c r="W1" s="80" t="s">
        <v>625</v>
      </c>
      <c r="X1" s="80" t="s">
        <v>623</v>
      </c>
      <c r="Y1" s="80" t="s">
        <v>614</v>
      </c>
      <c r="Z1" s="80" t="s">
        <v>615</v>
      </c>
      <c r="AA1" s="80" t="s">
        <v>608</v>
      </c>
      <c r="AB1" s="80" t="s">
        <v>612</v>
      </c>
      <c r="AC1" s="80" t="s">
        <v>611</v>
      </c>
      <c r="AD1" s="80" t="s">
        <v>618</v>
      </c>
      <c r="AE1" s="80" t="s">
        <v>629</v>
      </c>
      <c r="AF1" s="80" t="s">
        <v>631</v>
      </c>
      <c r="AG1" s="80" t="s">
        <v>626</v>
      </c>
      <c r="AH1" s="80" t="s">
        <v>627</v>
      </c>
      <c r="AI1" s="77" t="s">
        <v>632</v>
      </c>
    </row>
    <row r="2" spans="1:35" x14ac:dyDescent="0.3">
      <c r="A2" t="s">
        <v>643</v>
      </c>
      <c r="B2">
        <v>332</v>
      </c>
      <c r="C2">
        <v>332</v>
      </c>
      <c r="D2">
        <v>1</v>
      </c>
      <c r="E2" s="80">
        <v>9031965.6835999992</v>
      </c>
      <c r="F2" s="80">
        <v>9031965.6853160523</v>
      </c>
      <c r="G2" s="80">
        <v>5944624.4716838878</v>
      </c>
      <c r="H2" s="80">
        <v>2951043.6515652458</v>
      </c>
      <c r="I2" s="80">
        <v>860554.8263887316</v>
      </c>
      <c r="J2" s="80">
        <v>750674.82949958439</v>
      </c>
      <c r="K2" s="80">
        <v>726269.34066072374</v>
      </c>
      <c r="L2" s="80">
        <v>705172.36139130243</v>
      </c>
      <c r="M2" s="80">
        <v>536716.32174932805</v>
      </c>
      <c r="N2" s="80">
        <v>514867.00934792473</v>
      </c>
      <c r="O2" s="80">
        <v>514127.87050045433</v>
      </c>
      <c r="P2" s="80">
        <v>489901.66909593611</v>
      </c>
      <c r="Q2" s="80">
        <v>355839.50411167112</v>
      </c>
      <c r="R2" s="80">
        <v>321562.61947109201</v>
      </c>
      <c r="S2" s="80">
        <v>312584.15669796203</v>
      </c>
      <c r="T2" s="80">
        <v>281901.91526355589</v>
      </c>
      <c r="U2" s="80">
        <v>195124.13019400908</v>
      </c>
      <c r="V2" s="80">
        <v>184457.07301068696</v>
      </c>
      <c r="W2" s="80">
        <v>170327.58039632332</v>
      </c>
      <c r="X2" s="80">
        <v>165119.53409984231</v>
      </c>
      <c r="Y2" s="80">
        <v>70723.44399716139</v>
      </c>
      <c r="Z2" s="80">
        <v>26566.2716752835</v>
      </c>
      <c r="AA2" s="80">
        <v>19835.823104861152</v>
      </c>
      <c r="AB2" s="80">
        <v>0</v>
      </c>
      <c r="AC2" s="80">
        <v>0</v>
      </c>
      <c r="AD2" s="80">
        <v>0</v>
      </c>
      <c r="AE2" s="80">
        <v>0</v>
      </c>
      <c r="AF2" s="80">
        <v>0</v>
      </c>
      <c r="AG2" s="80">
        <v>0</v>
      </c>
      <c r="AH2" s="80">
        <v>0</v>
      </c>
      <c r="AI2" s="79">
        <v>46230.712025462963</v>
      </c>
    </row>
    <row r="3" spans="1:35" x14ac:dyDescent="0.3">
      <c r="A3" t="s">
        <v>529</v>
      </c>
      <c r="B3">
        <v>333</v>
      </c>
      <c r="C3">
        <v>333</v>
      </c>
      <c r="D3">
        <v>1</v>
      </c>
      <c r="E3" s="80">
        <v>27054995.430399999</v>
      </c>
      <c r="F3" s="80">
        <v>27054995.430161409</v>
      </c>
      <c r="G3" s="80">
        <v>27007495.430161409</v>
      </c>
      <c r="H3" s="80">
        <v>18990519.284441341</v>
      </c>
      <c r="I3" s="80">
        <v>0</v>
      </c>
      <c r="J3" s="80">
        <v>215090.91359659313</v>
      </c>
      <c r="K3" s="80">
        <v>673518.82279584231</v>
      </c>
      <c r="L3" s="80">
        <v>6361573.1569650974</v>
      </c>
      <c r="M3" s="80">
        <v>6314073.1569650974</v>
      </c>
      <c r="N3" s="80">
        <v>0</v>
      </c>
      <c r="O3" s="80">
        <v>0</v>
      </c>
      <c r="P3" s="80">
        <v>539667.6162207108</v>
      </c>
      <c r="Q3" s="80">
        <v>0</v>
      </c>
      <c r="R3" s="80">
        <v>227125.6361418305</v>
      </c>
      <c r="S3" s="80">
        <v>0</v>
      </c>
      <c r="T3" s="80">
        <v>0</v>
      </c>
      <c r="U3" s="80">
        <v>0</v>
      </c>
      <c r="V3" s="80">
        <v>47500</v>
      </c>
      <c r="W3" s="80">
        <v>0</v>
      </c>
      <c r="X3" s="80">
        <v>0</v>
      </c>
      <c r="Y3" s="80">
        <v>0</v>
      </c>
      <c r="Z3" s="80">
        <v>0</v>
      </c>
      <c r="AA3" s="80">
        <v>0</v>
      </c>
      <c r="AB3" s="80">
        <v>0</v>
      </c>
      <c r="AC3" s="80">
        <v>0</v>
      </c>
      <c r="AD3" s="80">
        <v>0</v>
      </c>
      <c r="AE3" s="80">
        <v>0</v>
      </c>
      <c r="AF3" s="80">
        <v>0</v>
      </c>
      <c r="AG3" s="80">
        <v>0</v>
      </c>
      <c r="AH3" s="80">
        <v>0</v>
      </c>
      <c r="AI3" s="79">
        <v>46230.712083333332</v>
      </c>
    </row>
    <row r="4" spans="1:35" x14ac:dyDescent="0.3">
      <c r="A4" t="s">
        <v>644</v>
      </c>
      <c r="B4">
        <v>334</v>
      </c>
      <c r="C4">
        <v>334</v>
      </c>
      <c r="D4">
        <v>1</v>
      </c>
      <c r="E4" s="80">
        <v>4303369.4160000002</v>
      </c>
      <c r="F4" s="80">
        <v>4303369.4157267585</v>
      </c>
      <c r="G4" s="80">
        <v>4093609.9592915061</v>
      </c>
      <c r="H4" s="80">
        <v>4065395.5834752256</v>
      </c>
      <c r="I4" s="80">
        <v>0</v>
      </c>
      <c r="J4" s="80">
        <v>17214.37581628</v>
      </c>
      <c r="K4" s="80">
        <v>0</v>
      </c>
      <c r="L4" s="80">
        <v>11000</v>
      </c>
      <c r="M4" s="80">
        <v>5500.0000000000009</v>
      </c>
      <c r="N4" s="80">
        <v>0</v>
      </c>
      <c r="O4" s="80">
        <v>0</v>
      </c>
      <c r="P4" s="80">
        <v>0</v>
      </c>
      <c r="Q4" s="80">
        <v>0</v>
      </c>
      <c r="R4" s="80">
        <v>0</v>
      </c>
      <c r="S4" s="80">
        <v>0</v>
      </c>
      <c r="T4" s="80">
        <v>0</v>
      </c>
      <c r="U4" s="80">
        <v>0</v>
      </c>
      <c r="V4" s="80">
        <v>209759.45643525216</v>
      </c>
      <c r="W4" s="80">
        <v>0</v>
      </c>
      <c r="X4" s="80">
        <v>0</v>
      </c>
      <c r="Y4" s="80">
        <v>0</v>
      </c>
      <c r="Z4" s="80">
        <v>0</v>
      </c>
      <c r="AA4" s="80">
        <v>0</v>
      </c>
      <c r="AB4" s="80">
        <v>0</v>
      </c>
      <c r="AC4" s="80">
        <v>0</v>
      </c>
      <c r="AD4" s="80">
        <v>0</v>
      </c>
      <c r="AE4" s="80">
        <v>0</v>
      </c>
      <c r="AF4" s="80">
        <v>0</v>
      </c>
      <c r="AG4" s="80">
        <v>0</v>
      </c>
      <c r="AH4" s="80">
        <v>0</v>
      </c>
      <c r="AI4" s="79">
        <v>46230.712118055555</v>
      </c>
    </row>
    <row r="5" spans="1:35" x14ac:dyDescent="0.3">
      <c r="A5" t="s">
        <v>645</v>
      </c>
      <c r="B5">
        <v>335</v>
      </c>
      <c r="C5">
        <v>335</v>
      </c>
      <c r="D5">
        <v>1</v>
      </c>
      <c r="E5" s="80">
        <v>851135.87049999996</v>
      </c>
      <c r="F5" s="80">
        <v>851135.87057664851</v>
      </c>
      <c r="G5" s="80">
        <v>834805.79417427699</v>
      </c>
      <c r="H5" s="80">
        <v>660497.6407371544</v>
      </c>
      <c r="I5" s="80">
        <v>0</v>
      </c>
      <c r="J5" s="80">
        <v>159308.15343712264</v>
      </c>
      <c r="K5" s="80">
        <v>6000.0000000000018</v>
      </c>
      <c r="L5" s="80">
        <v>0</v>
      </c>
      <c r="M5" s="80">
        <v>0</v>
      </c>
      <c r="N5" s="80">
        <v>0</v>
      </c>
      <c r="O5" s="80">
        <v>0</v>
      </c>
      <c r="P5" s="80">
        <v>0</v>
      </c>
      <c r="Q5" s="80">
        <v>0</v>
      </c>
      <c r="R5" s="80">
        <v>9000</v>
      </c>
      <c r="S5" s="80">
        <v>0</v>
      </c>
      <c r="T5" s="80">
        <v>0</v>
      </c>
      <c r="U5" s="80">
        <v>0</v>
      </c>
      <c r="V5" s="80">
        <v>16330.076402371538</v>
      </c>
      <c r="W5" s="80">
        <v>0</v>
      </c>
      <c r="X5" s="80">
        <v>0</v>
      </c>
      <c r="Y5" s="80">
        <v>0</v>
      </c>
      <c r="Z5" s="80">
        <v>0</v>
      </c>
      <c r="AA5" s="80">
        <v>0</v>
      </c>
      <c r="AB5" s="80">
        <v>0</v>
      </c>
      <c r="AC5" s="80">
        <v>0</v>
      </c>
      <c r="AD5" s="80">
        <v>0</v>
      </c>
      <c r="AE5" s="80">
        <v>0</v>
      </c>
      <c r="AF5" s="80">
        <v>0</v>
      </c>
      <c r="AG5" s="80">
        <v>0</v>
      </c>
      <c r="AH5" s="80">
        <v>0</v>
      </c>
      <c r="AI5" s="79">
        <v>46230.712175925924</v>
      </c>
    </row>
    <row r="6" spans="1:35" x14ac:dyDescent="0.3">
      <c r="A6" t="s">
        <v>646</v>
      </c>
      <c r="B6">
        <v>336</v>
      </c>
      <c r="C6">
        <v>336</v>
      </c>
      <c r="D6">
        <v>1</v>
      </c>
      <c r="E6" s="80">
        <v>7015056.6788999997</v>
      </c>
      <c r="F6" s="80">
        <v>7015056.6777858585</v>
      </c>
      <c r="G6" s="80">
        <v>6308007.420297673</v>
      </c>
      <c r="H6" s="80">
        <v>519284.24067144596</v>
      </c>
      <c r="I6" s="80">
        <v>0</v>
      </c>
      <c r="J6" s="80">
        <v>5534425.0920764767</v>
      </c>
      <c r="K6" s="80">
        <v>0</v>
      </c>
      <c r="L6" s="80">
        <v>7987.2472565422404</v>
      </c>
      <c r="M6" s="80">
        <v>7987.2472565422404</v>
      </c>
      <c r="N6" s="80">
        <v>693267.75908667909</v>
      </c>
      <c r="O6" s="80">
        <v>693267.75908667909</v>
      </c>
      <c r="P6" s="80">
        <v>110894.49110340027</v>
      </c>
      <c r="Q6" s="80">
        <v>0</v>
      </c>
      <c r="R6" s="80">
        <v>135416.34918980769</v>
      </c>
      <c r="S6" s="80">
        <v>0</v>
      </c>
      <c r="T6" s="80">
        <v>0</v>
      </c>
      <c r="U6" s="80">
        <v>0</v>
      </c>
      <c r="V6" s="80">
        <v>13781.498401507544</v>
      </c>
      <c r="W6" s="80">
        <v>0</v>
      </c>
      <c r="X6" s="80">
        <v>0</v>
      </c>
      <c r="Y6" s="80">
        <v>0</v>
      </c>
      <c r="Z6" s="80">
        <v>0</v>
      </c>
      <c r="AA6" s="80">
        <v>0</v>
      </c>
      <c r="AB6" s="80">
        <v>0</v>
      </c>
      <c r="AC6" s="80">
        <v>0</v>
      </c>
      <c r="AD6" s="80">
        <v>0</v>
      </c>
      <c r="AE6" s="80">
        <v>0</v>
      </c>
      <c r="AF6" s="80">
        <v>0</v>
      </c>
      <c r="AG6" s="80">
        <v>0</v>
      </c>
      <c r="AH6" s="80">
        <v>0</v>
      </c>
      <c r="AI6" s="79">
        <v>46230.712210648147</v>
      </c>
    </row>
    <row r="7" spans="1:35" x14ac:dyDescent="0.3">
      <c r="A7" t="s">
        <v>647</v>
      </c>
      <c r="B7">
        <v>337</v>
      </c>
      <c r="C7">
        <v>337</v>
      </c>
      <c r="D7">
        <v>1</v>
      </c>
      <c r="E7" s="80">
        <v>5540731.5214</v>
      </c>
      <c r="F7" s="80">
        <v>5540731.5224243226</v>
      </c>
      <c r="G7" s="80">
        <v>2465634.478093456</v>
      </c>
      <c r="H7" s="80">
        <v>207225.60741876884</v>
      </c>
      <c r="I7" s="80">
        <v>0</v>
      </c>
      <c r="J7" s="80">
        <v>2102218.0633717249</v>
      </c>
      <c r="K7" s="80">
        <v>0</v>
      </c>
      <c r="L7" s="80">
        <v>17844.148156771957</v>
      </c>
      <c r="M7" s="80">
        <v>10673.801405127382</v>
      </c>
      <c r="N7" s="80">
        <v>2360164.4314559698</v>
      </c>
      <c r="O7" s="80">
        <v>2360164.4314559698</v>
      </c>
      <c r="P7" s="80">
        <v>50247.098215147656</v>
      </c>
      <c r="Q7" s="80">
        <v>0</v>
      </c>
      <c r="R7" s="80">
        <v>88099.560931043205</v>
      </c>
      <c r="S7" s="80">
        <v>0</v>
      </c>
      <c r="T7" s="80">
        <v>0</v>
      </c>
      <c r="U7" s="80">
        <v>0</v>
      </c>
      <c r="V7" s="80">
        <v>15229.508150917414</v>
      </c>
      <c r="W7" s="80">
        <v>0</v>
      </c>
      <c r="X7" s="80">
        <v>0</v>
      </c>
      <c r="Y7" s="80">
        <v>0</v>
      </c>
      <c r="Z7" s="80">
        <v>699703.10472398298</v>
      </c>
      <c r="AA7" s="80">
        <v>0</v>
      </c>
      <c r="AB7" s="80">
        <v>0</v>
      </c>
      <c r="AC7" s="80">
        <v>0</v>
      </c>
      <c r="AD7" s="80">
        <v>0</v>
      </c>
      <c r="AE7" s="80">
        <v>0</v>
      </c>
      <c r="AF7" s="80">
        <v>0</v>
      </c>
      <c r="AG7" s="80">
        <v>0</v>
      </c>
      <c r="AH7" s="80">
        <v>0</v>
      </c>
      <c r="AI7" s="79">
        <v>46230.712256944447</v>
      </c>
    </row>
    <row r="8" spans="1:35" x14ac:dyDescent="0.3">
      <c r="A8" t="s">
        <v>648</v>
      </c>
      <c r="B8">
        <v>1</v>
      </c>
      <c r="C8">
        <v>1</v>
      </c>
      <c r="D8">
        <v>1</v>
      </c>
      <c r="E8" s="80">
        <v>275718.10859999998</v>
      </c>
      <c r="F8" s="80">
        <v>275718.10894628667</v>
      </c>
      <c r="G8" s="80">
        <v>273060.19963865081</v>
      </c>
      <c r="H8" s="80">
        <v>28248.564824753677</v>
      </c>
      <c r="I8" s="80">
        <v>0</v>
      </c>
      <c r="J8" s="80">
        <v>121151.11727227928</v>
      </c>
      <c r="K8" s="80">
        <v>3155.5443570689827</v>
      </c>
      <c r="L8" s="80">
        <v>0</v>
      </c>
      <c r="M8" s="80">
        <v>0</v>
      </c>
      <c r="N8" s="80">
        <v>0</v>
      </c>
      <c r="O8" s="80">
        <v>0</v>
      </c>
      <c r="P8" s="80">
        <v>79313.225072894405</v>
      </c>
      <c r="Q8" s="80">
        <v>0</v>
      </c>
      <c r="R8" s="80">
        <v>41191.74811165448</v>
      </c>
      <c r="S8" s="80">
        <v>2657.9093076358677</v>
      </c>
      <c r="T8" s="80">
        <v>0</v>
      </c>
      <c r="U8" s="80">
        <v>0</v>
      </c>
      <c r="V8" s="80">
        <v>0</v>
      </c>
      <c r="W8" s="80">
        <v>0</v>
      </c>
      <c r="X8" s="80">
        <v>0</v>
      </c>
      <c r="Y8" s="80">
        <v>0</v>
      </c>
      <c r="Z8" s="80">
        <v>0</v>
      </c>
      <c r="AA8" s="80">
        <v>0</v>
      </c>
      <c r="AB8" s="80">
        <v>0</v>
      </c>
      <c r="AC8" s="80">
        <v>0</v>
      </c>
      <c r="AD8" s="80">
        <v>0</v>
      </c>
      <c r="AE8" s="80">
        <v>0</v>
      </c>
      <c r="AF8" s="80">
        <v>0</v>
      </c>
      <c r="AG8" s="80">
        <v>0</v>
      </c>
      <c r="AH8" s="80">
        <v>0</v>
      </c>
      <c r="AI8" s="79">
        <v>46230.712291666663</v>
      </c>
    </row>
    <row r="9" spans="1:35" x14ac:dyDescent="0.3">
      <c r="A9" t="s">
        <v>649</v>
      </c>
      <c r="B9">
        <v>2</v>
      </c>
      <c r="C9">
        <v>2</v>
      </c>
      <c r="D9">
        <v>1</v>
      </c>
      <c r="E9" s="80">
        <v>1328819.4129999999</v>
      </c>
      <c r="F9" s="80">
        <v>1328819.41466558</v>
      </c>
      <c r="G9" s="80">
        <v>1222463.8131707015</v>
      </c>
      <c r="H9" s="80">
        <v>129091.29954120349</v>
      </c>
      <c r="I9" s="80">
        <v>0</v>
      </c>
      <c r="J9" s="80">
        <v>504837.23390346195</v>
      </c>
      <c r="K9" s="80">
        <v>87250.695515484884</v>
      </c>
      <c r="L9" s="80">
        <v>7892.9000988352564</v>
      </c>
      <c r="M9" s="80">
        <v>7892.9000988352564</v>
      </c>
      <c r="N9" s="80">
        <v>39941.979396679206</v>
      </c>
      <c r="O9" s="80">
        <v>39941.979396679206</v>
      </c>
      <c r="P9" s="80">
        <v>304566.14686048176</v>
      </c>
      <c r="Q9" s="80">
        <v>2614.8826210091715</v>
      </c>
      <c r="R9" s="80">
        <v>188825.53725123435</v>
      </c>
      <c r="S9" s="80">
        <v>60725.902730689064</v>
      </c>
      <c r="T9" s="80">
        <v>92.340196340132607</v>
      </c>
      <c r="U9" s="80">
        <v>0</v>
      </c>
      <c r="V9" s="80">
        <v>0</v>
      </c>
      <c r="W9" s="80">
        <v>0</v>
      </c>
      <c r="X9" s="80">
        <v>2980.4965501610136</v>
      </c>
      <c r="Y9" s="80">
        <v>0</v>
      </c>
      <c r="Z9" s="80">
        <v>0</v>
      </c>
      <c r="AA9" s="80">
        <v>0</v>
      </c>
      <c r="AB9" s="80">
        <v>0</v>
      </c>
      <c r="AC9" s="80">
        <v>0</v>
      </c>
      <c r="AD9" s="80">
        <v>0</v>
      </c>
      <c r="AE9" s="80">
        <v>0</v>
      </c>
      <c r="AF9" s="80">
        <v>0</v>
      </c>
      <c r="AG9" s="80">
        <v>0</v>
      </c>
      <c r="AH9" s="80">
        <v>0</v>
      </c>
      <c r="AI9" s="79">
        <v>46230.712326388886</v>
      </c>
    </row>
    <row r="10" spans="1:35" x14ac:dyDescent="0.3">
      <c r="A10" t="s">
        <v>650</v>
      </c>
      <c r="B10">
        <v>3</v>
      </c>
      <c r="C10">
        <v>3</v>
      </c>
      <c r="D10">
        <v>1</v>
      </c>
      <c r="E10" s="80">
        <v>1907171.5567999999</v>
      </c>
      <c r="F10" s="80">
        <v>1907171.5557722782</v>
      </c>
      <c r="G10" s="80">
        <v>1691057.1450104828</v>
      </c>
      <c r="H10" s="80">
        <v>180654.63898294236</v>
      </c>
      <c r="I10" s="80">
        <v>0</v>
      </c>
      <c r="J10" s="80">
        <v>692687.44252566341</v>
      </c>
      <c r="K10" s="80">
        <v>163786.17685223348</v>
      </c>
      <c r="L10" s="80">
        <v>14817.721659719957</v>
      </c>
      <c r="M10" s="80">
        <v>14817.721659719957</v>
      </c>
      <c r="N10" s="80">
        <v>82046.24684234758</v>
      </c>
      <c r="O10" s="80">
        <v>82046.24684234758</v>
      </c>
      <c r="P10" s="80">
        <v>375396.65191596688</v>
      </c>
      <c r="Q10" s="80">
        <v>8428.5423520475269</v>
      </c>
      <c r="R10" s="80">
        <v>263714.513073957</v>
      </c>
      <c r="S10" s="80">
        <v>109810.06766583234</v>
      </c>
      <c r="T10" s="80">
        <v>2743.3592421461067</v>
      </c>
      <c r="U10" s="80">
        <v>0</v>
      </c>
      <c r="V10" s="80">
        <v>0</v>
      </c>
      <c r="W10" s="80">
        <v>0</v>
      </c>
      <c r="X10" s="80">
        <v>8807.763905587819</v>
      </c>
      <c r="Y10" s="80">
        <v>0</v>
      </c>
      <c r="Z10" s="80">
        <v>4278.4307538349558</v>
      </c>
      <c r="AA10" s="80">
        <v>0</v>
      </c>
      <c r="AB10" s="80">
        <v>0</v>
      </c>
      <c r="AC10" s="80">
        <v>0</v>
      </c>
      <c r="AD10" s="80">
        <v>0</v>
      </c>
      <c r="AE10" s="80">
        <v>0</v>
      </c>
      <c r="AF10" s="80">
        <v>0</v>
      </c>
      <c r="AG10" s="80">
        <v>0</v>
      </c>
      <c r="AH10" s="80">
        <v>0</v>
      </c>
      <c r="AI10" s="79">
        <v>46230.712372685186</v>
      </c>
    </row>
    <row r="11" spans="1:35" x14ac:dyDescent="0.3">
      <c r="A11" t="s">
        <v>651</v>
      </c>
      <c r="B11">
        <v>4</v>
      </c>
      <c r="C11">
        <v>4</v>
      </c>
      <c r="D11">
        <v>1</v>
      </c>
      <c r="E11" s="80">
        <v>818433.86190000002</v>
      </c>
      <c r="F11" s="80">
        <v>818433.86192674923</v>
      </c>
      <c r="G11" s="80">
        <v>806805.50847327523</v>
      </c>
      <c r="H11" s="80">
        <v>82896.259031221503</v>
      </c>
      <c r="I11" s="80">
        <v>0</v>
      </c>
      <c r="J11" s="80">
        <v>362088.88652285119</v>
      </c>
      <c r="K11" s="80">
        <v>13805.506838286936</v>
      </c>
      <c r="L11" s="80">
        <v>0</v>
      </c>
      <c r="M11" s="80">
        <v>0</v>
      </c>
      <c r="N11" s="80">
        <v>0</v>
      </c>
      <c r="O11" s="80">
        <v>0</v>
      </c>
      <c r="P11" s="80">
        <v>227259.41643375397</v>
      </c>
      <c r="Q11" s="80">
        <v>0</v>
      </c>
      <c r="R11" s="80">
        <v>120755.43964716175</v>
      </c>
      <c r="S11" s="80">
        <v>11628.353453473992</v>
      </c>
      <c r="T11" s="80">
        <v>0</v>
      </c>
      <c r="U11" s="80">
        <v>0</v>
      </c>
      <c r="V11" s="80">
        <v>0</v>
      </c>
      <c r="W11" s="80">
        <v>0</v>
      </c>
      <c r="X11" s="80">
        <v>0</v>
      </c>
      <c r="Y11" s="80">
        <v>0</v>
      </c>
      <c r="Z11" s="80">
        <v>0</v>
      </c>
      <c r="AA11" s="80">
        <v>0</v>
      </c>
      <c r="AB11" s="80">
        <v>0</v>
      </c>
      <c r="AC11" s="80">
        <v>0</v>
      </c>
      <c r="AD11" s="80">
        <v>0</v>
      </c>
      <c r="AE11" s="80">
        <v>0</v>
      </c>
      <c r="AF11" s="80">
        <v>0</v>
      </c>
      <c r="AG11" s="80">
        <v>0</v>
      </c>
      <c r="AH11" s="80">
        <v>0</v>
      </c>
      <c r="AI11" s="79">
        <v>46230.712418981479</v>
      </c>
    </row>
    <row r="12" spans="1:35" x14ac:dyDescent="0.3">
      <c r="A12" t="s">
        <v>652</v>
      </c>
      <c r="B12">
        <v>5</v>
      </c>
      <c r="C12">
        <v>5</v>
      </c>
      <c r="D12">
        <v>1</v>
      </c>
      <c r="E12" s="80">
        <v>1280820.0360000001</v>
      </c>
      <c r="F12" s="80">
        <v>1280820.0348142334</v>
      </c>
      <c r="G12" s="80">
        <v>1155318.5949822769</v>
      </c>
      <c r="H12" s="80">
        <v>122982.92367635522</v>
      </c>
      <c r="I12" s="80">
        <v>0</v>
      </c>
      <c r="J12" s="80">
        <v>464775.74943777674</v>
      </c>
      <c r="K12" s="80">
        <v>101137.16986011353</v>
      </c>
      <c r="L12" s="80">
        <v>9681.9574061614603</v>
      </c>
      <c r="M12" s="80">
        <v>9681.9574061614603</v>
      </c>
      <c r="N12" s="80">
        <v>48995.494481615686</v>
      </c>
      <c r="O12" s="80">
        <v>48995.494481615686</v>
      </c>
      <c r="P12" s="80">
        <v>276637.12302655075</v>
      </c>
      <c r="Q12" s="80">
        <v>3207.5893323999703</v>
      </c>
      <c r="R12" s="80">
        <v>180103.67157531978</v>
      </c>
      <c r="S12" s="80">
        <v>69529.009627746593</v>
      </c>
      <c r="T12" s="80">
        <v>113.2706402775428</v>
      </c>
      <c r="U12" s="80">
        <v>0</v>
      </c>
      <c r="V12" s="80">
        <v>0</v>
      </c>
      <c r="W12" s="80">
        <v>0</v>
      </c>
      <c r="X12" s="80">
        <v>3656.0757499171309</v>
      </c>
      <c r="Y12" s="80">
        <v>0</v>
      </c>
      <c r="Z12" s="80">
        <v>0</v>
      </c>
      <c r="AA12" s="80">
        <v>0</v>
      </c>
      <c r="AB12" s="80">
        <v>0</v>
      </c>
      <c r="AC12" s="80">
        <v>0</v>
      </c>
      <c r="AD12" s="80">
        <v>0</v>
      </c>
      <c r="AE12" s="80">
        <v>0</v>
      </c>
      <c r="AF12" s="80">
        <v>0</v>
      </c>
      <c r="AG12" s="80">
        <v>0</v>
      </c>
      <c r="AH12" s="80">
        <v>0</v>
      </c>
      <c r="AI12" s="79">
        <v>46230.712442129632</v>
      </c>
    </row>
    <row r="13" spans="1:35" x14ac:dyDescent="0.3">
      <c r="A13" t="s">
        <v>653</v>
      </c>
      <c r="B13">
        <v>6</v>
      </c>
      <c r="C13">
        <v>6</v>
      </c>
      <c r="D13">
        <v>1</v>
      </c>
      <c r="E13" s="80">
        <v>2016418.3406</v>
      </c>
      <c r="F13" s="80">
        <v>2016418.3407364795</v>
      </c>
      <c r="G13" s="80">
        <v>0</v>
      </c>
      <c r="H13" s="80">
        <v>0</v>
      </c>
      <c r="I13" s="80">
        <v>0</v>
      </c>
      <c r="J13" s="80">
        <v>0</v>
      </c>
      <c r="K13" s="80">
        <v>0</v>
      </c>
      <c r="L13" s="80">
        <v>0</v>
      </c>
      <c r="M13" s="80">
        <v>0</v>
      </c>
      <c r="N13" s="80">
        <v>0</v>
      </c>
      <c r="O13" s="80">
        <v>0</v>
      </c>
      <c r="P13" s="80">
        <v>0</v>
      </c>
      <c r="Q13" s="80">
        <v>2016418.3407364795</v>
      </c>
      <c r="R13" s="80">
        <v>0</v>
      </c>
      <c r="S13" s="80">
        <v>0</v>
      </c>
      <c r="T13" s="80">
        <v>0</v>
      </c>
      <c r="U13" s="80">
        <v>0</v>
      </c>
      <c r="V13" s="80">
        <v>0</v>
      </c>
      <c r="W13" s="80">
        <v>0</v>
      </c>
      <c r="X13" s="80">
        <v>0</v>
      </c>
      <c r="Y13" s="80">
        <v>0</v>
      </c>
      <c r="Z13" s="80">
        <v>0</v>
      </c>
      <c r="AA13" s="80">
        <v>0</v>
      </c>
      <c r="AB13" s="80">
        <v>0</v>
      </c>
      <c r="AC13" s="80">
        <v>0</v>
      </c>
      <c r="AD13" s="80">
        <v>0</v>
      </c>
      <c r="AE13" s="80">
        <v>0</v>
      </c>
      <c r="AF13" s="80">
        <v>0</v>
      </c>
      <c r="AG13" s="80">
        <v>0</v>
      </c>
      <c r="AH13" s="80">
        <v>0</v>
      </c>
      <c r="AI13" s="79">
        <v>46230.712488425925</v>
      </c>
    </row>
    <row r="14" spans="1:35" x14ac:dyDescent="0.3">
      <c r="A14" t="s">
        <v>654</v>
      </c>
      <c r="B14">
        <v>7</v>
      </c>
      <c r="C14">
        <v>7</v>
      </c>
      <c r="D14">
        <v>1</v>
      </c>
      <c r="E14" s="80">
        <v>5525994.1871999996</v>
      </c>
      <c r="F14" s="80">
        <v>5525994.1806290345</v>
      </c>
      <c r="G14" s="80">
        <v>3781742.0145952865</v>
      </c>
      <c r="H14" s="80">
        <v>2486962.0803570817</v>
      </c>
      <c r="I14" s="80">
        <v>0</v>
      </c>
      <c r="J14" s="80">
        <v>177051.75867380254</v>
      </c>
      <c r="K14" s="80">
        <v>401190.06994617789</v>
      </c>
      <c r="L14" s="80">
        <v>118904.64520488716</v>
      </c>
      <c r="M14" s="80">
        <v>87831.700898433322</v>
      </c>
      <c r="N14" s="80">
        <v>0</v>
      </c>
      <c r="O14" s="80">
        <v>0</v>
      </c>
      <c r="P14" s="80">
        <v>486158.15253572492</v>
      </c>
      <c r="Q14" s="80">
        <v>0</v>
      </c>
      <c r="R14" s="80">
        <v>111475.30787761626</v>
      </c>
      <c r="S14" s="80">
        <v>1039689.5324737744</v>
      </c>
      <c r="T14" s="80">
        <v>204330.61042242107</v>
      </c>
      <c r="U14" s="80">
        <v>0</v>
      </c>
      <c r="V14" s="80">
        <v>33360.082892393722</v>
      </c>
      <c r="W14" s="80">
        <v>0</v>
      </c>
      <c r="X14" s="80">
        <v>464303.92377479828</v>
      </c>
      <c r="Y14" s="80">
        <v>0</v>
      </c>
      <c r="Z14" s="80">
        <v>0</v>
      </c>
      <c r="AA14" s="80">
        <v>2568.0164703689152</v>
      </c>
      <c r="AB14" s="80">
        <v>0</v>
      </c>
      <c r="AC14" s="80">
        <v>0</v>
      </c>
      <c r="AD14" s="80">
        <v>0</v>
      </c>
      <c r="AE14" s="80">
        <v>0</v>
      </c>
      <c r="AF14" s="80">
        <v>0</v>
      </c>
      <c r="AG14" s="80">
        <v>0</v>
      </c>
      <c r="AH14" s="80">
        <v>0</v>
      </c>
      <c r="AI14" s="79">
        <v>46230.712534722225</v>
      </c>
    </row>
    <row r="15" spans="1:35" x14ac:dyDescent="0.3">
      <c r="A15" t="s">
        <v>655</v>
      </c>
      <c r="B15">
        <v>8</v>
      </c>
      <c r="C15">
        <v>8</v>
      </c>
      <c r="D15">
        <v>1</v>
      </c>
      <c r="E15" s="80">
        <v>1093951.7767</v>
      </c>
      <c r="F15" s="80">
        <v>1093951.7769798792</v>
      </c>
      <c r="G15" s="80">
        <v>1093951.7769798792</v>
      </c>
      <c r="H15" s="80">
        <v>1093951.7769798792</v>
      </c>
      <c r="I15" s="80">
        <v>0</v>
      </c>
      <c r="J15" s="80">
        <v>0</v>
      </c>
      <c r="K15" s="80">
        <v>0</v>
      </c>
      <c r="L15" s="80">
        <v>0</v>
      </c>
      <c r="M15" s="80">
        <v>0</v>
      </c>
      <c r="N15" s="80">
        <v>0</v>
      </c>
      <c r="O15" s="80">
        <v>0</v>
      </c>
      <c r="P15" s="80">
        <v>0</v>
      </c>
      <c r="Q15" s="80">
        <v>0</v>
      </c>
      <c r="R15" s="80">
        <v>0</v>
      </c>
      <c r="S15" s="80">
        <v>0</v>
      </c>
      <c r="T15" s="80">
        <v>0</v>
      </c>
      <c r="U15" s="80">
        <v>0</v>
      </c>
      <c r="V15" s="80">
        <v>0</v>
      </c>
      <c r="W15" s="80">
        <v>0</v>
      </c>
      <c r="X15" s="80">
        <v>0</v>
      </c>
      <c r="Y15" s="80">
        <v>0</v>
      </c>
      <c r="Z15" s="80">
        <v>0</v>
      </c>
      <c r="AA15" s="80">
        <v>0</v>
      </c>
      <c r="AB15" s="80">
        <v>0</v>
      </c>
      <c r="AC15" s="80">
        <v>0</v>
      </c>
      <c r="AD15" s="80">
        <v>0</v>
      </c>
      <c r="AE15" s="80">
        <v>0</v>
      </c>
      <c r="AF15" s="80">
        <v>0</v>
      </c>
      <c r="AG15" s="80">
        <v>0</v>
      </c>
      <c r="AH15" s="80">
        <v>0</v>
      </c>
      <c r="AI15" s="79">
        <v>46230.712569444448</v>
      </c>
    </row>
    <row r="16" spans="1:35" x14ac:dyDescent="0.3">
      <c r="A16" t="s">
        <v>656</v>
      </c>
      <c r="B16">
        <v>9</v>
      </c>
      <c r="C16">
        <v>9</v>
      </c>
      <c r="D16">
        <v>1</v>
      </c>
      <c r="E16" s="80">
        <v>757403.19469999999</v>
      </c>
      <c r="F16" s="80">
        <v>757403.19934973435</v>
      </c>
      <c r="G16" s="80">
        <v>752128.4322356584</v>
      </c>
      <c r="H16" s="80">
        <v>751090.68840759748</v>
      </c>
      <c r="I16" s="80">
        <v>0</v>
      </c>
      <c r="J16" s="80">
        <v>0</v>
      </c>
      <c r="K16" s="80">
        <v>0</v>
      </c>
      <c r="L16" s="80">
        <v>1037.7438280610238</v>
      </c>
      <c r="M16" s="80">
        <v>43.01621858915982</v>
      </c>
      <c r="N16" s="80">
        <v>0</v>
      </c>
      <c r="O16" s="80">
        <v>0</v>
      </c>
      <c r="P16" s="80">
        <v>0</v>
      </c>
      <c r="Q16" s="80">
        <v>0</v>
      </c>
      <c r="R16" s="80">
        <v>0</v>
      </c>
      <c r="S16" s="80">
        <v>0</v>
      </c>
      <c r="T16" s="80">
        <v>0</v>
      </c>
      <c r="U16" s="80">
        <v>0</v>
      </c>
      <c r="V16" s="80">
        <v>274.76707407593773</v>
      </c>
      <c r="W16" s="80">
        <v>0</v>
      </c>
      <c r="X16" s="80">
        <v>0</v>
      </c>
      <c r="Y16" s="80">
        <v>0</v>
      </c>
      <c r="Z16" s="80">
        <v>0</v>
      </c>
      <c r="AA16" s="80">
        <v>5000.0000399999972</v>
      </c>
      <c r="AB16" s="80">
        <v>0</v>
      </c>
      <c r="AC16" s="80">
        <v>0</v>
      </c>
      <c r="AD16" s="80">
        <v>0</v>
      </c>
      <c r="AE16" s="80">
        <v>0</v>
      </c>
      <c r="AF16" s="80">
        <v>0</v>
      </c>
      <c r="AG16" s="80">
        <v>0</v>
      </c>
      <c r="AH16" s="80">
        <v>0</v>
      </c>
      <c r="AI16" s="79">
        <v>46230.71261574074</v>
      </c>
    </row>
    <row r="17" spans="1:35" x14ac:dyDescent="0.3">
      <c r="A17" t="s">
        <v>522</v>
      </c>
      <c r="B17">
        <v>10</v>
      </c>
      <c r="C17">
        <v>10</v>
      </c>
      <c r="D17">
        <v>1</v>
      </c>
      <c r="E17" s="80">
        <v>13448322.135600001</v>
      </c>
      <c r="F17" s="80">
        <v>13448322.132843059</v>
      </c>
      <c r="G17" s="80">
        <v>13433757.554322701</v>
      </c>
      <c r="H17" s="80">
        <v>13393320.169207349</v>
      </c>
      <c r="I17" s="80">
        <v>0</v>
      </c>
      <c r="J17" s="80">
        <v>0</v>
      </c>
      <c r="K17" s="80">
        <v>12601.981421872635</v>
      </c>
      <c r="L17" s="80">
        <v>27835.403693477954</v>
      </c>
      <c r="M17" s="80">
        <v>0</v>
      </c>
      <c r="N17" s="80">
        <v>0</v>
      </c>
      <c r="O17" s="80">
        <v>0</v>
      </c>
      <c r="P17" s="80">
        <v>0</v>
      </c>
      <c r="Q17" s="80">
        <v>0</v>
      </c>
      <c r="R17" s="80">
        <v>0</v>
      </c>
      <c r="S17" s="80">
        <v>0</v>
      </c>
      <c r="T17" s="80">
        <v>0</v>
      </c>
      <c r="U17" s="80">
        <v>0</v>
      </c>
      <c r="V17" s="80">
        <v>2537.1371150429586</v>
      </c>
      <c r="W17" s="80">
        <v>0</v>
      </c>
      <c r="X17" s="80">
        <v>0</v>
      </c>
      <c r="Y17" s="80">
        <v>0</v>
      </c>
      <c r="Z17" s="80">
        <v>0</v>
      </c>
      <c r="AA17" s="80">
        <v>12027.441405314337</v>
      </c>
      <c r="AB17" s="80">
        <v>0</v>
      </c>
      <c r="AC17" s="80">
        <v>0</v>
      </c>
      <c r="AD17" s="80">
        <v>0</v>
      </c>
      <c r="AE17" s="80">
        <v>0</v>
      </c>
      <c r="AF17" s="80">
        <v>0</v>
      </c>
      <c r="AG17" s="80">
        <v>0</v>
      </c>
      <c r="AH17" s="80">
        <v>0</v>
      </c>
      <c r="AI17" s="79">
        <v>46230.71266203704</v>
      </c>
    </row>
    <row r="18" spans="1:35" x14ac:dyDescent="0.3">
      <c r="A18" t="s">
        <v>633</v>
      </c>
      <c r="B18">
        <v>11</v>
      </c>
      <c r="C18">
        <v>11</v>
      </c>
      <c r="D18">
        <v>1</v>
      </c>
      <c r="E18" s="80">
        <v>3276270.7954000002</v>
      </c>
      <c r="F18" s="80">
        <v>3276270.7951804972</v>
      </c>
      <c r="G18" s="80">
        <v>3276270.7951804972</v>
      </c>
      <c r="H18" s="80">
        <v>596403.35520629212</v>
      </c>
      <c r="I18" s="80">
        <v>0</v>
      </c>
      <c r="J18" s="80">
        <v>596934.51651264261</v>
      </c>
      <c r="K18" s="80">
        <v>442904.23524871084</v>
      </c>
      <c r="L18" s="80">
        <v>65221.97189682124</v>
      </c>
      <c r="M18" s="80">
        <v>64973.965606880127</v>
      </c>
      <c r="N18" s="80">
        <v>0</v>
      </c>
      <c r="O18" s="80">
        <v>0</v>
      </c>
      <c r="P18" s="80">
        <v>991823.5902480993</v>
      </c>
      <c r="Q18" s="80">
        <v>0</v>
      </c>
      <c r="R18" s="80">
        <v>582983.12606793013</v>
      </c>
      <c r="S18" s="80">
        <v>0</v>
      </c>
      <c r="T18" s="80">
        <v>0</v>
      </c>
      <c r="U18" s="80">
        <v>0</v>
      </c>
      <c r="V18" s="80">
        <v>0</v>
      </c>
      <c r="W18" s="80">
        <v>0</v>
      </c>
      <c r="X18" s="80">
        <v>0</v>
      </c>
      <c r="Y18" s="80">
        <v>0</v>
      </c>
      <c r="Z18" s="80">
        <v>0</v>
      </c>
      <c r="AA18" s="80">
        <v>0</v>
      </c>
      <c r="AB18" s="80">
        <v>0</v>
      </c>
      <c r="AC18" s="80">
        <v>0</v>
      </c>
      <c r="AD18" s="80">
        <v>0</v>
      </c>
      <c r="AE18" s="80">
        <v>0</v>
      </c>
      <c r="AF18" s="80">
        <v>0</v>
      </c>
      <c r="AG18" s="80">
        <v>0</v>
      </c>
      <c r="AH18" s="80">
        <v>0</v>
      </c>
      <c r="AI18" s="79">
        <v>46230.712708333333</v>
      </c>
    </row>
    <row r="19" spans="1:35" x14ac:dyDescent="0.3">
      <c r="A19" t="s">
        <v>634</v>
      </c>
      <c r="B19">
        <v>12</v>
      </c>
      <c r="C19">
        <v>12</v>
      </c>
      <c r="D19">
        <v>1</v>
      </c>
      <c r="E19" s="80">
        <v>3515844.9342999998</v>
      </c>
      <c r="F19" s="80">
        <v>3515844.9347825721</v>
      </c>
      <c r="G19" s="80">
        <v>2364593.5933654904</v>
      </c>
      <c r="H19" s="80">
        <v>1423618.8816438532</v>
      </c>
      <c r="I19" s="80">
        <v>0</v>
      </c>
      <c r="J19" s="80">
        <v>159192.41330678514</v>
      </c>
      <c r="K19" s="80">
        <v>153004.34475747778</v>
      </c>
      <c r="L19" s="80">
        <v>24162.022925371952</v>
      </c>
      <c r="M19" s="80">
        <v>14807.618454477089</v>
      </c>
      <c r="N19" s="80">
        <v>0</v>
      </c>
      <c r="O19" s="80">
        <v>0</v>
      </c>
      <c r="P19" s="80">
        <v>444952.61069460859</v>
      </c>
      <c r="Q19" s="80">
        <v>0</v>
      </c>
      <c r="R19" s="80">
        <v>159663.32003739444</v>
      </c>
      <c r="S19" s="80">
        <v>1111808.5261464408</v>
      </c>
      <c r="T19" s="80">
        <v>14402.830577642966</v>
      </c>
      <c r="U19" s="80">
        <v>0</v>
      </c>
      <c r="V19" s="80">
        <v>10000.000000000002</v>
      </c>
      <c r="W19" s="80">
        <v>0</v>
      </c>
      <c r="X19" s="80">
        <v>12489.675584970235</v>
      </c>
      <c r="Y19" s="80">
        <v>0</v>
      </c>
      <c r="Z19" s="80">
        <v>0</v>
      </c>
      <c r="AA19" s="80">
        <v>2550.3091080275285</v>
      </c>
      <c r="AB19" s="80">
        <v>0</v>
      </c>
      <c r="AC19" s="80">
        <v>0</v>
      </c>
      <c r="AD19" s="80">
        <v>0</v>
      </c>
      <c r="AE19" s="80">
        <v>0</v>
      </c>
      <c r="AF19" s="80">
        <v>0</v>
      </c>
      <c r="AG19" s="80">
        <v>0</v>
      </c>
      <c r="AH19" s="80">
        <v>0</v>
      </c>
      <c r="AI19" s="79">
        <v>46230.712766203702</v>
      </c>
    </row>
    <row r="20" spans="1:35" x14ac:dyDescent="0.3">
      <c r="A20" t="s">
        <v>635</v>
      </c>
      <c r="B20">
        <v>13</v>
      </c>
      <c r="C20">
        <v>13</v>
      </c>
      <c r="D20">
        <v>1</v>
      </c>
      <c r="E20" s="80">
        <v>15581003.1721</v>
      </c>
      <c r="F20" s="80">
        <v>15581003.172120208</v>
      </c>
      <c r="G20" s="80">
        <v>15519077.841512728</v>
      </c>
      <c r="H20" s="80">
        <v>1620202.1703562276</v>
      </c>
      <c r="I20" s="80">
        <v>0</v>
      </c>
      <c r="J20" s="80">
        <v>12574451.828209881</v>
      </c>
      <c r="K20" s="80">
        <v>0</v>
      </c>
      <c r="L20" s="80">
        <v>0</v>
      </c>
      <c r="M20" s="80">
        <v>0</v>
      </c>
      <c r="N20" s="80">
        <v>0</v>
      </c>
      <c r="O20" s="80">
        <v>0</v>
      </c>
      <c r="P20" s="80">
        <v>422542.85205927159</v>
      </c>
      <c r="Q20" s="80">
        <v>0</v>
      </c>
      <c r="R20" s="80">
        <v>901880.99088735564</v>
      </c>
      <c r="S20" s="80">
        <v>0</v>
      </c>
      <c r="T20" s="80">
        <v>0</v>
      </c>
      <c r="U20" s="80">
        <v>0</v>
      </c>
      <c r="V20" s="80">
        <v>38908.584824630401</v>
      </c>
      <c r="W20" s="80">
        <v>0</v>
      </c>
      <c r="X20" s="80">
        <v>0</v>
      </c>
      <c r="Y20" s="80">
        <v>0</v>
      </c>
      <c r="Z20" s="80">
        <v>0</v>
      </c>
      <c r="AA20" s="80">
        <v>23016.7457828486</v>
      </c>
      <c r="AB20" s="80">
        <v>0</v>
      </c>
      <c r="AC20" s="80">
        <v>0</v>
      </c>
      <c r="AD20" s="80">
        <v>0</v>
      </c>
      <c r="AE20" s="80">
        <v>0</v>
      </c>
      <c r="AF20" s="80">
        <v>0</v>
      </c>
      <c r="AG20" s="80">
        <v>0</v>
      </c>
      <c r="AH20" s="80">
        <v>0</v>
      </c>
      <c r="AI20" s="79">
        <v>46230.712812500002</v>
      </c>
    </row>
    <row r="21" spans="1:35" x14ac:dyDescent="0.3">
      <c r="A21" t="s">
        <v>636</v>
      </c>
      <c r="B21">
        <v>14</v>
      </c>
      <c r="C21">
        <v>14</v>
      </c>
      <c r="D21">
        <v>1</v>
      </c>
      <c r="E21" s="80">
        <v>26866075.6129</v>
      </c>
      <c r="F21" s="80">
        <v>26866075.613012522</v>
      </c>
      <c r="G21" s="80">
        <v>26681868.089193054</v>
      </c>
      <c r="H21" s="80">
        <v>2742899.2335383873</v>
      </c>
      <c r="I21" s="80">
        <v>0</v>
      </c>
      <c r="J21" s="80">
        <v>21302652.578426186</v>
      </c>
      <c r="K21" s="80">
        <v>0</v>
      </c>
      <c r="L21" s="80">
        <v>0</v>
      </c>
      <c r="M21" s="80">
        <v>0</v>
      </c>
      <c r="N21" s="80">
        <v>0</v>
      </c>
      <c r="O21" s="80">
        <v>0</v>
      </c>
      <c r="P21" s="80">
        <v>790564.63780323975</v>
      </c>
      <c r="Q21" s="80">
        <v>0</v>
      </c>
      <c r="R21" s="80">
        <v>1845751.6394252414</v>
      </c>
      <c r="S21" s="80">
        <v>0</v>
      </c>
      <c r="T21" s="80">
        <v>0</v>
      </c>
      <c r="U21" s="80">
        <v>0</v>
      </c>
      <c r="V21" s="80">
        <v>139207.5238194729</v>
      </c>
      <c r="W21" s="80">
        <v>0</v>
      </c>
      <c r="X21" s="80">
        <v>0</v>
      </c>
      <c r="Y21" s="80">
        <v>0</v>
      </c>
      <c r="Z21" s="80">
        <v>0</v>
      </c>
      <c r="AA21" s="80">
        <v>45000</v>
      </c>
      <c r="AB21" s="80">
        <v>0</v>
      </c>
      <c r="AC21" s="80">
        <v>0</v>
      </c>
      <c r="AD21" s="80">
        <v>0</v>
      </c>
      <c r="AE21" s="80">
        <v>0</v>
      </c>
      <c r="AF21" s="80">
        <v>0</v>
      </c>
      <c r="AG21" s="80">
        <v>0</v>
      </c>
      <c r="AH21" s="80">
        <v>0</v>
      </c>
      <c r="AI21" s="79">
        <v>46230.712870370371</v>
      </c>
    </row>
    <row r="22" spans="1:35" x14ac:dyDescent="0.3">
      <c r="A22" t="s">
        <v>637</v>
      </c>
      <c r="B22">
        <v>15</v>
      </c>
      <c r="C22">
        <v>15</v>
      </c>
      <c r="D22">
        <v>1</v>
      </c>
      <c r="E22" s="80">
        <v>3958390.24</v>
      </c>
      <c r="F22" s="80">
        <v>3958390.240432776</v>
      </c>
      <c r="G22" s="80">
        <v>3820562.2001944459</v>
      </c>
      <c r="H22" s="80">
        <v>1964985.0388344522</v>
      </c>
      <c r="I22" s="80">
        <v>0</v>
      </c>
      <c r="J22" s="80">
        <v>311107.61060381989</v>
      </c>
      <c r="K22" s="80">
        <v>248529.4530572723</v>
      </c>
      <c r="L22" s="80">
        <v>34179.618333274986</v>
      </c>
      <c r="M22" s="80">
        <v>33049.325395016494</v>
      </c>
      <c r="N22" s="80">
        <v>0</v>
      </c>
      <c r="O22" s="80">
        <v>0</v>
      </c>
      <c r="P22" s="80">
        <v>972333.78763661685</v>
      </c>
      <c r="Q22" s="80">
        <v>0</v>
      </c>
      <c r="R22" s="80">
        <v>289426.69172900973</v>
      </c>
      <c r="S22" s="80">
        <v>117134.97712564596</v>
      </c>
      <c r="T22" s="80">
        <v>7926.6961841008097</v>
      </c>
      <c r="U22" s="80">
        <v>0</v>
      </c>
      <c r="V22" s="80">
        <v>0</v>
      </c>
      <c r="W22" s="80">
        <v>0</v>
      </c>
      <c r="X22" s="80">
        <v>12766.366928585117</v>
      </c>
      <c r="Y22" s="80">
        <v>0</v>
      </c>
      <c r="Z22" s="80">
        <v>0</v>
      </c>
      <c r="AA22" s="80">
        <v>0</v>
      </c>
      <c r="AB22" s="80">
        <v>0</v>
      </c>
      <c r="AC22" s="80">
        <v>0</v>
      </c>
      <c r="AD22" s="80">
        <v>0</v>
      </c>
      <c r="AE22" s="80">
        <v>0</v>
      </c>
      <c r="AF22" s="80">
        <v>0</v>
      </c>
      <c r="AG22" s="80">
        <v>0</v>
      </c>
      <c r="AH22" s="80">
        <v>0</v>
      </c>
      <c r="AI22" s="79">
        <v>46230.71292824074</v>
      </c>
    </row>
    <row r="23" spans="1:35" x14ac:dyDescent="0.3">
      <c r="A23" t="s">
        <v>638</v>
      </c>
      <c r="B23">
        <v>16</v>
      </c>
      <c r="C23">
        <v>16</v>
      </c>
      <c r="D23">
        <v>1</v>
      </c>
      <c r="E23" s="80">
        <v>3524638.5639</v>
      </c>
      <c r="F23" s="80">
        <v>3524638.5624861624</v>
      </c>
      <c r="G23" s="80">
        <v>1704435.5865921695</v>
      </c>
      <c r="H23" s="80">
        <v>64955.912697120119</v>
      </c>
      <c r="I23" s="80">
        <v>0</v>
      </c>
      <c r="J23" s="80">
        <v>64880.880826414905</v>
      </c>
      <c r="K23" s="80">
        <v>0</v>
      </c>
      <c r="L23" s="80">
        <v>0</v>
      </c>
      <c r="M23" s="80">
        <v>0</v>
      </c>
      <c r="N23" s="80">
        <v>0</v>
      </c>
      <c r="O23" s="80">
        <v>0</v>
      </c>
      <c r="P23" s="80">
        <v>986947.09975862142</v>
      </c>
      <c r="Q23" s="80">
        <v>0</v>
      </c>
      <c r="R23" s="80">
        <v>587651.69331001269</v>
      </c>
      <c r="S23" s="80">
        <v>1147273.6073691379</v>
      </c>
      <c r="T23" s="80">
        <v>204112.62452100226</v>
      </c>
      <c r="U23" s="80">
        <v>0</v>
      </c>
      <c r="V23" s="80">
        <v>0</v>
      </c>
      <c r="W23" s="80">
        <v>0</v>
      </c>
      <c r="X23" s="80">
        <v>468816.74400385207</v>
      </c>
      <c r="Y23" s="80">
        <v>0</v>
      </c>
      <c r="Z23" s="80">
        <v>0</v>
      </c>
      <c r="AA23" s="80">
        <v>0</v>
      </c>
      <c r="AB23" s="80">
        <v>0</v>
      </c>
      <c r="AC23" s="80">
        <v>0</v>
      </c>
      <c r="AD23" s="80">
        <v>0</v>
      </c>
      <c r="AE23" s="80">
        <v>0</v>
      </c>
      <c r="AF23" s="80">
        <v>0</v>
      </c>
      <c r="AG23" s="80">
        <v>0</v>
      </c>
      <c r="AH23" s="80">
        <v>0</v>
      </c>
      <c r="AI23" s="79">
        <v>46230.71297453704</v>
      </c>
    </row>
    <row r="24" spans="1:35" x14ac:dyDescent="0.3">
      <c r="A24" t="s">
        <v>639</v>
      </c>
      <c r="B24">
        <v>17</v>
      </c>
      <c r="C24">
        <v>17</v>
      </c>
      <c r="D24">
        <v>1</v>
      </c>
      <c r="E24" s="80">
        <v>5017849.9711999996</v>
      </c>
      <c r="F24" s="80">
        <v>5017849.9632939845</v>
      </c>
      <c r="G24" s="80">
        <v>4098554.8118843338</v>
      </c>
      <c r="H24" s="80">
        <v>1947471.574808656</v>
      </c>
      <c r="I24" s="80">
        <v>0</v>
      </c>
      <c r="J24" s="80">
        <v>395832.65037949465</v>
      </c>
      <c r="K24" s="80">
        <v>537826.14606681699</v>
      </c>
      <c r="L24" s="80">
        <v>177738.06224973628</v>
      </c>
      <c r="M24" s="80">
        <v>166206.66788574378</v>
      </c>
      <c r="N24" s="80">
        <v>0</v>
      </c>
      <c r="O24" s="80">
        <v>0</v>
      </c>
      <c r="P24" s="80">
        <v>804747.18572507834</v>
      </c>
      <c r="Q24" s="80">
        <v>0</v>
      </c>
      <c r="R24" s="80">
        <v>234939.19265456547</v>
      </c>
      <c r="S24" s="80">
        <v>359350.48732689954</v>
      </c>
      <c r="T24" s="80">
        <v>226445.82207908845</v>
      </c>
      <c r="U24" s="80">
        <v>0</v>
      </c>
      <c r="V24" s="80">
        <v>0</v>
      </c>
      <c r="W24" s="80">
        <v>0</v>
      </c>
      <c r="X24" s="80">
        <v>333498.84200366598</v>
      </c>
      <c r="Y24" s="80">
        <v>0</v>
      </c>
      <c r="Z24" s="80">
        <v>0</v>
      </c>
      <c r="AA24" s="80">
        <v>0</v>
      </c>
      <c r="AB24" s="80">
        <v>0</v>
      </c>
      <c r="AC24" s="80">
        <v>0</v>
      </c>
      <c r="AD24" s="80">
        <v>0</v>
      </c>
      <c r="AE24" s="80">
        <v>0</v>
      </c>
      <c r="AF24" s="80">
        <v>0</v>
      </c>
      <c r="AG24" s="80">
        <v>0</v>
      </c>
      <c r="AH24" s="80">
        <v>0</v>
      </c>
      <c r="AI24" s="79">
        <v>46230.713020833333</v>
      </c>
    </row>
    <row r="25" spans="1:35" x14ac:dyDescent="0.3">
      <c r="A25" t="s">
        <v>528</v>
      </c>
      <c r="B25">
        <v>327</v>
      </c>
      <c r="C25">
        <v>327</v>
      </c>
      <c r="D25">
        <v>1</v>
      </c>
      <c r="E25" s="80">
        <v>1065689.3979</v>
      </c>
      <c r="F25" s="80">
        <v>1065689.3982660859</v>
      </c>
      <c r="G25" s="80">
        <v>693487.93968900875</v>
      </c>
      <c r="H25" s="80">
        <v>70052.506910192533</v>
      </c>
      <c r="I25" s="80">
        <v>0</v>
      </c>
      <c r="J25" s="80">
        <v>142426.13716497913</v>
      </c>
      <c r="K25" s="80">
        <v>127279.25599485422</v>
      </c>
      <c r="L25" s="80">
        <v>2279.5821285633033</v>
      </c>
      <c r="M25" s="80">
        <v>2279.5821285633033</v>
      </c>
      <c r="N25" s="80">
        <v>201248.52934182552</v>
      </c>
      <c r="O25" s="80">
        <v>201248.52934182552</v>
      </c>
      <c r="P25" s="80">
        <v>236368.13485912385</v>
      </c>
      <c r="Q25" s="80">
        <v>47895.335019008548</v>
      </c>
      <c r="R25" s="80">
        <v>115082.32263129624</v>
      </c>
      <c r="S25" s="80">
        <v>25394.020409521203</v>
      </c>
      <c r="T25" s="80">
        <v>17484.364995361182</v>
      </c>
      <c r="U25" s="80">
        <v>0</v>
      </c>
      <c r="V25" s="80">
        <v>0</v>
      </c>
      <c r="W25" s="80">
        <v>0</v>
      </c>
      <c r="X25" s="80">
        <v>80179.208811359815</v>
      </c>
      <c r="Y25" s="80">
        <v>0</v>
      </c>
      <c r="Z25" s="80">
        <v>0</v>
      </c>
      <c r="AA25" s="80">
        <v>0</v>
      </c>
      <c r="AB25" s="80">
        <v>0</v>
      </c>
      <c r="AC25" s="80">
        <v>0</v>
      </c>
      <c r="AD25" s="80">
        <v>0</v>
      </c>
      <c r="AE25" s="80">
        <v>0</v>
      </c>
      <c r="AF25" s="80">
        <v>0</v>
      </c>
      <c r="AG25" s="80">
        <v>0</v>
      </c>
      <c r="AH25" s="80">
        <v>0</v>
      </c>
      <c r="AI25" s="79">
        <v>46230.713078703702</v>
      </c>
    </row>
    <row r="26" spans="1:35" x14ac:dyDescent="0.3">
      <c r="A26" t="s">
        <v>530</v>
      </c>
      <c r="B26">
        <v>331</v>
      </c>
      <c r="C26">
        <v>331</v>
      </c>
      <c r="D26">
        <v>1</v>
      </c>
      <c r="E26" s="80">
        <v>2254174.6020999998</v>
      </c>
      <c r="F26" s="80">
        <v>2254174.6022160552</v>
      </c>
      <c r="G26" s="80">
        <v>1311231.1205823326</v>
      </c>
      <c r="H26" s="80">
        <v>145551.33721075591</v>
      </c>
      <c r="I26" s="80">
        <v>0</v>
      </c>
      <c r="J26" s="80">
        <v>272307.19062321208</v>
      </c>
      <c r="K26" s="80">
        <v>267148.14243085752</v>
      </c>
      <c r="L26" s="80">
        <v>9034.0256410362981</v>
      </c>
      <c r="M26" s="80">
        <v>9034.0256410362981</v>
      </c>
      <c r="N26" s="80">
        <v>302907.92113720987</v>
      </c>
      <c r="O26" s="80">
        <v>302907.92113720987</v>
      </c>
      <c r="P26" s="80">
        <v>406293.92983884033</v>
      </c>
      <c r="Q26" s="80">
        <v>454331.84686970303</v>
      </c>
      <c r="R26" s="80">
        <v>210896.49483763071</v>
      </c>
      <c r="S26" s="80">
        <v>36311.362997462624</v>
      </c>
      <c r="T26" s="80">
        <v>27681.874213448609</v>
      </c>
      <c r="U26" s="80">
        <v>0</v>
      </c>
      <c r="V26" s="80">
        <v>0</v>
      </c>
      <c r="W26" s="80">
        <v>0</v>
      </c>
      <c r="X26" s="80">
        <v>121710.47641589846</v>
      </c>
      <c r="Y26" s="80">
        <v>0</v>
      </c>
      <c r="Z26" s="80">
        <v>0</v>
      </c>
      <c r="AA26" s="80">
        <v>0</v>
      </c>
      <c r="AB26" s="80">
        <v>0</v>
      </c>
      <c r="AC26" s="80">
        <v>0</v>
      </c>
      <c r="AD26" s="80">
        <v>0</v>
      </c>
      <c r="AE26" s="80">
        <v>0</v>
      </c>
      <c r="AF26" s="80">
        <v>0</v>
      </c>
      <c r="AG26" s="80">
        <v>0</v>
      </c>
      <c r="AH26" s="80">
        <v>0</v>
      </c>
      <c r="AI26" s="79">
        <v>46230.713125000002</v>
      </c>
    </row>
    <row r="27" spans="1:35" x14ac:dyDescent="0.3">
      <c r="A27" t="s">
        <v>657</v>
      </c>
      <c r="B27">
        <v>18</v>
      </c>
      <c r="C27">
        <v>18</v>
      </c>
      <c r="D27">
        <v>1</v>
      </c>
      <c r="E27" s="80">
        <v>4390618.7100999998</v>
      </c>
      <c r="F27" s="80">
        <v>4390618.7178822681</v>
      </c>
      <c r="G27" s="80">
        <v>3586235.460398816</v>
      </c>
      <c r="H27" s="80">
        <v>1704037.6279575718</v>
      </c>
      <c r="I27" s="80">
        <v>0</v>
      </c>
      <c r="J27" s="80">
        <v>346353.5690820578</v>
      </c>
      <c r="K27" s="80">
        <v>470597.87780846481</v>
      </c>
      <c r="L27" s="80">
        <v>155520.8044685192</v>
      </c>
      <c r="M27" s="80">
        <v>145430.83440002578</v>
      </c>
      <c r="N27" s="80">
        <v>0</v>
      </c>
      <c r="O27" s="80">
        <v>0</v>
      </c>
      <c r="P27" s="80">
        <v>704153.78750944289</v>
      </c>
      <c r="Q27" s="80">
        <v>0</v>
      </c>
      <c r="R27" s="80">
        <v>205571.79357274485</v>
      </c>
      <c r="S27" s="80">
        <v>314431.67641103716</v>
      </c>
      <c r="T27" s="80">
        <v>198140.09431920241</v>
      </c>
      <c r="U27" s="80">
        <v>0</v>
      </c>
      <c r="V27" s="80">
        <v>0</v>
      </c>
      <c r="W27" s="80">
        <v>0</v>
      </c>
      <c r="X27" s="80">
        <v>291811.48675320781</v>
      </c>
      <c r="Y27" s="80">
        <v>0</v>
      </c>
      <c r="Z27" s="80">
        <v>0</v>
      </c>
      <c r="AA27" s="80">
        <v>0</v>
      </c>
      <c r="AB27" s="80">
        <v>0</v>
      </c>
      <c r="AC27" s="80">
        <v>0</v>
      </c>
      <c r="AD27" s="80">
        <v>0</v>
      </c>
      <c r="AE27" s="80">
        <v>0</v>
      </c>
      <c r="AF27" s="80">
        <v>0</v>
      </c>
      <c r="AG27" s="80">
        <v>0</v>
      </c>
      <c r="AH27" s="80">
        <v>0</v>
      </c>
      <c r="AI27" s="79">
        <v>46230.713171296295</v>
      </c>
    </row>
    <row r="28" spans="1:35" x14ac:dyDescent="0.3">
      <c r="A28" t="s">
        <v>658</v>
      </c>
      <c r="B28">
        <v>19</v>
      </c>
      <c r="C28">
        <v>19</v>
      </c>
      <c r="D28">
        <v>1</v>
      </c>
      <c r="E28" s="80">
        <v>194869.2334</v>
      </c>
      <c r="F28" s="80">
        <v>194869.23344314279</v>
      </c>
      <c r="G28" s="80">
        <v>0</v>
      </c>
      <c r="H28" s="80">
        <v>0</v>
      </c>
      <c r="I28" s="80">
        <v>0</v>
      </c>
      <c r="J28" s="80">
        <v>0</v>
      </c>
      <c r="K28" s="80">
        <v>0</v>
      </c>
      <c r="L28" s="80">
        <v>0</v>
      </c>
      <c r="M28" s="80">
        <v>0</v>
      </c>
      <c r="N28" s="80">
        <v>131566.83344314279</v>
      </c>
      <c r="O28" s="80">
        <v>0</v>
      </c>
      <c r="P28" s="80">
        <v>0</v>
      </c>
      <c r="Q28" s="80">
        <v>0</v>
      </c>
      <c r="R28" s="80">
        <v>0</v>
      </c>
      <c r="S28" s="80">
        <v>0</v>
      </c>
      <c r="T28" s="80">
        <v>63302.400000000001</v>
      </c>
      <c r="U28" s="80">
        <v>0</v>
      </c>
      <c r="V28" s="80">
        <v>0</v>
      </c>
      <c r="W28" s="80">
        <v>0</v>
      </c>
      <c r="X28" s="80">
        <v>0</v>
      </c>
      <c r="Y28" s="80">
        <v>0</v>
      </c>
      <c r="Z28" s="80">
        <v>0</v>
      </c>
      <c r="AA28" s="80">
        <v>0</v>
      </c>
      <c r="AB28" s="80">
        <v>0</v>
      </c>
      <c r="AC28" s="80">
        <v>0</v>
      </c>
      <c r="AD28" s="80">
        <v>0</v>
      </c>
      <c r="AE28" s="80">
        <v>0</v>
      </c>
      <c r="AF28" s="80">
        <v>0</v>
      </c>
      <c r="AG28" s="80">
        <v>0</v>
      </c>
      <c r="AH28" s="80">
        <v>0</v>
      </c>
      <c r="AI28" s="79">
        <v>46230.713229166664</v>
      </c>
    </row>
    <row r="29" spans="1:35" x14ac:dyDescent="0.3">
      <c r="A29" t="s">
        <v>659</v>
      </c>
      <c r="B29">
        <v>20</v>
      </c>
      <c r="C29">
        <v>20</v>
      </c>
      <c r="D29">
        <v>1</v>
      </c>
      <c r="E29" s="80">
        <v>13851163.7664</v>
      </c>
      <c r="F29" s="80">
        <v>13838753.200233979</v>
      </c>
      <c r="G29" s="80">
        <v>6249944.2410987336</v>
      </c>
      <c r="H29" s="80">
        <v>2267678.8957940824</v>
      </c>
      <c r="I29" s="80">
        <v>0</v>
      </c>
      <c r="J29" s="80">
        <v>961373.44369926373</v>
      </c>
      <c r="K29" s="80">
        <v>1139869.4465876829</v>
      </c>
      <c r="L29" s="80">
        <v>955896.79110083776</v>
      </c>
      <c r="M29" s="80">
        <v>737356.71143782686</v>
      </c>
      <c r="N29" s="80">
        <v>5699875.5476012444</v>
      </c>
      <c r="O29" s="80">
        <v>5699875.5476012444</v>
      </c>
      <c r="P29" s="80">
        <v>383372.88601221226</v>
      </c>
      <c r="Q29" s="80">
        <v>867555.94307552744</v>
      </c>
      <c r="R29" s="80">
        <v>541752.77790465148</v>
      </c>
      <c r="S29" s="80">
        <v>0</v>
      </c>
      <c r="T29" s="80">
        <v>0</v>
      </c>
      <c r="U29" s="80">
        <v>0</v>
      </c>
      <c r="V29" s="80">
        <v>46858.037502026251</v>
      </c>
      <c r="W29" s="80">
        <v>0</v>
      </c>
      <c r="X29" s="80">
        <v>8276.3743824028516</v>
      </c>
      <c r="Y29" s="80">
        <v>0</v>
      </c>
      <c r="Z29" s="80">
        <v>941569.83742206078</v>
      </c>
      <c r="AA29" s="80">
        <v>24673.21915197925</v>
      </c>
      <c r="AB29" s="80">
        <v>0</v>
      </c>
      <c r="AC29" s="80">
        <v>0</v>
      </c>
      <c r="AD29" s="80">
        <v>0</v>
      </c>
      <c r="AE29" s="80">
        <v>0</v>
      </c>
      <c r="AF29" s="80">
        <v>0</v>
      </c>
      <c r="AG29" s="80">
        <v>0</v>
      </c>
      <c r="AH29" s="80">
        <v>0</v>
      </c>
      <c r="AI29" s="79">
        <v>46230.713287037041</v>
      </c>
    </row>
    <row r="30" spans="1:35" x14ac:dyDescent="0.3">
      <c r="A30" t="s">
        <v>660</v>
      </c>
      <c r="B30">
        <v>21</v>
      </c>
      <c r="C30">
        <v>21</v>
      </c>
      <c r="D30">
        <v>1</v>
      </c>
      <c r="E30" s="80">
        <v>604647.6067</v>
      </c>
      <c r="F30" s="80">
        <v>604647.60590528569</v>
      </c>
      <c r="G30" s="80">
        <v>604647.60590528569</v>
      </c>
      <c r="H30" s="80">
        <v>184024.95973614592</v>
      </c>
      <c r="I30" s="80">
        <v>0</v>
      </c>
      <c r="J30" s="80">
        <v>24565.850106829846</v>
      </c>
      <c r="K30" s="80">
        <v>209040.52217226967</v>
      </c>
      <c r="L30" s="80">
        <v>15376.127882863069</v>
      </c>
      <c r="M30" s="80">
        <v>15376.127882863069</v>
      </c>
      <c r="N30" s="80">
        <v>0</v>
      </c>
      <c r="O30" s="80">
        <v>0</v>
      </c>
      <c r="P30" s="80">
        <v>131697.23531059799</v>
      </c>
      <c r="Q30" s="80">
        <v>0</v>
      </c>
      <c r="R30" s="80">
        <v>39942.910696579798</v>
      </c>
      <c r="S30" s="80">
        <v>0</v>
      </c>
      <c r="T30" s="80">
        <v>0</v>
      </c>
      <c r="U30" s="80">
        <v>0</v>
      </c>
      <c r="V30" s="80">
        <v>0</v>
      </c>
      <c r="W30" s="80">
        <v>0</v>
      </c>
      <c r="X30" s="80">
        <v>0</v>
      </c>
      <c r="Y30" s="80">
        <v>0</v>
      </c>
      <c r="Z30" s="80">
        <v>0</v>
      </c>
      <c r="AA30" s="80">
        <v>0</v>
      </c>
      <c r="AB30" s="80">
        <v>0</v>
      </c>
      <c r="AC30" s="80">
        <v>0</v>
      </c>
      <c r="AD30" s="80">
        <v>0</v>
      </c>
      <c r="AE30" s="80">
        <v>0</v>
      </c>
      <c r="AF30" s="80">
        <v>0</v>
      </c>
      <c r="AG30" s="80">
        <v>0</v>
      </c>
      <c r="AH30" s="80">
        <v>0</v>
      </c>
      <c r="AI30" s="79">
        <v>46230.713333333333</v>
      </c>
    </row>
    <row r="31" spans="1:35" x14ac:dyDescent="0.3">
      <c r="A31" t="s">
        <v>661</v>
      </c>
      <c r="B31">
        <v>22</v>
      </c>
      <c r="C31">
        <v>22</v>
      </c>
      <c r="D31">
        <v>1</v>
      </c>
      <c r="E31" s="80">
        <v>4093152.8533999999</v>
      </c>
      <c r="F31" s="80">
        <v>4093152.8529654592</v>
      </c>
      <c r="G31" s="80">
        <v>4093152.8529654592</v>
      </c>
      <c r="H31" s="80">
        <v>1565624.6999789481</v>
      </c>
      <c r="I31" s="80">
        <v>0</v>
      </c>
      <c r="J31" s="80">
        <v>318556.20104513207</v>
      </c>
      <c r="K31" s="80">
        <v>1016660.5454069891</v>
      </c>
      <c r="L31" s="80">
        <v>112814.40537516608</v>
      </c>
      <c r="M31" s="80">
        <v>112814.40537516608</v>
      </c>
      <c r="N31" s="80">
        <v>0</v>
      </c>
      <c r="O31" s="80">
        <v>0</v>
      </c>
      <c r="P31" s="80">
        <v>699376.68567677203</v>
      </c>
      <c r="Q31" s="80">
        <v>0</v>
      </c>
      <c r="R31" s="80">
        <v>380120.31548245298</v>
      </c>
      <c r="S31" s="80">
        <v>0</v>
      </c>
      <c r="T31" s="80">
        <v>0</v>
      </c>
      <c r="U31" s="80">
        <v>0</v>
      </c>
      <c r="V31" s="80">
        <v>0</v>
      </c>
      <c r="W31" s="80">
        <v>0</v>
      </c>
      <c r="X31" s="80">
        <v>0</v>
      </c>
      <c r="Y31" s="80">
        <v>0</v>
      </c>
      <c r="Z31" s="80">
        <v>0</v>
      </c>
      <c r="AA31" s="80">
        <v>0</v>
      </c>
      <c r="AB31" s="80">
        <v>0</v>
      </c>
      <c r="AC31" s="80">
        <v>0</v>
      </c>
      <c r="AD31" s="80">
        <v>0</v>
      </c>
      <c r="AE31" s="80">
        <v>0</v>
      </c>
      <c r="AF31" s="80">
        <v>0</v>
      </c>
      <c r="AG31" s="80">
        <v>0</v>
      </c>
      <c r="AH31" s="80">
        <v>0</v>
      </c>
      <c r="AI31" s="79">
        <v>46230.713391203702</v>
      </c>
    </row>
    <row r="32" spans="1:35" x14ac:dyDescent="0.3">
      <c r="A32" t="s">
        <v>662</v>
      </c>
      <c r="B32">
        <v>23</v>
      </c>
      <c r="C32">
        <v>23</v>
      </c>
      <c r="D32">
        <v>1</v>
      </c>
      <c r="E32" s="80">
        <v>7332831.7554000001</v>
      </c>
      <c r="F32" s="80">
        <v>7332831.7503293883</v>
      </c>
      <c r="G32" s="80">
        <v>6118158.6987739624</v>
      </c>
      <c r="H32" s="80">
        <v>174346.03972042404</v>
      </c>
      <c r="I32" s="80">
        <v>0</v>
      </c>
      <c r="J32" s="80">
        <v>1008199.7467607122</v>
      </c>
      <c r="K32" s="80">
        <v>1985703.798593618</v>
      </c>
      <c r="L32" s="80">
        <v>300122.56427459925</v>
      </c>
      <c r="M32" s="80">
        <v>300122.56427459925</v>
      </c>
      <c r="N32" s="80">
        <v>563350.70939482865</v>
      </c>
      <c r="O32" s="80">
        <v>563350.70939482865</v>
      </c>
      <c r="P32" s="80">
        <v>2104517.932374795</v>
      </c>
      <c r="Q32" s="80">
        <v>596517.85424779169</v>
      </c>
      <c r="R32" s="80">
        <v>545268.61704981397</v>
      </c>
      <c r="S32" s="80">
        <v>54804.487912809549</v>
      </c>
      <c r="T32" s="80">
        <v>0</v>
      </c>
      <c r="U32" s="80">
        <v>0</v>
      </c>
      <c r="V32" s="80">
        <v>0</v>
      </c>
      <c r="W32" s="80">
        <v>0</v>
      </c>
      <c r="X32" s="80">
        <v>0</v>
      </c>
      <c r="Y32" s="80">
        <v>0</v>
      </c>
      <c r="Z32" s="80">
        <v>0</v>
      </c>
      <c r="AA32" s="80">
        <v>0</v>
      </c>
      <c r="AB32" s="80">
        <v>0</v>
      </c>
      <c r="AC32" s="80">
        <v>0</v>
      </c>
      <c r="AD32" s="80">
        <v>0</v>
      </c>
      <c r="AE32" s="80">
        <v>0</v>
      </c>
      <c r="AF32" s="80">
        <v>0</v>
      </c>
      <c r="AG32" s="80">
        <v>0</v>
      </c>
      <c r="AH32" s="80">
        <v>0</v>
      </c>
      <c r="AI32" s="79">
        <v>46230.713449074072</v>
      </c>
    </row>
    <row r="33" spans="1:35" x14ac:dyDescent="0.3">
      <c r="A33" t="s">
        <v>663</v>
      </c>
      <c r="B33">
        <v>24</v>
      </c>
      <c r="C33">
        <v>24</v>
      </c>
      <c r="D33">
        <v>1</v>
      </c>
      <c r="E33" s="80">
        <v>2946214.2239999999</v>
      </c>
      <c r="F33" s="80">
        <v>2946214.221763968</v>
      </c>
      <c r="G33" s="80">
        <v>2687003.7561461315</v>
      </c>
      <c r="H33" s="80">
        <v>50522.332726911227</v>
      </c>
      <c r="I33" s="80">
        <v>0</v>
      </c>
      <c r="J33" s="80">
        <v>326436.9164632248</v>
      </c>
      <c r="K33" s="80">
        <v>926821.31874562288</v>
      </c>
      <c r="L33" s="80">
        <v>99799.398731677342</v>
      </c>
      <c r="M33" s="80">
        <v>99799.398731677342</v>
      </c>
      <c r="N33" s="80">
        <v>96552.290117729208</v>
      </c>
      <c r="O33" s="80">
        <v>96552.290117729208</v>
      </c>
      <c r="P33" s="80">
        <v>1131722.96401461</v>
      </c>
      <c r="Q33" s="80">
        <v>162658.17550010825</v>
      </c>
      <c r="R33" s="80">
        <v>151700.82546408867</v>
      </c>
      <c r="S33" s="80">
        <v>0</v>
      </c>
      <c r="T33" s="80">
        <v>0</v>
      </c>
      <c r="U33" s="80">
        <v>0</v>
      </c>
      <c r="V33" s="80">
        <v>0</v>
      </c>
      <c r="W33" s="80">
        <v>0</v>
      </c>
      <c r="X33" s="80">
        <v>0</v>
      </c>
      <c r="Y33" s="80">
        <v>0</v>
      </c>
      <c r="Z33" s="80">
        <v>0</v>
      </c>
      <c r="AA33" s="80">
        <v>0</v>
      </c>
      <c r="AB33" s="80">
        <v>0</v>
      </c>
      <c r="AC33" s="80">
        <v>0</v>
      </c>
      <c r="AD33" s="80">
        <v>0</v>
      </c>
      <c r="AE33" s="80">
        <v>0</v>
      </c>
      <c r="AF33" s="80">
        <v>0</v>
      </c>
      <c r="AG33" s="80">
        <v>0</v>
      </c>
      <c r="AH33" s="80">
        <v>0</v>
      </c>
      <c r="AI33" s="79">
        <v>46230.713506944441</v>
      </c>
    </row>
    <row r="34" spans="1:35" x14ac:dyDescent="0.3">
      <c r="A34" t="s">
        <v>664</v>
      </c>
      <c r="B34">
        <v>25</v>
      </c>
      <c r="C34">
        <v>25</v>
      </c>
      <c r="D34">
        <v>1</v>
      </c>
      <c r="E34" s="80">
        <v>6941856.2697000001</v>
      </c>
      <c r="F34" s="80">
        <v>6941856.2684789933</v>
      </c>
      <c r="G34" s="80">
        <v>6936809.1487685665</v>
      </c>
      <c r="H34" s="80">
        <v>3628788.9343890618</v>
      </c>
      <c r="I34" s="80">
        <v>0</v>
      </c>
      <c r="J34" s="80">
        <v>703579.48794732767</v>
      </c>
      <c r="K34" s="80">
        <v>766705.38333224168</v>
      </c>
      <c r="L34" s="80">
        <v>185428.2208368108</v>
      </c>
      <c r="M34" s="80">
        <v>140766.25418053847</v>
      </c>
      <c r="N34" s="80">
        <v>0</v>
      </c>
      <c r="O34" s="80">
        <v>0</v>
      </c>
      <c r="P34" s="80">
        <v>1333062.1783894452</v>
      </c>
      <c r="Q34" s="80">
        <v>0</v>
      </c>
      <c r="R34" s="80">
        <v>319244.94387366623</v>
      </c>
      <c r="S34" s="80">
        <v>0</v>
      </c>
      <c r="T34" s="80">
        <v>0</v>
      </c>
      <c r="U34" s="80">
        <v>0</v>
      </c>
      <c r="V34" s="80">
        <v>5047.1197104272833</v>
      </c>
      <c r="W34" s="80">
        <v>0</v>
      </c>
      <c r="X34" s="80">
        <v>0</v>
      </c>
      <c r="Y34" s="80">
        <v>0</v>
      </c>
      <c r="Z34" s="80">
        <v>0</v>
      </c>
      <c r="AA34" s="80">
        <v>0</v>
      </c>
      <c r="AB34" s="80">
        <v>0</v>
      </c>
      <c r="AC34" s="80">
        <v>0</v>
      </c>
      <c r="AD34" s="80">
        <v>0</v>
      </c>
      <c r="AE34" s="80">
        <v>0</v>
      </c>
      <c r="AF34" s="80">
        <v>0</v>
      </c>
      <c r="AG34" s="80">
        <v>0</v>
      </c>
      <c r="AH34" s="80">
        <v>0</v>
      </c>
      <c r="AI34" s="79">
        <v>46230.713553240741</v>
      </c>
    </row>
    <row r="35" spans="1:35" x14ac:dyDescent="0.3">
      <c r="A35" t="s">
        <v>665</v>
      </c>
      <c r="B35">
        <v>26</v>
      </c>
      <c r="C35">
        <v>26</v>
      </c>
      <c r="D35">
        <v>1</v>
      </c>
      <c r="E35" s="80">
        <v>6806963.0542000001</v>
      </c>
      <c r="F35" s="80">
        <v>6783380.1227847226</v>
      </c>
      <c r="G35" s="80">
        <v>2987467.1599069452</v>
      </c>
      <c r="H35" s="80">
        <v>1095032.9532531924</v>
      </c>
      <c r="I35" s="80">
        <v>0</v>
      </c>
      <c r="J35" s="80">
        <v>563081.72426989884</v>
      </c>
      <c r="K35" s="80">
        <v>373331.90478067077</v>
      </c>
      <c r="L35" s="80">
        <v>380859.92911431124</v>
      </c>
      <c r="M35" s="80">
        <v>305979.98406595585</v>
      </c>
      <c r="N35" s="80">
        <v>2080441.9705462735</v>
      </c>
      <c r="O35" s="80">
        <v>2080441.9705462735</v>
      </c>
      <c r="P35" s="80">
        <v>289481.41457525821</v>
      </c>
      <c r="Q35" s="80">
        <v>1151114.034236796</v>
      </c>
      <c r="R35" s="80">
        <v>285679.2339136175</v>
      </c>
      <c r="S35" s="80">
        <v>19424.865816320227</v>
      </c>
      <c r="T35" s="80">
        <v>5196.1577564856561</v>
      </c>
      <c r="U35" s="80">
        <v>0</v>
      </c>
      <c r="V35" s="80">
        <v>19089.484399101559</v>
      </c>
      <c r="W35" s="80">
        <v>0</v>
      </c>
      <c r="X35" s="80">
        <v>60805.977753317806</v>
      </c>
      <c r="Y35" s="80">
        <v>0</v>
      </c>
      <c r="Z35" s="80">
        <v>429833.6468693699</v>
      </c>
      <c r="AA35" s="80">
        <v>10170.843898137095</v>
      </c>
      <c r="AB35" s="80">
        <v>0</v>
      </c>
      <c r="AC35" s="80">
        <v>0</v>
      </c>
      <c r="AD35" s="80">
        <v>13365.895393967567</v>
      </c>
      <c r="AE35" s="80">
        <v>0</v>
      </c>
      <c r="AF35" s="80">
        <v>0</v>
      </c>
      <c r="AG35" s="80">
        <v>13365.895393967567</v>
      </c>
      <c r="AH35" s="80">
        <v>13365.895393967567</v>
      </c>
      <c r="AI35" s="79">
        <v>46230.71361111111</v>
      </c>
    </row>
    <row r="36" spans="1:35" x14ac:dyDescent="0.3">
      <c r="A36" t="s">
        <v>666</v>
      </c>
      <c r="B36">
        <v>27</v>
      </c>
      <c r="C36">
        <v>27</v>
      </c>
      <c r="D36">
        <v>1</v>
      </c>
      <c r="E36" s="80">
        <v>7854144.6386000002</v>
      </c>
      <c r="F36" s="80">
        <v>7846127.2896444397</v>
      </c>
      <c r="G36" s="80">
        <v>3879455.264167015</v>
      </c>
      <c r="H36" s="80">
        <v>1333915.623707087</v>
      </c>
      <c r="I36" s="80">
        <v>0</v>
      </c>
      <c r="J36" s="80">
        <v>757174.63192241476</v>
      </c>
      <c r="K36" s="80">
        <v>482105.2489549226</v>
      </c>
      <c r="L36" s="80">
        <v>526117.34086219361</v>
      </c>
      <c r="M36" s="80">
        <v>461209.38926194725</v>
      </c>
      <c r="N36" s="80">
        <v>1863911.4976462692</v>
      </c>
      <c r="O36" s="80">
        <v>1863911.4976462692</v>
      </c>
      <c r="P36" s="80">
        <v>447868.32641817827</v>
      </c>
      <c r="Q36" s="80">
        <v>1408508.6878927941</v>
      </c>
      <c r="R36" s="80">
        <v>332274.09230222023</v>
      </c>
      <c r="S36" s="80">
        <v>57663.263895736709</v>
      </c>
      <c r="T36" s="80">
        <v>0</v>
      </c>
      <c r="U36" s="80">
        <v>0</v>
      </c>
      <c r="V36" s="80">
        <v>17255.95938249963</v>
      </c>
      <c r="W36" s="80">
        <v>0</v>
      </c>
      <c r="X36" s="80">
        <v>72244.345307646567</v>
      </c>
      <c r="Y36" s="80">
        <v>0</v>
      </c>
      <c r="Z36" s="80">
        <v>509249.34801339224</v>
      </c>
      <c r="AA36" s="80">
        <v>6651.5480069695523</v>
      </c>
      <c r="AB36" s="80">
        <v>0</v>
      </c>
      <c r="AC36" s="80">
        <v>0</v>
      </c>
      <c r="AD36" s="80">
        <v>12270.344192914545</v>
      </c>
      <c r="AE36" s="80">
        <v>0</v>
      </c>
      <c r="AF36" s="80">
        <v>0</v>
      </c>
      <c r="AG36" s="80">
        <v>12270.344192914545</v>
      </c>
      <c r="AH36" s="80">
        <v>12270.344192914545</v>
      </c>
      <c r="AI36" s="79">
        <v>46230.713680555556</v>
      </c>
    </row>
    <row r="37" spans="1:35" x14ac:dyDescent="0.3">
      <c r="A37" t="s">
        <v>667</v>
      </c>
      <c r="B37">
        <v>28</v>
      </c>
      <c r="C37">
        <v>28</v>
      </c>
      <c r="D37">
        <v>1</v>
      </c>
      <c r="E37" s="80">
        <v>5188076.4798999997</v>
      </c>
      <c r="F37" s="80">
        <v>5178311.8303793631</v>
      </c>
      <c r="G37" s="80">
        <v>2937307.4150086627</v>
      </c>
      <c r="H37" s="80">
        <v>1034071.9191653176</v>
      </c>
      <c r="I37" s="80">
        <v>0</v>
      </c>
      <c r="J37" s="80">
        <v>655720.40527494834</v>
      </c>
      <c r="K37" s="80">
        <v>294697.62414100231</v>
      </c>
      <c r="L37" s="80">
        <v>368829.6903444241</v>
      </c>
      <c r="M37" s="80">
        <v>309063.16020614299</v>
      </c>
      <c r="N37" s="80">
        <v>816775.15124235442</v>
      </c>
      <c r="O37" s="80">
        <v>816775.15124235442</v>
      </c>
      <c r="P37" s="80">
        <v>406179.03513155848</v>
      </c>
      <c r="Q37" s="80">
        <v>1054206.7726772262</v>
      </c>
      <c r="R37" s="80">
        <v>177808.74095141067</v>
      </c>
      <c r="S37" s="80">
        <v>29870.07119619994</v>
      </c>
      <c r="T37" s="80">
        <v>0</v>
      </c>
      <c r="U37" s="80">
        <v>0</v>
      </c>
      <c r="V37" s="80">
        <v>0</v>
      </c>
      <c r="W37" s="80">
        <v>0</v>
      </c>
      <c r="X37" s="80">
        <v>26169.522666204553</v>
      </c>
      <c r="Y37" s="80">
        <v>0</v>
      </c>
      <c r="Z37" s="80">
        <v>299147.81448878348</v>
      </c>
      <c r="AA37" s="80">
        <v>1366.0880026481809</v>
      </c>
      <c r="AB37" s="80">
        <v>0</v>
      </c>
      <c r="AC37" s="80">
        <v>0</v>
      </c>
      <c r="AD37" s="80">
        <v>1803.5152369871744</v>
      </c>
      <c r="AE37" s="80">
        <v>0</v>
      </c>
      <c r="AF37" s="80">
        <v>0</v>
      </c>
      <c r="AG37" s="80">
        <v>1803.5152369871744</v>
      </c>
      <c r="AH37" s="80">
        <v>1803.5152369871744</v>
      </c>
      <c r="AI37" s="79">
        <v>46230.713738425926</v>
      </c>
    </row>
    <row r="38" spans="1:35" x14ac:dyDescent="0.3">
      <c r="A38" t="s">
        <v>668</v>
      </c>
      <c r="B38">
        <v>29</v>
      </c>
      <c r="C38">
        <v>29</v>
      </c>
      <c r="D38">
        <v>1</v>
      </c>
      <c r="E38" s="80">
        <v>6229354.2878</v>
      </c>
      <c r="F38" s="80">
        <v>6229354.2933969786</v>
      </c>
      <c r="G38" s="80">
        <v>4204650.2551343227</v>
      </c>
      <c r="H38" s="80">
        <v>1693453.5333152066</v>
      </c>
      <c r="I38" s="80">
        <v>0</v>
      </c>
      <c r="J38" s="80">
        <v>432654.23202998011</v>
      </c>
      <c r="K38" s="80">
        <v>595565.38206606917</v>
      </c>
      <c r="L38" s="80">
        <v>45073.318023067426</v>
      </c>
      <c r="M38" s="80">
        <v>45073.318023067426</v>
      </c>
      <c r="N38" s="80">
        <v>0</v>
      </c>
      <c r="O38" s="80">
        <v>0</v>
      </c>
      <c r="P38" s="80">
        <v>1051589.7733825028</v>
      </c>
      <c r="Q38" s="80">
        <v>0</v>
      </c>
      <c r="R38" s="80">
        <v>386314.01631748956</v>
      </c>
      <c r="S38" s="80">
        <v>1561004.583402988</v>
      </c>
      <c r="T38" s="80">
        <v>99905.65368215715</v>
      </c>
      <c r="U38" s="80">
        <v>0</v>
      </c>
      <c r="V38" s="80">
        <v>0</v>
      </c>
      <c r="W38" s="80">
        <v>0</v>
      </c>
      <c r="X38" s="80">
        <v>363793.80117749417</v>
      </c>
      <c r="Y38" s="80">
        <v>0</v>
      </c>
      <c r="Z38" s="80">
        <v>0</v>
      </c>
      <c r="AA38" s="80">
        <v>0</v>
      </c>
      <c r="AB38" s="80">
        <v>0</v>
      </c>
      <c r="AC38" s="80">
        <v>0</v>
      </c>
      <c r="AD38" s="80">
        <v>0</v>
      </c>
      <c r="AE38" s="80">
        <v>0</v>
      </c>
      <c r="AF38" s="80">
        <v>0</v>
      </c>
      <c r="AG38" s="80">
        <v>0</v>
      </c>
      <c r="AH38" s="80">
        <v>0</v>
      </c>
      <c r="AI38" s="79">
        <v>46230.713784722226</v>
      </c>
    </row>
    <row r="39" spans="1:35" x14ac:dyDescent="0.3">
      <c r="A39" t="s">
        <v>669</v>
      </c>
      <c r="B39">
        <v>30</v>
      </c>
      <c r="C39">
        <v>30</v>
      </c>
      <c r="D39">
        <v>1</v>
      </c>
      <c r="E39" s="80">
        <v>4185344.3585000001</v>
      </c>
      <c r="F39" s="80">
        <v>4185344.3580101081</v>
      </c>
      <c r="G39" s="80">
        <v>3544115.2661213106</v>
      </c>
      <c r="H39" s="80">
        <v>1374574.2766348328</v>
      </c>
      <c r="I39" s="80">
        <v>0</v>
      </c>
      <c r="J39" s="80">
        <v>405829.76773455716</v>
      </c>
      <c r="K39" s="80">
        <v>413721.9962829047</v>
      </c>
      <c r="L39" s="80">
        <v>61242.476867531899</v>
      </c>
      <c r="M39" s="80">
        <v>31811.592815467866</v>
      </c>
      <c r="N39" s="80">
        <v>0</v>
      </c>
      <c r="O39" s="80">
        <v>0</v>
      </c>
      <c r="P39" s="80">
        <v>893532.79496696836</v>
      </c>
      <c r="Q39" s="80">
        <v>0</v>
      </c>
      <c r="R39" s="80">
        <v>395213.95363451733</v>
      </c>
      <c r="S39" s="80">
        <v>355753.88000947307</v>
      </c>
      <c r="T39" s="80">
        <v>81800.397389920996</v>
      </c>
      <c r="U39" s="80">
        <v>0</v>
      </c>
      <c r="V39" s="80">
        <v>13779.891765677918</v>
      </c>
      <c r="W39" s="80">
        <v>0</v>
      </c>
      <c r="X39" s="80">
        <v>186262.70666332956</v>
      </c>
      <c r="Y39" s="80">
        <v>0</v>
      </c>
      <c r="Z39" s="80">
        <v>0</v>
      </c>
      <c r="AA39" s="80">
        <v>3632.2160603964976</v>
      </c>
      <c r="AB39" s="80">
        <v>0</v>
      </c>
      <c r="AC39" s="80">
        <v>0</v>
      </c>
      <c r="AD39" s="80">
        <v>0</v>
      </c>
      <c r="AE39" s="80">
        <v>0</v>
      </c>
      <c r="AF39" s="80">
        <v>0</v>
      </c>
      <c r="AG39" s="80">
        <v>0</v>
      </c>
      <c r="AH39" s="80">
        <v>0</v>
      </c>
      <c r="AI39" s="79">
        <v>46230.713831018518</v>
      </c>
    </row>
    <row r="40" spans="1:35" x14ac:dyDescent="0.3">
      <c r="A40" t="s">
        <v>670</v>
      </c>
      <c r="B40">
        <v>31</v>
      </c>
      <c r="C40">
        <v>31</v>
      </c>
      <c r="D40">
        <v>1</v>
      </c>
      <c r="E40" s="80">
        <v>15041261.678200001</v>
      </c>
      <c r="F40" s="80">
        <v>15041261.680401044</v>
      </c>
      <c r="G40" s="80">
        <v>10856430.157982858</v>
      </c>
      <c r="H40" s="80">
        <v>3551852.0390126412</v>
      </c>
      <c r="I40" s="80">
        <v>0</v>
      </c>
      <c r="J40" s="80">
        <v>2493725.1303568729</v>
      </c>
      <c r="K40" s="80">
        <v>1208468.3335520977</v>
      </c>
      <c r="L40" s="80">
        <v>1065138.2153640029</v>
      </c>
      <c r="M40" s="80">
        <v>942179.91602447105</v>
      </c>
      <c r="N40" s="80">
        <v>2194269.0855014017</v>
      </c>
      <c r="O40" s="80">
        <v>2194269.0855014017</v>
      </c>
      <c r="P40" s="80">
        <v>1445719.0224899058</v>
      </c>
      <c r="Q40" s="80">
        <v>1654858.0414365849</v>
      </c>
      <c r="R40" s="80">
        <v>1091527.4172073451</v>
      </c>
      <c r="S40" s="80">
        <v>168474.74523381094</v>
      </c>
      <c r="T40" s="80">
        <v>39265.764577318128</v>
      </c>
      <c r="U40" s="80">
        <v>0</v>
      </c>
      <c r="V40" s="80">
        <v>13476.601363912039</v>
      </c>
      <c r="W40" s="80">
        <v>0</v>
      </c>
      <c r="X40" s="80">
        <v>75042.717563077284</v>
      </c>
      <c r="Y40" s="80">
        <v>0</v>
      </c>
      <c r="Z40" s="80">
        <v>39444.566742075505</v>
      </c>
      <c r="AA40" s="80">
        <v>0</v>
      </c>
      <c r="AB40" s="80">
        <v>0</v>
      </c>
      <c r="AC40" s="80">
        <v>0</v>
      </c>
      <c r="AD40" s="80">
        <v>0</v>
      </c>
      <c r="AE40" s="80">
        <v>0</v>
      </c>
      <c r="AF40" s="80">
        <v>0</v>
      </c>
      <c r="AG40" s="80">
        <v>0</v>
      </c>
      <c r="AH40" s="80">
        <v>0</v>
      </c>
      <c r="AI40" s="79">
        <v>46230.713888888888</v>
      </c>
    </row>
    <row r="41" spans="1:35" x14ac:dyDescent="0.3">
      <c r="A41" t="s">
        <v>671</v>
      </c>
      <c r="B41">
        <v>32</v>
      </c>
      <c r="C41">
        <v>32</v>
      </c>
      <c r="D41">
        <v>1</v>
      </c>
      <c r="E41" s="80">
        <v>4644958.0782000003</v>
      </c>
      <c r="F41" s="80">
        <v>4644958.0776872663</v>
      </c>
      <c r="G41" s="80">
        <v>3792627.3563963105</v>
      </c>
      <c r="H41" s="80">
        <v>1346031.5258526783</v>
      </c>
      <c r="I41" s="80">
        <v>0</v>
      </c>
      <c r="J41" s="80">
        <v>709747.02035271551</v>
      </c>
      <c r="K41" s="80">
        <v>439590.09522472497</v>
      </c>
      <c r="L41" s="80">
        <v>269879.88599877758</v>
      </c>
      <c r="M41" s="80">
        <v>254803.5899220767</v>
      </c>
      <c r="N41" s="80">
        <v>256644.65216878604</v>
      </c>
      <c r="O41" s="80">
        <v>256644.65216878604</v>
      </c>
      <c r="P41" s="80">
        <v>566986.93737527414</v>
      </c>
      <c r="Q41" s="80">
        <v>572015.80531498417</v>
      </c>
      <c r="R41" s="80">
        <v>460391.89159214037</v>
      </c>
      <c r="S41" s="80">
        <v>7534.0944376267735</v>
      </c>
      <c r="T41" s="80">
        <v>12500.000499999996</v>
      </c>
      <c r="U41" s="80">
        <v>0</v>
      </c>
      <c r="V41" s="80">
        <v>0</v>
      </c>
      <c r="W41" s="80">
        <v>0</v>
      </c>
      <c r="X41" s="80">
        <v>3636.1688695605567</v>
      </c>
      <c r="Y41" s="80">
        <v>0</v>
      </c>
      <c r="Z41" s="80">
        <v>0</v>
      </c>
      <c r="AA41" s="80">
        <v>0</v>
      </c>
      <c r="AB41" s="80">
        <v>0</v>
      </c>
      <c r="AC41" s="80">
        <v>0</v>
      </c>
      <c r="AD41" s="80">
        <v>0</v>
      </c>
      <c r="AE41" s="80">
        <v>0</v>
      </c>
      <c r="AF41" s="80">
        <v>0</v>
      </c>
      <c r="AG41" s="80">
        <v>0</v>
      </c>
      <c r="AH41" s="80">
        <v>0</v>
      </c>
      <c r="AI41" s="79">
        <v>46230.713946759257</v>
      </c>
    </row>
    <row r="42" spans="1:35" x14ac:dyDescent="0.3">
      <c r="A42" t="s">
        <v>672</v>
      </c>
      <c r="B42">
        <v>33</v>
      </c>
      <c r="C42">
        <v>33</v>
      </c>
      <c r="D42">
        <v>1</v>
      </c>
      <c r="E42" s="80">
        <v>2229579.9739000001</v>
      </c>
      <c r="F42" s="80">
        <v>2229579.9739050125</v>
      </c>
      <c r="G42" s="80">
        <v>1820461.2099568748</v>
      </c>
      <c r="H42" s="80">
        <v>646095.16040674015</v>
      </c>
      <c r="I42" s="80">
        <v>0</v>
      </c>
      <c r="J42" s="80">
        <v>340678.58453204081</v>
      </c>
      <c r="K42" s="80">
        <v>211003.2548513416</v>
      </c>
      <c r="L42" s="80">
        <v>129542.3508929146</v>
      </c>
      <c r="M42" s="80">
        <v>122305.72846251122</v>
      </c>
      <c r="N42" s="80">
        <v>123189.4383792258</v>
      </c>
      <c r="O42" s="80">
        <v>123189.4383792258</v>
      </c>
      <c r="P42" s="80">
        <v>272153.74173345935</v>
      </c>
      <c r="Q42" s="80">
        <v>274567.59844912071</v>
      </c>
      <c r="R42" s="80">
        <v>220988.11754037833</v>
      </c>
      <c r="S42" s="80">
        <v>3616.3654867700084</v>
      </c>
      <c r="T42" s="80">
        <v>6000.0004999999983</v>
      </c>
      <c r="U42" s="80">
        <v>0</v>
      </c>
      <c r="V42" s="80">
        <v>0</v>
      </c>
      <c r="W42" s="80">
        <v>0</v>
      </c>
      <c r="X42" s="80">
        <v>1745.3611330213766</v>
      </c>
      <c r="Y42" s="80">
        <v>0</v>
      </c>
      <c r="Z42" s="80">
        <v>0</v>
      </c>
      <c r="AA42" s="80">
        <v>0</v>
      </c>
      <c r="AB42" s="80">
        <v>0</v>
      </c>
      <c r="AC42" s="80">
        <v>0</v>
      </c>
      <c r="AD42" s="80">
        <v>0</v>
      </c>
      <c r="AE42" s="80">
        <v>0</v>
      </c>
      <c r="AF42" s="80">
        <v>0</v>
      </c>
      <c r="AG42" s="80">
        <v>0</v>
      </c>
      <c r="AH42" s="80">
        <v>0</v>
      </c>
      <c r="AI42" s="79">
        <v>46230.713993055557</v>
      </c>
    </row>
    <row r="43" spans="1:35" x14ac:dyDescent="0.3">
      <c r="A43" t="s">
        <v>673</v>
      </c>
      <c r="B43">
        <v>34</v>
      </c>
      <c r="C43">
        <v>34</v>
      </c>
      <c r="D43">
        <v>1</v>
      </c>
      <c r="E43" s="80">
        <v>2713805.7423999999</v>
      </c>
      <c r="F43" s="80">
        <v>2713805.7425213475</v>
      </c>
      <c r="G43" s="80">
        <v>2382144.2170865885</v>
      </c>
      <c r="H43" s="80">
        <v>790959.55731311755</v>
      </c>
      <c r="I43" s="80">
        <v>0</v>
      </c>
      <c r="J43" s="80">
        <v>465686.50168586761</v>
      </c>
      <c r="K43" s="80">
        <v>274212.89296810108</v>
      </c>
      <c r="L43" s="80">
        <v>172656.35028879062</v>
      </c>
      <c r="M43" s="80">
        <v>172656.35028879062</v>
      </c>
      <c r="N43" s="80">
        <v>27000</v>
      </c>
      <c r="O43" s="80">
        <v>27000</v>
      </c>
      <c r="P43" s="80">
        <v>359217.21122660924</v>
      </c>
      <c r="Q43" s="80">
        <v>304661.5254347591</v>
      </c>
      <c r="R43" s="80">
        <v>319411.70360410149</v>
      </c>
      <c r="S43" s="80">
        <v>0</v>
      </c>
      <c r="T43" s="80">
        <v>0</v>
      </c>
      <c r="U43" s="80">
        <v>0</v>
      </c>
      <c r="V43" s="80">
        <v>0</v>
      </c>
      <c r="W43" s="80">
        <v>0</v>
      </c>
      <c r="X43" s="80">
        <v>0</v>
      </c>
      <c r="Y43" s="80">
        <v>0</v>
      </c>
      <c r="Z43" s="80">
        <v>0</v>
      </c>
      <c r="AA43" s="80">
        <v>0</v>
      </c>
      <c r="AB43" s="80">
        <v>0</v>
      </c>
      <c r="AC43" s="80">
        <v>0</v>
      </c>
      <c r="AD43" s="80">
        <v>0</v>
      </c>
      <c r="AE43" s="80">
        <v>0</v>
      </c>
      <c r="AF43" s="80">
        <v>0</v>
      </c>
      <c r="AG43" s="80">
        <v>0</v>
      </c>
      <c r="AH43" s="80">
        <v>0</v>
      </c>
      <c r="AI43" s="79">
        <v>46230.714050925926</v>
      </c>
    </row>
    <row r="44" spans="1:35" x14ac:dyDescent="0.3">
      <c r="A44" t="s">
        <v>674</v>
      </c>
      <c r="B44">
        <v>35</v>
      </c>
      <c r="C44">
        <v>35</v>
      </c>
      <c r="D44">
        <v>1</v>
      </c>
      <c r="E44" s="80">
        <v>5573949.6929000001</v>
      </c>
      <c r="F44" s="80">
        <v>5573949.6932247253</v>
      </c>
      <c r="G44" s="80">
        <v>4551152.8276755726</v>
      </c>
      <c r="H44" s="80">
        <v>1615237.8310232146</v>
      </c>
      <c r="I44" s="80">
        <v>0</v>
      </c>
      <c r="J44" s="80">
        <v>851696.42442325864</v>
      </c>
      <c r="K44" s="80">
        <v>527508.11426966987</v>
      </c>
      <c r="L44" s="80">
        <v>323855.86319853313</v>
      </c>
      <c r="M44" s="80">
        <v>305764.30790649203</v>
      </c>
      <c r="N44" s="80">
        <v>307973.58260254323</v>
      </c>
      <c r="O44" s="80">
        <v>307973.58260254323</v>
      </c>
      <c r="P44" s="80">
        <v>680384.32485032897</v>
      </c>
      <c r="Q44" s="80">
        <v>686418.96637798124</v>
      </c>
      <c r="R44" s="80">
        <v>552470.26991056849</v>
      </c>
      <c r="S44" s="80">
        <v>9040.9133251521289</v>
      </c>
      <c r="T44" s="80">
        <v>15000.000599999998</v>
      </c>
      <c r="U44" s="80">
        <v>0</v>
      </c>
      <c r="V44" s="80">
        <v>0</v>
      </c>
      <c r="W44" s="80">
        <v>0</v>
      </c>
      <c r="X44" s="80">
        <v>4363.4026434726684</v>
      </c>
      <c r="Y44" s="80">
        <v>0</v>
      </c>
      <c r="Z44" s="80">
        <v>0</v>
      </c>
      <c r="AA44" s="80">
        <v>0</v>
      </c>
      <c r="AB44" s="80">
        <v>0</v>
      </c>
      <c r="AC44" s="80">
        <v>0</v>
      </c>
      <c r="AD44" s="80">
        <v>0</v>
      </c>
      <c r="AE44" s="80">
        <v>0</v>
      </c>
      <c r="AF44" s="80">
        <v>0</v>
      </c>
      <c r="AG44" s="80">
        <v>0</v>
      </c>
      <c r="AH44" s="80">
        <v>0</v>
      </c>
      <c r="AI44" s="79">
        <v>46230.714085648149</v>
      </c>
    </row>
    <row r="45" spans="1:35" x14ac:dyDescent="0.3">
      <c r="A45" t="s">
        <v>675</v>
      </c>
      <c r="B45">
        <v>36</v>
      </c>
      <c r="C45">
        <v>36</v>
      </c>
      <c r="D45">
        <v>1</v>
      </c>
      <c r="E45" s="80">
        <v>3158039.1184</v>
      </c>
      <c r="F45" s="80">
        <v>3158039.1183726131</v>
      </c>
      <c r="G45" s="80">
        <v>2738039.1225726134</v>
      </c>
      <c r="H45" s="80">
        <v>884367.53434299084</v>
      </c>
      <c r="I45" s="80">
        <v>0</v>
      </c>
      <c r="J45" s="80">
        <v>554241.76733751851</v>
      </c>
      <c r="K45" s="80">
        <v>308651.21445440286</v>
      </c>
      <c r="L45" s="80">
        <v>219999.99780000004</v>
      </c>
      <c r="M45" s="80">
        <v>219999.99780000004</v>
      </c>
      <c r="N45" s="80">
        <v>39999.999600000003</v>
      </c>
      <c r="O45" s="80">
        <v>39999.999600000003</v>
      </c>
      <c r="P45" s="80">
        <v>442332.91653657157</v>
      </c>
      <c r="Q45" s="80">
        <v>379999.99620000005</v>
      </c>
      <c r="R45" s="80">
        <v>328445.69210112857</v>
      </c>
      <c r="S45" s="80">
        <v>0</v>
      </c>
      <c r="T45" s="80">
        <v>0</v>
      </c>
      <c r="U45" s="80">
        <v>0</v>
      </c>
      <c r="V45" s="80">
        <v>0</v>
      </c>
      <c r="W45" s="80">
        <v>0</v>
      </c>
      <c r="X45" s="80">
        <v>0</v>
      </c>
      <c r="Y45" s="80">
        <v>0</v>
      </c>
      <c r="Z45" s="80">
        <v>0</v>
      </c>
      <c r="AA45" s="80">
        <v>0</v>
      </c>
      <c r="AB45" s="80">
        <v>0</v>
      </c>
      <c r="AC45" s="80">
        <v>0</v>
      </c>
      <c r="AD45" s="80">
        <v>0</v>
      </c>
      <c r="AE45" s="80">
        <v>0</v>
      </c>
      <c r="AF45" s="80">
        <v>0</v>
      </c>
      <c r="AG45" s="80">
        <v>0</v>
      </c>
      <c r="AH45" s="80">
        <v>0</v>
      </c>
      <c r="AI45" s="79">
        <v>46230.714155092595</v>
      </c>
    </row>
    <row r="46" spans="1:35" x14ac:dyDescent="0.3">
      <c r="A46" t="s">
        <v>676</v>
      </c>
      <c r="B46">
        <v>37</v>
      </c>
      <c r="C46">
        <v>37</v>
      </c>
      <c r="D46">
        <v>1</v>
      </c>
      <c r="E46" s="80">
        <v>5602898.9748999998</v>
      </c>
      <c r="F46" s="80">
        <v>5602898.9734280538</v>
      </c>
      <c r="G46" s="80">
        <v>4207786.9815200614</v>
      </c>
      <c r="H46" s="80">
        <v>1377007.1002068652</v>
      </c>
      <c r="I46" s="80">
        <v>0</v>
      </c>
      <c r="J46" s="80">
        <v>945513.41676547495</v>
      </c>
      <c r="K46" s="80">
        <v>475731.06362919894</v>
      </c>
      <c r="L46" s="80">
        <v>399240.83294453059</v>
      </c>
      <c r="M46" s="80">
        <v>359767.33195034211</v>
      </c>
      <c r="N46" s="80">
        <v>640812.5909604159</v>
      </c>
      <c r="O46" s="80">
        <v>640812.5909604159</v>
      </c>
      <c r="P46" s="80">
        <v>575144.42248064291</v>
      </c>
      <c r="Q46" s="80">
        <v>646861.20211752143</v>
      </c>
      <c r="R46" s="80">
        <v>435150.14549335174</v>
      </c>
      <c r="S46" s="80">
        <v>59430.417966361019</v>
      </c>
      <c r="T46" s="80">
        <v>15281.326540584645</v>
      </c>
      <c r="U46" s="80">
        <v>0</v>
      </c>
      <c r="V46" s="80">
        <v>3259.9644672480417</v>
      </c>
      <c r="W46" s="80">
        <v>0</v>
      </c>
      <c r="X46" s="80">
        <v>21932.518624092972</v>
      </c>
      <c r="Y46" s="80">
        <v>0</v>
      </c>
      <c r="Z46" s="80">
        <v>7533.9712317603562</v>
      </c>
      <c r="AA46" s="80">
        <v>0</v>
      </c>
      <c r="AB46" s="80">
        <v>0</v>
      </c>
      <c r="AC46" s="80">
        <v>0</v>
      </c>
      <c r="AD46" s="80">
        <v>0</v>
      </c>
      <c r="AE46" s="80">
        <v>0</v>
      </c>
      <c r="AF46" s="80">
        <v>0</v>
      </c>
      <c r="AG46" s="80">
        <v>0</v>
      </c>
      <c r="AH46" s="80">
        <v>0</v>
      </c>
      <c r="AI46" s="79">
        <v>46230.714201388888</v>
      </c>
    </row>
    <row r="47" spans="1:35" x14ac:dyDescent="0.3">
      <c r="A47" t="s">
        <v>677</v>
      </c>
      <c r="B47">
        <v>38</v>
      </c>
      <c r="C47">
        <v>38</v>
      </c>
      <c r="D47">
        <v>1</v>
      </c>
      <c r="E47" s="80">
        <v>7431932.4420999996</v>
      </c>
      <c r="F47" s="80">
        <v>7431932.4412240069</v>
      </c>
      <c r="G47" s="80">
        <v>6068203.3758008694</v>
      </c>
      <c r="H47" s="80">
        <v>2153650.3013770129</v>
      </c>
      <c r="I47" s="80">
        <v>0</v>
      </c>
      <c r="J47" s="80">
        <v>1135595.1587506577</v>
      </c>
      <c r="K47" s="80">
        <v>703344.106642192</v>
      </c>
      <c r="L47" s="80">
        <v>431807.78953053703</v>
      </c>
      <c r="M47" s="80">
        <v>407685.71737575042</v>
      </c>
      <c r="N47" s="80">
        <v>410631.41677901481</v>
      </c>
      <c r="O47" s="80">
        <v>410631.41677901481</v>
      </c>
      <c r="P47" s="80">
        <v>907179.0408337994</v>
      </c>
      <c r="Q47" s="80">
        <v>915225.22901433334</v>
      </c>
      <c r="R47" s="80">
        <v>736626.97866666992</v>
      </c>
      <c r="S47" s="80">
        <v>12054.550316657045</v>
      </c>
      <c r="T47" s="80">
        <v>19999.999499999998</v>
      </c>
      <c r="U47" s="80">
        <v>0</v>
      </c>
      <c r="V47" s="80">
        <v>0</v>
      </c>
      <c r="W47" s="80">
        <v>0</v>
      </c>
      <c r="X47" s="80">
        <v>5817.869813135344</v>
      </c>
      <c r="Y47" s="80">
        <v>0</v>
      </c>
      <c r="Z47" s="80">
        <v>0</v>
      </c>
      <c r="AA47" s="80">
        <v>0</v>
      </c>
      <c r="AB47" s="80">
        <v>0</v>
      </c>
      <c r="AC47" s="80">
        <v>0</v>
      </c>
      <c r="AD47" s="80">
        <v>0</v>
      </c>
      <c r="AE47" s="80">
        <v>0</v>
      </c>
      <c r="AF47" s="80">
        <v>0</v>
      </c>
      <c r="AG47" s="80">
        <v>0</v>
      </c>
      <c r="AH47" s="80">
        <v>0</v>
      </c>
      <c r="AI47" s="79">
        <v>46230.714259259257</v>
      </c>
    </row>
    <row r="48" spans="1:35" x14ac:dyDescent="0.3">
      <c r="A48" t="s">
        <v>678</v>
      </c>
      <c r="B48">
        <v>39</v>
      </c>
      <c r="C48">
        <v>39</v>
      </c>
      <c r="D48">
        <v>1</v>
      </c>
      <c r="E48" s="80">
        <v>4293090.4436999997</v>
      </c>
      <c r="F48" s="80">
        <v>4293090.4439225597</v>
      </c>
      <c r="G48" s="80">
        <v>3659828.7728311308</v>
      </c>
      <c r="H48" s="80">
        <v>1352551.1279543107</v>
      </c>
      <c r="I48" s="80">
        <v>0</v>
      </c>
      <c r="J48" s="80">
        <v>642829.8955892768</v>
      </c>
      <c r="K48" s="80">
        <v>398763.39212297136</v>
      </c>
      <c r="L48" s="80">
        <v>253961.05208600283</v>
      </c>
      <c r="M48" s="80">
        <v>253961.05208600283</v>
      </c>
      <c r="N48" s="80">
        <v>104786.07692749625</v>
      </c>
      <c r="O48" s="80">
        <v>104786.07692749625</v>
      </c>
      <c r="P48" s="80">
        <v>502208.47490254976</v>
      </c>
      <c r="Q48" s="80">
        <v>516127.43145405286</v>
      </c>
      <c r="R48" s="80">
        <v>509514.83017602121</v>
      </c>
      <c r="S48" s="80">
        <v>0</v>
      </c>
      <c r="T48" s="80">
        <v>12348.162709878086</v>
      </c>
      <c r="U48" s="80">
        <v>0</v>
      </c>
      <c r="V48" s="80">
        <v>0</v>
      </c>
      <c r="W48" s="80">
        <v>0</v>
      </c>
      <c r="X48" s="80">
        <v>0</v>
      </c>
      <c r="Y48" s="80">
        <v>0</v>
      </c>
      <c r="Z48" s="80">
        <v>0</v>
      </c>
      <c r="AA48" s="80">
        <v>0</v>
      </c>
      <c r="AB48" s="80">
        <v>0</v>
      </c>
      <c r="AC48" s="80">
        <v>0</v>
      </c>
      <c r="AD48" s="80">
        <v>0</v>
      </c>
      <c r="AE48" s="80">
        <v>0</v>
      </c>
      <c r="AF48" s="80">
        <v>0</v>
      </c>
      <c r="AG48" s="80">
        <v>0</v>
      </c>
      <c r="AH48" s="80">
        <v>0</v>
      </c>
      <c r="AI48" s="79">
        <v>46230.714305555557</v>
      </c>
    </row>
    <row r="49" spans="1:35" x14ac:dyDescent="0.3">
      <c r="A49" t="s">
        <v>679</v>
      </c>
      <c r="B49">
        <v>40</v>
      </c>
      <c r="C49">
        <v>40</v>
      </c>
      <c r="D49">
        <v>1</v>
      </c>
      <c r="E49" s="80">
        <v>2622811.9197999998</v>
      </c>
      <c r="F49" s="80">
        <v>2622811.9197605448</v>
      </c>
      <c r="G49" s="80">
        <v>2615416.9084995859</v>
      </c>
      <c r="H49" s="80">
        <v>4769.9273396175495</v>
      </c>
      <c r="I49" s="80">
        <v>0</v>
      </c>
      <c r="J49" s="80">
        <v>0</v>
      </c>
      <c r="K49" s="80">
        <v>0</v>
      </c>
      <c r="L49" s="80">
        <v>0</v>
      </c>
      <c r="M49" s="80">
        <v>0</v>
      </c>
      <c r="N49" s="80">
        <v>7395.0112609586004</v>
      </c>
      <c r="O49" s="80">
        <v>7395.0112609586004</v>
      </c>
      <c r="P49" s="80">
        <v>1005765.2273374767</v>
      </c>
      <c r="Q49" s="80">
        <v>0</v>
      </c>
      <c r="R49" s="80">
        <v>1604881.7538224927</v>
      </c>
      <c r="S49" s="80">
        <v>0</v>
      </c>
      <c r="T49" s="80">
        <v>0</v>
      </c>
      <c r="U49" s="80">
        <v>0</v>
      </c>
      <c r="V49" s="80">
        <v>0</v>
      </c>
      <c r="W49" s="80">
        <v>0</v>
      </c>
      <c r="X49" s="80">
        <v>0</v>
      </c>
      <c r="Y49" s="80">
        <v>0</v>
      </c>
      <c r="Z49" s="80">
        <v>0</v>
      </c>
      <c r="AA49" s="80">
        <v>0</v>
      </c>
      <c r="AB49" s="80">
        <v>0</v>
      </c>
      <c r="AC49" s="80">
        <v>0</v>
      </c>
      <c r="AD49" s="80">
        <v>0</v>
      </c>
      <c r="AE49" s="80">
        <v>0</v>
      </c>
      <c r="AF49" s="80">
        <v>0</v>
      </c>
      <c r="AG49" s="80">
        <v>0</v>
      </c>
      <c r="AH49" s="80">
        <v>0</v>
      </c>
      <c r="AI49" s="79">
        <v>46230.714386574073</v>
      </c>
    </row>
    <row r="50" spans="1:35" x14ac:dyDescent="0.3">
      <c r="A50" t="s">
        <v>512</v>
      </c>
      <c r="B50">
        <v>41</v>
      </c>
      <c r="C50">
        <v>41</v>
      </c>
      <c r="D50">
        <v>1</v>
      </c>
      <c r="E50" s="80">
        <v>1744975.2597000001</v>
      </c>
      <c r="F50" s="80">
        <v>1744975.2600190998</v>
      </c>
      <c r="G50" s="80">
        <v>1683617.2807523801</v>
      </c>
      <c r="H50" s="80">
        <v>28667.032538299532</v>
      </c>
      <c r="I50" s="80">
        <v>0</v>
      </c>
      <c r="J50" s="80">
        <v>23059.080391876854</v>
      </c>
      <c r="K50" s="80">
        <v>0</v>
      </c>
      <c r="L50" s="80">
        <v>0</v>
      </c>
      <c r="M50" s="80">
        <v>0</v>
      </c>
      <c r="N50" s="80">
        <v>47003.757141320668</v>
      </c>
      <c r="O50" s="80">
        <v>47003.757141320668</v>
      </c>
      <c r="P50" s="80">
        <v>594004.18488404318</v>
      </c>
      <c r="Q50" s="80">
        <v>0</v>
      </c>
      <c r="R50" s="80">
        <v>1037886.9829381609</v>
      </c>
      <c r="S50" s="80">
        <v>0</v>
      </c>
      <c r="T50" s="80">
        <v>0</v>
      </c>
      <c r="U50" s="80">
        <v>0</v>
      </c>
      <c r="V50" s="80">
        <v>0</v>
      </c>
      <c r="W50" s="80">
        <v>0</v>
      </c>
      <c r="X50" s="80">
        <v>0</v>
      </c>
      <c r="Y50" s="80">
        <v>0</v>
      </c>
      <c r="Z50" s="80">
        <v>14354.222125399139</v>
      </c>
      <c r="AA50" s="80">
        <v>0</v>
      </c>
      <c r="AB50" s="80">
        <v>0</v>
      </c>
      <c r="AC50" s="80">
        <v>0</v>
      </c>
      <c r="AD50" s="80">
        <v>0</v>
      </c>
      <c r="AE50" s="80">
        <v>0</v>
      </c>
      <c r="AF50" s="80">
        <v>0</v>
      </c>
      <c r="AG50" s="80">
        <v>0</v>
      </c>
      <c r="AH50" s="80">
        <v>0</v>
      </c>
      <c r="AI50" s="79">
        <v>46230.714421296296</v>
      </c>
    </row>
    <row r="51" spans="1:35" x14ac:dyDescent="0.3">
      <c r="A51" t="s">
        <v>680</v>
      </c>
      <c r="B51">
        <v>42</v>
      </c>
      <c r="C51">
        <v>42</v>
      </c>
      <c r="D51">
        <v>1</v>
      </c>
      <c r="E51" s="80">
        <v>1802678.3074</v>
      </c>
      <c r="F51" s="80">
        <v>1802678.3071893195</v>
      </c>
      <c r="G51" s="80">
        <v>1778870.0151228756</v>
      </c>
      <c r="H51" s="80">
        <v>13224.792539017762</v>
      </c>
      <c r="I51" s="80">
        <v>0</v>
      </c>
      <c r="J51" s="80">
        <v>28985.735639958035</v>
      </c>
      <c r="K51" s="80">
        <v>0</v>
      </c>
      <c r="L51" s="80">
        <v>0</v>
      </c>
      <c r="M51" s="80">
        <v>0</v>
      </c>
      <c r="N51" s="80">
        <v>2280.5690230506102</v>
      </c>
      <c r="O51" s="80">
        <v>2280.5690230506102</v>
      </c>
      <c r="P51" s="80">
        <v>278783.34842728719</v>
      </c>
      <c r="Q51" s="80">
        <v>0</v>
      </c>
      <c r="R51" s="80">
        <v>1457876.1385166124</v>
      </c>
      <c r="S51" s="80">
        <v>0</v>
      </c>
      <c r="T51" s="80">
        <v>0</v>
      </c>
      <c r="U51" s="80">
        <v>0</v>
      </c>
      <c r="V51" s="80">
        <v>6254.257396957898</v>
      </c>
      <c r="W51" s="80">
        <v>0</v>
      </c>
      <c r="X51" s="80">
        <v>0</v>
      </c>
      <c r="Y51" s="80">
        <v>0</v>
      </c>
      <c r="Z51" s="80">
        <v>15273.465646435368</v>
      </c>
      <c r="AA51" s="80">
        <v>0</v>
      </c>
      <c r="AB51" s="80">
        <v>0</v>
      </c>
      <c r="AC51" s="80">
        <v>0</v>
      </c>
      <c r="AD51" s="80">
        <v>0</v>
      </c>
      <c r="AE51" s="80">
        <v>0</v>
      </c>
      <c r="AF51" s="80">
        <v>0</v>
      </c>
      <c r="AG51" s="80">
        <v>0</v>
      </c>
      <c r="AH51" s="80">
        <v>0</v>
      </c>
      <c r="AI51" s="79">
        <v>46230.714479166665</v>
      </c>
    </row>
    <row r="52" spans="1:35" x14ac:dyDescent="0.3">
      <c r="A52" t="s">
        <v>681</v>
      </c>
      <c r="B52">
        <v>43</v>
      </c>
      <c r="C52">
        <v>43</v>
      </c>
      <c r="D52">
        <v>1</v>
      </c>
      <c r="E52" s="80">
        <v>3850543.4948</v>
      </c>
      <c r="F52" s="80">
        <v>3849497.8457315918</v>
      </c>
      <c r="G52" s="80">
        <v>3719856.1221005637</v>
      </c>
      <c r="H52" s="80">
        <v>71511.307356126839</v>
      </c>
      <c r="I52" s="80">
        <v>0</v>
      </c>
      <c r="J52" s="80">
        <v>224508.31436594992</v>
      </c>
      <c r="K52" s="80">
        <v>0</v>
      </c>
      <c r="L52" s="80">
        <v>0</v>
      </c>
      <c r="M52" s="80">
        <v>0</v>
      </c>
      <c r="N52" s="80">
        <v>36376.915424596504</v>
      </c>
      <c r="O52" s="80">
        <v>36376.915424596504</v>
      </c>
      <c r="P52" s="80">
        <v>627869.1160741403</v>
      </c>
      <c r="Q52" s="80">
        <v>0</v>
      </c>
      <c r="R52" s="80">
        <v>2795967.3843043456</v>
      </c>
      <c r="S52" s="80">
        <v>0</v>
      </c>
      <c r="T52" s="80">
        <v>0</v>
      </c>
      <c r="U52" s="80">
        <v>0</v>
      </c>
      <c r="V52" s="80">
        <v>19184.114370794909</v>
      </c>
      <c r="W52" s="80">
        <v>0</v>
      </c>
      <c r="X52" s="80">
        <v>0</v>
      </c>
      <c r="Y52" s="80">
        <v>0</v>
      </c>
      <c r="Z52" s="80">
        <v>74080.693835636368</v>
      </c>
      <c r="AA52" s="80">
        <v>0</v>
      </c>
      <c r="AB52" s="80">
        <v>0</v>
      </c>
      <c r="AC52" s="80">
        <v>0</v>
      </c>
      <c r="AD52" s="80">
        <v>0</v>
      </c>
      <c r="AE52" s="80">
        <v>0</v>
      </c>
      <c r="AF52" s="80">
        <v>0</v>
      </c>
      <c r="AG52" s="80">
        <v>0</v>
      </c>
      <c r="AH52" s="80">
        <v>0</v>
      </c>
      <c r="AI52" s="79">
        <v>46230.714525462965</v>
      </c>
    </row>
    <row r="53" spans="1:35" x14ac:dyDescent="0.3">
      <c r="A53" t="s">
        <v>682</v>
      </c>
      <c r="B53">
        <v>44</v>
      </c>
      <c r="C53">
        <v>44</v>
      </c>
      <c r="D53">
        <v>1</v>
      </c>
      <c r="E53" s="80">
        <v>1245997.5606</v>
      </c>
      <c r="F53" s="80">
        <v>1245997.5607211634</v>
      </c>
      <c r="G53" s="80">
        <v>1239321.7175342091</v>
      </c>
      <c r="H53" s="80">
        <v>2522.3052817148259</v>
      </c>
      <c r="I53" s="80">
        <v>0</v>
      </c>
      <c r="J53" s="80">
        <v>5631.6517470036797</v>
      </c>
      <c r="K53" s="80">
        <v>0</v>
      </c>
      <c r="L53" s="80">
        <v>0</v>
      </c>
      <c r="M53" s="80">
        <v>0</v>
      </c>
      <c r="N53" s="80">
        <v>340.57585433677286</v>
      </c>
      <c r="O53" s="80">
        <v>340.57585433677286</v>
      </c>
      <c r="P53" s="80">
        <v>171337.88109851236</v>
      </c>
      <c r="Q53" s="80">
        <v>0</v>
      </c>
      <c r="R53" s="80">
        <v>1059829.8794069788</v>
      </c>
      <c r="S53" s="80">
        <v>0</v>
      </c>
      <c r="T53" s="80">
        <v>0</v>
      </c>
      <c r="U53" s="80">
        <v>0</v>
      </c>
      <c r="V53" s="80">
        <v>0</v>
      </c>
      <c r="W53" s="80">
        <v>0</v>
      </c>
      <c r="X53" s="80">
        <v>0</v>
      </c>
      <c r="Y53" s="80">
        <v>0</v>
      </c>
      <c r="Z53" s="80">
        <v>6335.2673326173599</v>
      </c>
      <c r="AA53" s="80">
        <v>0</v>
      </c>
      <c r="AB53" s="80">
        <v>0</v>
      </c>
      <c r="AC53" s="80">
        <v>0</v>
      </c>
      <c r="AD53" s="80">
        <v>0</v>
      </c>
      <c r="AE53" s="80">
        <v>0</v>
      </c>
      <c r="AF53" s="80">
        <v>0</v>
      </c>
      <c r="AG53" s="80">
        <v>0</v>
      </c>
      <c r="AH53" s="80">
        <v>0</v>
      </c>
      <c r="AI53" s="79">
        <v>46230.714606481481</v>
      </c>
    </row>
    <row r="54" spans="1:35" x14ac:dyDescent="0.3">
      <c r="A54" t="s">
        <v>683</v>
      </c>
      <c r="B54">
        <v>45</v>
      </c>
      <c r="C54">
        <v>45</v>
      </c>
      <c r="D54">
        <v>1</v>
      </c>
      <c r="E54" s="80">
        <v>2189055.8640000001</v>
      </c>
      <c r="F54" s="80">
        <v>2189055.8643650613</v>
      </c>
      <c r="G54" s="80">
        <v>2182855.1415615422</v>
      </c>
      <c r="H54" s="80">
        <v>0</v>
      </c>
      <c r="I54" s="80">
        <v>0</v>
      </c>
      <c r="J54" s="80">
        <v>0</v>
      </c>
      <c r="K54" s="80">
        <v>0</v>
      </c>
      <c r="L54" s="80">
        <v>0</v>
      </c>
      <c r="M54" s="80">
        <v>0</v>
      </c>
      <c r="N54" s="80">
        <v>0</v>
      </c>
      <c r="O54" s="80">
        <v>0</v>
      </c>
      <c r="P54" s="80">
        <v>298974.17869972636</v>
      </c>
      <c r="Q54" s="80">
        <v>0</v>
      </c>
      <c r="R54" s="80">
        <v>1883880.9628618157</v>
      </c>
      <c r="S54" s="80">
        <v>0</v>
      </c>
      <c r="T54" s="80">
        <v>0</v>
      </c>
      <c r="U54" s="80">
        <v>0</v>
      </c>
      <c r="V54" s="80">
        <v>0</v>
      </c>
      <c r="W54" s="80">
        <v>0</v>
      </c>
      <c r="X54" s="80">
        <v>0</v>
      </c>
      <c r="Y54" s="80">
        <v>0</v>
      </c>
      <c r="Z54" s="80">
        <v>6200.7228035190728</v>
      </c>
      <c r="AA54" s="80">
        <v>0</v>
      </c>
      <c r="AB54" s="80">
        <v>0</v>
      </c>
      <c r="AC54" s="80">
        <v>0</v>
      </c>
      <c r="AD54" s="80">
        <v>0</v>
      </c>
      <c r="AE54" s="80">
        <v>0</v>
      </c>
      <c r="AF54" s="80">
        <v>0</v>
      </c>
      <c r="AG54" s="80">
        <v>0</v>
      </c>
      <c r="AH54" s="80">
        <v>0</v>
      </c>
      <c r="AI54" s="79">
        <v>46230.71466435185</v>
      </c>
    </row>
    <row r="55" spans="1:35" x14ac:dyDescent="0.3">
      <c r="A55" t="s">
        <v>684</v>
      </c>
      <c r="B55">
        <v>46</v>
      </c>
      <c r="C55">
        <v>46</v>
      </c>
      <c r="D55">
        <v>1</v>
      </c>
      <c r="E55" s="80">
        <v>9047883.9945</v>
      </c>
      <c r="F55" s="80">
        <v>9027885.8137810174</v>
      </c>
      <c r="G55" s="80">
        <v>3654386.895327643</v>
      </c>
      <c r="H55" s="80">
        <v>1349919.9214026011</v>
      </c>
      <c r="I55" s="80">
        <v>0</v>
      </c>
      <c r="J55" s="80">
        <v>744924.37488770508</v>
      </c>
      <c r="K55" s="80">
        <v>463377.73332585953</v>
      </c>
      <c r="L55" s="80">
        <v>523182.05391865608</v>
      </c>
      <c r="M55" s="80">
        <v>404675.61506897514</v>
      </c>
      <c r="N55" s="80">
        <v>3325144.8760371809</v>
      </c>
      <c r="O55" s="80">
        <v>3325144.8760371809</v>
      </c>
      <c r="P55" s="80">
        <v>259669.83379930331</v>
      </c>
      <c r="Q55" s="80">
        <v>1389019.779863728</v>
      </c>
      <c r="R55" s="80">
        <v>313312.97799351934</v>
      </c>
      <c r="S55" s="80">
        <v>35313.822891792908</v>
      </c>
      <c r="T55" s="80">
        <v>10499.999400000001</v>
      </c>
      <c r="U55" s="80">
        <v>0</v>
      </c>
      <c r="V55" s="80">
        <v>23820.558560699497</v>
      </c>
      <c r="W55" s="80">
        <v>0</v>
      </c>
      <c r="X55" s="80">
        <v>39230.787513258205</v>
      </c>
      <c r="Y55" s="80">
        <v>0</v>
      </c>
      <c r="Z55" s="80">
        <v>525809.25842202303</v>
      </c>
      <c r="AA55" s="80">
        <v>6250.0354964224516</v>
      </c>
      <c r="AB55" s="80">
        <v>0</v>
      </c>
      <c r="AC55" s="80">
        <v>0</v>
      </c>
      <c r="AD55" s="80">
        <v>14065.670093073522</v>
      </c>
      <c r="AE55" s="80">
        <v>0</v>
      </c>
      <c r="AF55" s="80">
        <v>0</v>
      </c>
      <c r="AG55" s="80">
        <v>14065.670093073522</v>
      </c>
      <c r="AH55" s="80">
        <v>14065.670093073522</v>
      </c>
      <c r="AI55" s="79">
        <v>46230.714722222219</v>
      </c>
    </row>
    <row r="56" spans="1:35" x14ac:dyDescent="0.3">
      <c r="A56" t="s">
        <v>685</v>
      </c>
      <c r="B56">
        <v>47</v>
      </c>
      <c r="C56">
        <v>47</v>
      </c>
      <c r="D56">
        <v>1</v>
      </c>
      <c r="E56" s="80">
        <v>8980502.9171999991</v>
      </c>
      <c r="F56" s="80">
        <v>8946595.334644448</v>
      </c>
      <c r="G56" s="80">
        <v>3899692.0230423971</v>
      </c>
      <c r="H56" s="80">
        <v>1436408.9813887647</v>
      </c>
      <c r="I56" s="80">
        <v>0</v>
      </c>
      <c r="J56" s="80">
        <v>743447.28427525877</v>
      </c>
      <c r="K56" s="80">
        <v>483455.51878024597</v>
      </c>
      <c r="L56" s="80">
        <v>493735.10428195941</v>
      </c>
      <c r="M56" s="80">
        <v>396048.08882400603</v>
      </c>
      <c r="N56" s="80">
        <v>2794713.556711955</v>
      </c>
      <c r="O56" s="80">
        <v>2794713.556711955</v>
      </c>
      <c r="P56" s="80">
        <v>364572.49034770968</v>
      </c>
      <c r="Q56" s="80">
        <v>1505903.572733924</v>
      </c>
      <c r="R56" s="80">
        <v>378072.64396846085</v>
      </c>
      <c r="S56" s="80">
        <v>21487.394994235998</v>
      </c>
      <c r="T56" s="80">
        <v>8313.8524103770505</v>
      </c>
      <c r="U56" s="80">
        <v>0</v>
      </c>
      <c r="V56" s="80">
        <v>21154.976913921939</v>
      </c>
      <c r="W56" s="80">
        <v>0</v>
      </c>
      <c r="X56" s="80">
        <v>73889.771907174538</v>
      </c>
      <c r="Y56" s="80">
        <v>0</v>
      </c>
      <c r="Z56" s="80">
        <v>582193.8546732337</v>
      </c>
      <c r="AA56" s="80">
        <v>14131.510884333435</v>
      </c>
      <c r="AB56" s="80">
        <v>0</v>
      </c>
      <c r="AC56" s="80">
        <v>0</v>
      </c>
      <c r="AD56" s="80">
        <v>17624.144149201238</v>
      </c>
      <c r="AE56" s="80">
        <v>0</v>
      </c>
      <c r="AF56" s="80">
        <v>0</v>
      </c>
      <c r="AG56" s="80">
        <v>17624.144149201238</v>
      </c>
      <c r="AH56" s="80">
        <v>17624.144149201238</v>
      </c>
      <c r="AI56" s="79">
        <v>46230.714780092596</v>
      </c>
    </row>
    <row r="57" spans="1:35" x14ac:dyDescent="0.3">
      <c r="A57" t="s">
        <v>686</v>
      </c>
      <c r="B57">
        <v>48</v>
      </c>
      <c r="C57">
        <v>48</v>
      </c>
      <c r="D57">
        <v>1</v>
      </c>
      <c r="E57" s="80">
        <v>13503087.7795</v>
      </c>
      <c r="F57" s="80">
        <v>13474587.8472073</v>
      </c>
      <c r="G57" s="80">
        <v>6341140.7552905437</v>
      </c>
      <c r="H57" s="80">
        <v>2254117.1980650648</v>
      </c>
      <c r="I57" s="80">
        <v>0</v>
      </c>
      <c r="J57" s="80">
        <v>1149353.0301901239</v>
      </c>
      <c r="K57" s="80">
        <v>842126.25410326151</v>
      </c>
      <c r="L57" s="80">
        <v>856732.22780070396</v>
      </c>
      <c r="M57" s="80">
        <v>708222.58356804855</v>
      </c>
      <c r="N57" s="80">
        <v>3639606.3173156241</v>
      </c>
      <c r="O57" s="80">
        <v>3639606.3173156241</v>
      </c>
      <c r="P57" s="80">
        <v>691334.9864644747</v>
      </c>
      <c r="Q57" s="80">
        <v>2388637.8760499461</v>
      </c>
      <c r="R57" s="80">
        <v>547477.058666914</v>
      </c>
      <c r="S57" s="80">
        <v>74005.829367734957</v>
      </c>
      <c r="T57" s="80">
        <v>0</v>
      </c>
      <c r="U57" s="80">
        <v>0</v>
      </c>
      <c r="V57" s="80">
        <v>54797.002138492702</v>
      </c>
      <c r="W57" s="80">
        <v>0</v>
      </c>
      <c r="X57" s="80">
        <v>154999.59866824871</v>
      </c>
      <c r="Y57" s="80">
        <v>0</v>
      </c>
      <c r="Z57" s="80">
        <v>761775.56845395663</v>
      </c>
      <c r="AA57" s="80">
        <v>16049.627491657946</v>
      </c>
      <c r="AB57" s="80">
        <v>0</v>
      </c>
      <c r="AC57" s="80">
        <v>0</v>
      </c>
      <c r="AD57" s="80">
        <v>22807.852022347219</v>
      </c>
      <c r="AE57" s="80">
        <v>0</v>
      </c>
      <c r="AF57" s="80">
        <v>0</v>
      </c>
      <c r="AG57" s="80">
        <v>22807.852022347219</v>
      </c>
      <c r="AH57" s="80">
        <v>22807.852022347219</v>
      </c>
      <c r="AI57" s="79">
        <v>46230.714837962965</v>
      </c>
    </row>
    <row r="58" spans="1:35" x14ac:dyDescent="0.3">
      <c r="A58" t="s">
        <v>687</v>
      </c>
      <c r="B58">
        <v>49</v>
      </c>
      <c r="C58">
        <v>49</v>
      </c>
      <c r="D58">
        <v>1</v>
      </c>
      <c r="E58" s="80">
        <v>4150461.1836000001</v>
      </c>
      <c r="F58" s="80">
        <v>4142649.4643034921</v>
      </c>
      <c r="G58" s="80">
        <v>2349845.9320069286</v>
      </c>
      <c r="H58" s="80">
        <v>827257.53533225437</v>
      </c>
      <c r="I58" s="80">
        <v>0</v>
      </c>
      <c r="J58" s="80">
        <v>524576.32421995851</v>
      </c>
      <c r="K58" s="80">
        <v>235758.09931280179</v>
      </c>
      <c r="L58" s="80">
        <v>295063.75227553933</v>
      </c>
      <c r="M58" s="80">
        <v>247250.52816491437</v>
      </c>
      <c r="N58" s="80">
        <v>653420.12099388335</v>
      </c>
      <c r="O58" s="80">
        <v>653420.12099388335</v>
      </c>
      <c r="P58" s="80">
        <v>324943.22810524679</v>
      </c>
      <c r="Q58" s="80">
        <v>843365.41814178065</v>
      </c>
      <c r="R58" s="80">
        <v>142246.99276112855</v>
      </c>
      <c r="S58" s="80">
        <v>23896.056956959954</v>
      </c>
      <c r="T58" s="80">
        <v>0</v>
      </c>
      <c r="U58" s="80">
        <v>0</v>
      </c>
      <c r="V58" s="80">
        <v>0</v>
      </c>
      <c r="W58" s="80">
        <v>0</v>
      </c>
      <c r="X58" s="80">
        <v>20935.618132963646</v>
      </c>
      <c r="Y58" s="80">
        <v>0</v>
      </c>
      <c r="Z58" s="80">
        <v>239318.25159102678</v>
      </c>
      <c r="AA58" s="80">
        <v>1092.8704021185449</v>
      </c>
      <c r="AB58" s="80">
        <v>0</v>
      </c>
      <c r="AC58" s="80">
        <v>0</v>
      </c>
      <c r="AD58" s="80">
        <v>1442.8121895897395</v>
      </c>
      <c r="AE58" s="80">
        <v>0</v>
      </c>
      <c r="AF58" s="80">
        <v>0</v>
      </c>
      <c r="AG58" s="80">
        <v>1442.8121895897395</v>
      </c>
      <c r="AH58" s="80">
        <v>1442.8121895897395</v>
      </c>
      <c r="AI58" s="79">
        <v>46230.714884259258</v>
      </c>
    </row>
    <row r="59" spans="1:35" x14ac:dyDescent="0.3">
      <c r="A59" t="s">
        <v>688</v>
      </c>
      <c r="B59">
        <v>50</v>
      </c>
      <c r="C59">
        <v>50</v>
      </c>
      <c r="D59">
        <v>1</v>
      </c>
      <c r="E59" s="80">
        <v>18709380.790600002</v>
      </c>
      <c r="F59" s="80">
        <v>18638739.982289433</v>
      </c>
      <c r="G59" s="80">
        <v>8124358.2513486007</v>
      </c>
      <c r="H59" s="80">
        <v>2992518.6633462915</v>
      </c>
      <c r="I59" s="80">
        <v>0</v>
      </c>
      <c r="J59" s="80">
        <v>1548848.4841252128</v>
      </c>
      <c r="K59" s="80">
        <v>1007198.9813436617</v>
      </c>
      <c r="L59" s="80">
        <v>1028614.7841295784</v>
      </c>
      <c r="M59" s="80">
        <v>825100.17184841027</v>
      </c>
      <c r="N59" s="80">
        <v>5822319.8166594496</v>
      </c>
      <c r="O59" s="80">
        <v>5822319.8166594496</v>
      </c>
      <c r="P59" s="80">
        <v>759526.00940531201</v>
      </c>
      <c r="Q59" s="80">
        <v>3137299.0596655519</v>
      </c>
      <c r="R59" s="80">
        <v>787651.32899853832</v>
      </c>
      <c r="S59" s="80">
        <v>44765.405521745161</v>
      </c>
      <c r="T59" s="80">
        <v>17320.52557782377</v>
      </c>
      <c r="U59" s="80">
        <v>0</v>
      </c>
      <c r="V59" s="80">
        <v>44072.867865504792</v>
      </c>
      <c r="W59" s="80">
        <v>0</v>
      </c>
      <c r="X59" s="80">
        <v>153937.02234362121</v>
      </c>
      <c r="Y59" s="80">
        <v>0</v>
      </c>
      <c r="Z59" s="80">
        <v>1212903.8444961081</v>
      </c>
      <c r="AA59" s="80">
        <v>29440.647204644287</v>
      </c>
      <c r="AB59" s="80">
        <v>0</v>
      </c>
      <c r="AC59" s="80">
        <v>0</v>
      </c>
      <c r="AD59" s="80">
        <v>36716.966390031092</v>
      </c>
      <c r="AE59" s="80">
        <v>0</v>
      </c>
      <c r="AF59" s="80">
        <v>0</v>
      </c>
      <c r="AG59" s="80">
        <v>36716.966390031092</v>
      </c>
      <c r="AH59" s="80">
        <v>36716.966390031092</v>
      </c>
      <c r="AI59" s="79">
        <v>46230.714942129627</v>
      </c>
    </row>
    <row r="60" spans="1:35" x14ac:dyDescent="0.3">
      <c r="A60" t="s">
        <v>689</v>
      </c>
      <c r="B60">
        <v>51</v>
      </c>
      <c r="C60">
        <v>51</v>
      </c>
      <c r="D60">
        <v>1</v>
      </c>
      <c r="E60" s="80">
        <v>12789565.9619</v>
      </c>
      <c r="F60" s="80">
        <v>12782386.391710825</v>
      </c>
      <c r="G60" s="80">
        <v>6382340.0269287676</v>
      </c>
      <c r="H60" s="80">
        <v>2175985.9451948213</v>
      </c>
      <c r="I60" s="80">
        <v>0</v>
      </c>
      <c r="J60" s="80">
        <v>1271531.6440083056</v>
      </c>
      <c r="K60" s="80">
        <v>764183.65230672469</v>
      </c>
      <c r="L60" s="80">
        <v>856679.91313027171</v>
      </c>
      <c r="M60" s="80">
        <v>760750.77447018283</v>
      </c>
      <c r="N60" s="80">
        <v>2938248.995392154</v>
      </c>
      <c r="O60" s="80">
        <v>2938248.995392154</v>
      </c>
      <c r="P60" s="80">
        <v>759689.0637489974</v>
      </c>
      <c r="Q60" s="80">
        <v>2298885.5965634487</v>
      </c>
      <c r="R60" s="80">
        <v>554269.8085396461</v>
      </c>
      <c r="S60" s="80">
        <v>100162.65306078336</v>
      </c>
      <c r="T60" s="80">
        <v>0</v>
      </c>
      <c r="U60" s="80">
        <v>0</v>
      </c>
      <c r="V60" s="80">
        <v>24143.18583649386</v>
      </c>
      <c r="W60" s="80">
        <v>0</v>
      </c>
      <c r="X60" s="80">
        <v>111158.30532562244</v>
      </c>
      <c r="Y60" s="80">
        <v>0</v>
      </c>
      <c r="Z60" s="80">
        <v>862895.77266222262</v>
      </c>
      <c r="AA60" s="80">
        <v>8793.2832275502278</v>
      </c>
      <c r="AB60" s="80">
        <v>0</v>
      </c>
      <c r="AC60" s="80">
        <v>0</v>
      </c>
      <c r="AD60" s="80">
        <v>21002.799440398951</v>
      </c>
      <c r="AE60" s="80">
        <v>0</v>
      </c>
      <c r="AF60" s="80">
        <v>0</v>
      </c>
      <c r="AG60" s="80">
        <v>21002.799440398951</v>
      </c>
      <c r="AH60" s="80">
        <v>21002.799440398951</v>
      </c>
      <c r="AI60" s="79">
        <v>46230.714988425927</v>
      </c>
    </row>
    <row r="61" spans="1:35" x14ac:dyDescent="0.3">
      <c r="A61" t="s">
        <v>690</v>
      </c>
      <c r="B61">
        <v>52</v>
      </c>
      <c r="C61">
        <v>52</v>
      </c>
      <c r="D61">
        <v>1</v>
      </c>
      <c r="E61" s="80">
        <v>7483752.1342000002</v>
      </c>
      <c r="F61" s="80">
        <v>7455495.8139838716</v>
      </c>
      <c r="G61" s="80">
        <v>3249743.2225455949</v>
      </c>
      <c r="H61" s="80">
        <v>1197007.4366103373</v>
      </c>
      <c r="I61" s="80">
        <v>0</v>
      </c>
      <c r="J61" s="80">
        <v>619539.37878113927</v>
      </c>
      <c r="K61" s="80">
        <v>402879.5828683544</v>
      </c>
      <c r="L61" s="80">
        <v>411445.90377712913</v>
      </c>
      <c r="M61" s="80">
        <v>330040.06081840186</v>
      </c>
      <c r="N61" s="80">
        <v>2328927.8707695114</v>
      </c>
      <c r="O61" s="80">
        <v>2328927.8707695114</v>
      </c>
      <c r="P61" s="80">
        <v>303810.3964706749</v>
      </c>
      <c r="Q61" s="80">
        <v>1254919.5937481509</v>
      </c>
      <c r="R61" s="80">
        <v>315060.52403796249</v>
      </c>
      <c r="S61" s="80">
        <v>17906.161778950165</v>
      </c>
      <c r="T61" s="80">
        <v>6928.2100648524611</v>
      </c>
      <c r="U61" s="80">
        <v>0</v>
      </c>
      <c r="V61" s="80">
        <v>17629.146723102382</v>
      </c>
      <c r="W61" s="80">
        <v>0</v>
      </c>
      <c r="X61" s="80">
        <v>61574.807459653042</v>
      </c>
      <c r="Y61" s="80">
        <v>0</v>
      </c>
      <c r="Z61" s="80">
        <v>485161.52615456533</v>
      </c>
      <c r="AA61" s="80">
        <v>11776.258599227496</v>
      </c>
      <c r="AB61" s="80">
        <v>0</v>
      </c>
      <c r="AC61" s="80">
        <v>0</v>
      </c>
      <c r="AD61" s="80">
        <v>14686.786203529564</v>
      </c>
      <c r="AE61" s="80">
        <v>0</v>
      </c>
      <c r="AF61" s="80">
        <v>0</v>
      </c>
      <c r="AG61" s="80">
        <v>14686.786203529564</v>
      </c>
      <c r="AH61" s="80">
        <v>14686.786203529564</v>
      </c>
      <c r="AI61" s="79">
        <v>46230.715057870373</v>
      </c>
    </row>
    <row r="62" spans="1:35" x14ac:dyDescent="0.3">
      <c r="A62" t="s">
        <v>691</v>
      </c>
      <c r="B62">
        <v>53</v>
      </c>
      <c r="C62">
        <v>53</v>
      </c>
      <c r="D62">
        <v>1</v>
      </c>
      <c r="E62" s="80">
        <v>3488063.2538000001</v>
      </c>
      <c r="F62" s="80">
        <v>3486105.189406299</v>
      </c>
      <c r="G62" s="80">
        <v>1740638.0942184913</v>
      </c>
      <c r="H62" s="80">
        <v>593450.67995582207</v>
      </c>
      <c r="I62" s="80">
        <v>0</v>
      </c>
      <c r="J62" s="80">
        <v>346781.33854146407</v>
      </c>
      <c r="K62" s="80">
        <v>208413.71198835841</v>
      </c>
      <c r="L62" s="80">
        <v>233639.96356425725</v>
      </c>
      <c r="M62" s="80">
        <v>207477.47262945989</v>
      </c>
      <c r="N62" s="80">
        <v>801340.59139746218</v>
      </c>
      <c r="O62" s="80">
        <v>801340.59139746218</v>
      </c>
      <c r="P62" s="80">
        <v>207187.91517583988</v>
      </c>
      <c r="Q62" s="80">
        <v>626968.7648644608</v>
      </c>
      <c r="R62" s="80">
        <v>151164.48499274944</v>
      </c>
      <c r="S62" s="80">
        <v>27317.085708372546</v>
      </c>
      <c r="T62" s="80">
        <v>0</v>
      </c>
      <c r="U62" s="80">
        <v>0</v>
      </c>
      <c r="V62" s="80">
        <v>6584.5048689798632</v>
      </c>
      <c r="W62" s="80">
        <v>0</v>
      </c>
      <c r="X62" s="80">
        <v>30315.899798847891</v>
      </c>
      <c r="Y62" s="80">
        <v>0</v>
      </c>
      <c r="Z62" s="80">
        <v>235335.19788959503</v>
      </c>
      <c r="AA62" s="80">
        <v>2398.1680221590741</v>
      </c>
      <c r="AB62" s="80">
        <v>0</v>
      </c>
      <c r="AC62" s="80">
        <v>0</v>
      </c>
      <c r="AD62" s="80">
        <v>5728.035898579561</v>
      </c>
      <c r="AE62" s="80">
        <v>0</v>
      </c>
      <c r="AF62" s="80">
        <v>0</v>
      </c>
      <c r="AG62" s="80">
        <v>5728.035898579561</v>
      </c>
      <c r="AH62" s="80">
        <v>5728.035898579561</v>
      </c>
      <c r="AI62" s="79">
        <v>46230.715127314812</v>
      </c>
    </row>
    <row r="63" spans="1:35" x14ac:dyDescent="0.3">
      <c r="A63" t="s">
        <v>692</v>
      </c>
      <c r="B63">
        <v>54</v>
      </c>
      <c r="C63">
        <v>54</v>
      </c>
      <c r="D63">
        <v>1</v>
      </c>
      <c r="E63" s="80">
        <v>1339432.8589000001</v>
      </c>
      <c r="F63" s="80">
        <v>1339432.8588863953</v>
      </c>
      <c r="G63" s="80">
        <v>1339432.8588863953</v>
      </c>
      <c r="H63" s="80">
        <v>33000</v>
      </c>
      <c r="I63" s="80">
        <v>0</v>
      </c>
      <c r="J63" s="80">
        <v>194494.27152306444</v>
      </c>
      <c r="K63" s="80">
        <v>476338.4273581169</v>
      </c>
      <c r="L63" s="80">
        <v>562872.69018603559</v>
      </c>
      <c r="M63" s="80">
        <v>540872.69018603559</v>
      </c>
      <c r="N63" s="80">
        <v>0</v>
      </c>
      <c r="O63" s="80">
        <v>0</v>
      </c>
      <c r="P63" s="80">
        <v>72727.469819178106</v>
      </c>
      <c r="Q63" s="80">
        <v>0</v>
      </c>
      <c r="R63" s="80">
        <v>0</v>
      </c>
      <c r="S63" s="80">
        <v>0</v>
      </c>
      <c r="T63" s="80">
        <v>0</v>
      </c>
      <c r="U63" s="80">
        <v>0</v>
      </c>
      <c r="V63" s="80">
        <v>0</v>
      </c>
      <c r="W63" s="80">
        <v>0</v>
      </c>
      <c r="X63" s="80">
        <v>0</v>
      </c>
      <c r="Y63" s="80">
        <v>0</v>
      </c>
      <c r="Z63" s="80">
        <v>0</v>
      </c>
      <c r="AA63" s="80">
        <v>0</v>
      </c>
      <c r="AB63" s="80">
        <v>0</v>
      </c>
      <c r="AC63" s="80">
        <v>0</v>
      </c>
      <c r="AD63" s="80">
        <v>0</v>
      </c>
      <c r="AE63" s="80">
        <v>0</v>
      </c>
      <c r="AF63" s="80">
        <v>0</v>
      </c>
      <c r="AG63" s="80">
        <v>0</v>
      </c>
      <c r="AH63" s="80">
        <v>0</v>
      </c>
      <c r="AI63" s="79">
        <v>46230.715185185189</v>
      </c>
    </row>
    <row r="64" spans="1:35" x14ac:dyDescent="0.3">
      <c r="A64" t="s">
        <v>693</v>
      </c>
      <c r="B64">
        <v>55</v>
      </c>
      <c r="C64">
        <v>55</v>
      </c>
      <c r="D64">
        <v>1</v>
      </c>
      <c r="E64" s="80">
        <v>797260.28419999999</v>
      </c>
      <c r="F64" s="80">
        <v>797260.28446086438</v>
      </c>
      <c r="G64" s="80">
        <v>781951.76550783985</v>
      </c>
      <c r="H64" s="80">
        <v>123243.0813035928</v>
      </c>
      <c r="I64" s="80">
        <v>0</v>
      </c>
      <c r="J64" s="80">
        <v>136268.18913664928</v>
      </c>
      <c r="K64" s="80">
        <v>201786.16553400565</v>
      </c>
      <c r="L64" s="80">
        <v>257925.59502032207</v>
      </c>
      <c r="M64" s="80">
        <v>231146.77338989981</v>
      </c>
      <c r="N64" s="80">
        <v>0</v>
      </c>
      <c r="O64" s="80">
        <v>0</v>
      </c>
      <c r="P64" s="80">
        <v>56850.685237223217</v>
      </c>
      <c r="Q64" s="80">
        <v>0</v>
      </c>
      <c r="R64" s="80">
        <v>5878.049276046504</v>
      </c>
      <c r="S64" s="80">
        <v>0</v>
      </c>
      <c r="T64" s="80">
        <v>0</v>
      </c>
      <c r="U64" s="80">
        <v>0</v>
      </c>
      <c r="V64" s="80">
        <v>15308.518953024426</v>
      </c>
      <c r="W64" s="80">
        <v>0</v>
      </c>
      <c r="X64" s="80">
        <v>0</v>
      </c>
      <c r="Y64" s="80">
        <v>0</v>
      </c>
      <c r="Z64" s="80">
        <v>0</v>
      </c>
      <c r="AA64" s="80">
        <v>0</v>
      </c>
      <c r="AB64" s="80">
        <v>0</v>
      </c>
      <c r="AC64" s="80">
        <v>0</v>
      </c>
      <c r="AD64" s="80">
        <v>0</v>
      </c>
      <c r="AE64" s="80">
        <v>0</v>
      </c>
      <c r="AF64" s="80">
        <v>0</v>
      </c>
      <c r="AG64" s="80">
        <v>0</v>
      </c>
      <c r="AH64" s="80">
        <v>0</v>
      </c>
      <c r="AI64" s="79">
        <v>46230.715243055558</v>
      </c>
    </row>
    <row r="65" spans="1:35" x14ac:dyDescent="0.3">
      <c r="A65" t="s">
        <v>694</v>
      </c>
      <c r="B65">
        <v>56</v>
      </c>
      <c r="C65">
        <v>56</v>
      </c>
      <c r="D65">
        <v>1</v>
      </c>
      <c r="E65" s="80">
        <v>2583517.1384999999</v>
      </c>
      <c r="F65" s="80">
        <v>2583517.1381515749</v>
      </c>
      <c r="G65" s="80">
        <v>2583517.1381515749</v>
      </c>
      <c r="H65" s="80">
        <v>457816.39656493376</v>
      </c>
      <c r="I65" s="80">
        <v>0</v>
      </c>
      <c r="J65" s="80">
        <v>368847.0696326748</v>
      </c>
      <c r="K65" s="80">
        <v>663117.32531715755</v>
      </c>
      <c r="L65" s="80">
        <v>775693.03733074758</v>
      </c>
      <c r="M65" s="80">
        <v>747621.90431462298</v>
      </c>
      <c r="N65" s="80">
        <v>0</v>
      </c>
      <c r="O65" s="80">
        <v>0</v>
      </c>
      <c r="P65" s="80">
        <v>317199.78581395972</v>
      </c>
      <c r="Q65" s="80">
        <v>0</v>
      </c>
      <c r="R65" s="80">
        <v>843.52349210358818</v>
      </c>
      <c r="S65" s="80">
        <v>0</v>
      </c>
      <c r="T65" s="80">
        <v>0</v>
      </c>
      <c r="U65" s="80">
        <v>0</v>
      </c>
      <c r="V65" s="80">
        <v>0</v>
      </c>
      <c r="W65" s="80">
        <v>0</v>
      </c>
      <c r="X65" s="80">
        <v>0</v>
      </c>
      <c r="Y65" s="80">
        <v>0</v>
      </c>
      <c r="Z65" s="80">
        <v>0</v>
      </c>
      <c r="AA65" s="80">
        <v>0</v>
      </c>
      <c r="AB65" s="80">
        <v>0</v>
      </c>
      <c r="AC65" s="80">
        <v>0</v>
      </c>
      <c r="AD65" s="80">
        <v>0</v>
      </c>
      <c r="AE65" s="80">
        <v>0</v>
      </c>
      <c r="AF65" s="80">
        <v>0</v>
      </c>
      <c r="AG65" s="80">
        <v>0</v>
      </c>
      <c r="AH65" s="80">
        <v>0</v>
      </c>
      <c r="AI65" s="79">
        <v>46230.715300925927</v>
      </c>
    </row>
    <row r="66" spans="1:35" x14ac:dyDescent="0.3">
      <c r="A66" t="s">
        <v>555</v>
      </c>
      <c r="B66">
        <v>57</v>
      </c>
      <c r="C66">
        <v>57</v>
      </c>
      <c r="D66">
        <v>1</v>
      </c>
      <c r="E66" s="80">
        <v>2838865.2788</v>
      </c>
      <c r="F66" s="80">
        <v>2838865.2795873471</v>
      </c>
      <c r="G66" s="80">
        <v>2838865.2795873471</v>
      </c>
      <c r="H66" s="80">
        <v>255417.04817893816</v>
      </c>
      <c r="I66" s="80">
        <v>0</v>
      </c>
      <c r="J66" s="80">
        <v>487592.56371534069</v>
      </c>
      <c r="K66" s="80">
        <v>894260.51874853589</v>
      </c>
      <c r="L66" s="80">
        <v>1042929.8456780092</v>
      </c>
      <c r="M66" s="80">
        <v>965408.12563198945</v>
      </c>
      <c r="N66" s="80">
        <v>0</v>
      </c>
      <c r="O66" s="80">
        <v>0</v>
      </c>
      <c r="P66" s="80">
        <v>158405.75757664588</v>
      </c>
      <c r="Q66" s="80">
        <v>0</v>
      </c>
      <c r="R66" s="80">
        <v>259.54568987802747</v>
      </c>
      <c r="S66" s="80">
        <v>0</v>
      </c>
      <c r="T66" s="80">
        <v>0</v>
      </c>
      <c r="U66" s="80">
        <v>0</v>
      </c>
      <c r="V66" s="80">
        <v>0</v>
      </c>
      <c r="W66" s="80">
        <v>0</v>
      </c>
      <c r="X66" s="80">
        <v>0</v>
      </c>
      <c r="Y66" s="80">
        <v>0</v>
      </c>
      <c r="Z66" s="80">
        <v>0</v>
      </c>
      <c r="AA66" s="80">
        <v>0</v>
      </c>
      <c r="AB66" s="80">
        <v>0</v>
      </c>
      <c r="AC66" s="80">
        <v>0</v>
      </c>
      <c r="AD66" s="80">
        <v>0</v>
      </c>
      <c r="AE66" s="80">
        <v>0</v>
      </c>
      <c r="AF66" s="80">
        <v>0</v>
      </c>
      <c r="AG66" s="80">
        <v>0</v>
      </c>
      <c r="AH66" s="80">
        <v>0</v>
      </c>
      <c r="AI66" s="79">
        <v>46230.71534722222</v>
      </c>
    </row>
    <row r="67" spans="1:35" x14ac:dyDescent="0.3">
      <c r="A67" t="s">
        <v>514</v>
      </c>
      <c r="B67">
        <v>58</v>
      </c>
      <c r="C67">
        <v>58</v>
      </c>
      <c r="D67">
        <v>1</v>
      </c>
      <c r="E67" s="80">
        <v>2511649.6096999999</v>
      </c>
      <c r="F67" s="80">
        <v>2511649.6100833691</v>
      </c>
      <c r="G67" s="80">
        <v>2465724.0532242963</v>
      </c>
      <c r="H67" s="80">
        <v>376357.89455282764</v>
      </c>
      <c r="I67" s="80">
        <v>0</v>
      </c>
      <c r="J67" s="80">
        <v>441668.60673383664</v>
      </c>
      <c r="K67" s="80">
        <v>639500.84164765745</v>
      </c>
      <c r="L67" s="80">
        <v>819171.20965148124</v>
      </c>
      <c r="M67" s="80">
        <v>736181.26494479657</v>
      </c>
      <c r="N67" s="80">
        <v>0</v>
      </c>
      <c r="O67" s="80">
        <v>0</v>
      </c>
      <c r="P67" s="80">
        <v>171391.35281035418</v>
      </c>
      <c r="Q67" s="80">
        <v>0</v>
      </c>
      <c r="R67" s="80">
        <v>17634.14782813951</v>
      </c>
      <c r="S67" s="80">
        <v>0</v>
      </c>
      <c r="T67" s="80">
        <v>0</v>
      </c>
      <c r="U67" s="80">
        <v>0</v>
      </c>
      <c r="V67" s="80">
        <v>45925.55685907328</v>
      </c>
      <c r="W67" s="80">
        <v>0</v>
      </c>
      <c r="X67" s="80">
        <v>0</v>
      </c>
      <c r="Y67" s="80">
        <v>0</v>
      </c>
      <c r="Z67" s="80">
        <v>0</v>
      </c>
      <c r="AA67" s="80">
        <v>0</v>
      </c>
      <c r="AB67" s="80">
        <v>0</v>
      </c>
      <c r="AC67" s="80">
        <v>0</v>
      </c>
      <c r="AD67" s="80">
        <v>0</v>
      </c>
      <c r="AE67" s="80">
        <v>0</v>
      </c>
      <c r="AF67" s="80">
        <v>0</v>
      </c>
      <c r="AG67" s="80">
        <v>0</v>
      </c>
      <c r="AH67" s="80">
        <v>0</v>
      </c>
      <c r="AI67" s="79">
        <v>46230.715416666666</v>
      </c>
    </row>
    <row r="68" spans="1:35" x14ac:dyDescent="0.3">
      <c r="A68" t="s">
        <v>695</v>
      </c>
      <c r="B68">
        <v>59</v>
      </c>
      <c r="C68">
        <v>59</v>
      </c>
      <c r="D68">
        <v>1</v>
      </c>
      <c r="E68" s="80">
        <v>3067986.7365000001</v>
      </c>
      <c r="F68" s="80">
        <v>3067986.7356530991</v>
      </c>
      <c r="G68" s="80">
        <v>3067986.7356530991</v>
      </c>
      <c r="H68" s="80">
        <v>66920.499126295283</v>
      </c>
      <c r="I68" s="80">
        <v>0</v>
      </c>
      <c r="J68" s="80">
        <v>0</v>
      </c>
      <c r="K68" s="80">
        <v>1414689.6566514333</v>
      </c>
      <c r="L68" s="80">
        <v>1586376.5798753696</v>
      </c>
      <c r="M68" s="80">
        <v>1524200.2865237577</v>
      </c>
      <c r="N68" s="80">
        <v>0</v>
      </c>
      <c r="O68" s="80">
        <v>0</v>
      </c>
      <c r="P68" s="80">
        <v>0</v>
      </c>
      <c r="Q68" s="80">
        <v>0</v>
      </c>
      <c r="R68" s="80">
        <v>0</v>
      </c>
      <c r="S68" s="80">
        <v>0</v>
      </c>
      <c r="T68" s="80">
        <v>0</v>
      </c>
      <c r="U68" s="80">
        <v>0</v>
      </c>
      <c r="V68" s="80">
        <v>0</v>
      </c>
      <c r="W68" s="80">
        <v>0</v>
      </c>
      <c r="X68" s="80">
        <v>0</v>
      </c>
      <c r="Y68" s="80">
        <v>0</v>
      </c>
      <c r="Z68" s="80">
        <v>0</v>
      </c>
      <c r="AA68" s="80">
        <v>0</v>
      </c>
      <c r="AB68" s="80">
        <v>0</v>
      </c>
      <c r="AC68" s="80">
        <v>0</v>
      </c>
      <c r="AD68" s="80">
        <v>0</v>
      </c>
      <c r="AE68" s="80">
        <v>0</v>
      </c>
      <c r="AF68" s="80">
        <v>0</v>
      </c>
      <c r="AG68" s="80">
        <v>0</v>
      </c>
      <c r="AH68" s="80">
        <v>0</v>
      </c>
      <c r="AI68" s="79">
        <v>46230.715462962966</v>
      </c>
    </row>
    <row r="69" spans="1:35" x14ac:dyDescent="0.3">
      <c r="A69" t="s">
        <v>696</v>
      </c>
      <c r="B69">
        <v>60</v>
      </c>
      <c r="C69">
        <v>60</v>
      </c>
      <c r="D69">
        <v>1</v>
      </c>
      <c r="E69" s="80">
        <v>800000</v>
      </c>
      <c r="F69" s="80">
        <v>800000</v>
      </c>
      <c r="G69" s="80">
        <v>790000</v>
      </c>
      <c r="H69" s="80">
        <v>40000</v>
      </c>
      <c r="I69" s="80">
        <v>0</v>
      </c>
      <c r="J69" s="80">
        <v>0</v>
      </c>
      <c r="K69" s="80">
        <v>0</v>
      </c>
      <c r="L69" s="80">
        <v>0</v>
      </c>
      <c r="M69" s="80">
        <v>0</v>
      </c>
      <c r="N69" s="80">
        <v>0</v>
      </c>
      <c r="O69" s="80">
        <v>0</v>
      </c>
      <c r="P69" s="80">
        <v>680000</v>
      </c>
      <c r="Q69" s="80">
        <v>0</v>
      </c>
      <c r="R69" s="80">
        <v>70000</v>
      </c>
      <c r="S69" s="80">
        <v>0</v>
      </c>
      <c r="T69" s="80">
        <v>0</v>
      </c>
      <c r="U69" s="80">
        <v>0</v>
      </c>
      <c r="V69" s="80">
        <v>10000</v>
      </c>
      <c r="W69" s="80">
        <v>0</v>
      </c>
      <c r="X69" s="80">
        <v>0</v>
      </c>
      <c r="Y69" s="80">
        <v>0</v>
      </c>
      <c r="Z69" s="80">
        <v>0</v>
      </c>
      <c r="AA69" s="80">
        <v>0</v>
      </c>
      <c r="AB69" s="80">
        <v>0</v>
      </c>
      <c r="AC69" s="80">
        <v>0</v>
      </c>
      <c r="AD69" s="80">
        <v>0</v>
      </c>
      <c r="AE69" s="80">
        <v>0</v>
      </c>
      <c r="AF69" s="80">
        <v>0</v>
      </c>
      <c r="AG69" s="80">
        <v>0</v>
      </c>
      <c r="AH69" s="80">
        <v>0</v>
      </c>
      <c r="AI69" s="79">
        <v>46230.715532407405</v>
      </c>
    </row>
    <row r="70" spans="1:35" x14ac:dyDescent="0.3">
      <c r="A70" t="s">
        <v>697</v>
      </c>
      <c r="B70">
        <v>61</v>
      </c>
      <c r="C70">
        <v>61</v>
      </c>
      <c r="D70">
        <v>1</v>
      </c>
      <c r="E70" s="80">
        <v>2415545.1979</v>
      </c>
      <c r="F70" s="80">
        <v>2415545.1975950017</v>
      </c>
      <c r="G70" s="80">
        <v>521778.18485999986</v>
      </c>
      <c r="H70" s="80">
        <v>319025.02139500011</v>
      </c>
      <c r="I70" s="80">
        <v>0</v>
      </c>
      <c r="J70" s="80">
        <v>22799.512755</v>
      </c>
      <c r="K70" s="80">
        <v>72826.056979999994</v>
      </c>
      <c r="L70" s="80">
        <v>100636.21441499999</v>
      </c>
      <c r="M70" s="80">
        <v>60433.658174999997</v>
      </c>
      <c r="N70" s="80">
        <v>0</v>
      </c>
      <c r="O70" s="80">
        <v>0</v>
      </c>
      <c r="P70" s="80">
        <v>0</v>
      </c>
      <c r="Q70" s="80">
        <v>0</v>
      </c>
      <c r="R70" s="80">
        <v>6491.3793150000001</v>
      </c>
      <c r="S70" s="80">
        <v>0</v>
      </c>
      <c r="T70" s="80">
        <v>0</v>
      </c>
      <c r="U70" s="80">
        <v>0</v>
      </c>
      <c r="V70" s="80">
        <v>1740854.1084050008</v>
      </c>
      <c r="W70" s="80">
        <v>0</v>
      </c>
      <c r="X70" s="80">
        <v>0</v>
      </c>
      <c r="Y70" s="80">
        <v>0</v>
      </c>
      <c r="Z70" s="80">
        <v>0</v>
      </c>
      <c r="AA70" s="80">
        <v>152912.90432999999</v>
      </c>
      <c r="AB70" s="80">
        <v>0</v>
      </c>
      <c r="AC70" s="80">
        <v>0</v>
      </c>
      <c r="AD70" s="80">
        <v>0</v>
      </c>
      <c r="AE70" s="80">
        <v>0</v>
      </c>
      <c r="AF70" s="80">
        <v>0</v>
      </c>
      <c r="AG70" s="80">
        <v>0</v>
      </c>
      <c r="AH70" s="80">
        <v>0</v>
      </c>
      <c r="AI70" s="79">
        <v>46230.715578703705</v>
      </c>
    </row>
    <row r="71" spans="1:35" x14ac:dyDescent="0.3">
      <c r="A71" t="s">
        <v>698</v>
      </c>
      <c r="B71">
        <v>62</v>
      </c>
      <c r="C71">
        <v>62</v>
      </c>
      <c r="D71">
        <v>1</v>
      </c>
      <c r="E71" s="80">
        <v>3515750</v>
      </c>
      <c r="F71" s="80">
        <v>3515750</v>
      </c>
      <c r="G71" s="80">
        <v>0</v>
      </c>
      <c r="H71" s="80">
        <v>0</v>
      </c>
      <c r="I71" s="80">
        <v>0</v>
      </c>
      <c r="J71" s="80">
        <v>0</v>
      </c>
      <c r="K71" s="80">
        <v>0</v>
      </c>
      <c r="L71" s="80">
        <v>0</v>
      </c>
      <c r="M71" s="80">
        <v>0</v>
      </c>
      <c r="N71" s="80">
        <v>0</v>
      </c>
      <c r="O71" s="80">
        <v>0</v>
      </c>
      <c r="P71" s="80">
        <v>0</v>
      </c>
      <c r="Q71" s="80">
        <v>0</v>
      </c>
      <c r="R71" s="80">
        <v>0</v>
      </c>
      <c r="S71" s="80">
        <v>0</v>
      </c>
      <c r="T71" s="80">
        <v>0</v>
      </c>
      <c r="U71" s="80">
        <v>0</v>
      </c>
      <c r="V71" s="80">
        <v>0</v>
      </c>
      <c r="W71" s="80">
        <v>0</v>
      </c>
      <c r="X71" s="80">
        <v>0</v>
      </c>
      <c r="Y71" s="80">
        <v>0</v>
      </c>
      <c r="Z71" s="80">
        <v>0</v>
      </c>
      <c r="AA71" s="80">
        <v>0</v>
      </c>
      <c r="AB71" s="80">
        <v>3515750</v>
      </c>
      <c r="AC71" s="80">
        <v>0</v>
      </c>
      <c r="AD71" s="80">
        <v>0</v>
      </c>
      <c r="AE71" s="80">
        <v>0</v>
      </c>
      <c r="AF71" s="80">
        <v>0</v>
      </c>
      <c r="AG71" s="80">
        <v>0</v>
      </c>
      <c r="AH71" s="80">
        <v>0</v>
      </c>
      <c r="AI71" s="79">
        <v>46230.715648148151</v>
      </c>
    </row>
    <row r="72" spans="1:35" x14ac:dyDescent="0.3">
      <c r="A72" t="s">
        <v>699</v>
      </c>
      <c r="B72">
        <v>63</v>
      </c>
      <c r="C72">
        <v>63</v>
      </c>
      <c r="D72">
        <v>1</v>
      </c>
      <c r="E72" s="80">
        <v>962978.16189999995</v>
      </c>
      <c r="F72" s="80">
        <v>962978.16164087411</v>
      </c>
      <c r="G72" s="80">
        <v>962978.16164087411</v>
      </c>
      <c r="H72" s="80">
        <v>38278.700962101437</v>
      </c>
      <c r="I72" s="80">
        <v>0</v>
      </c>
      <c r="J72" s="80">
        <v>52657.177750660572</v>
      </c>
      <c r="K72" s="80">
        <v>0</v>
      </c>
      <c r="L72" s="80">
        <v>0</v>
      </c>
      <c r="M72" s="80">
        <v>0</v>
      </c>
      <c r="N72" s="80">
        <v>0</v>
      </c>
      <c r="O72" s="80">
        <v>0</v>
      </c>
      <c r="P72" s="80">
        <v>771168.98323133646</v>
      </c>
      <c r="Q72" s="80">
        <v>0</v>
      </c>
      <c r="R72" s="80">
        <v>100873.29969677606</v>
      </c>
      <c r="S72" s="80">
        <v>0</v>
      </c>
      <c r="T72" s="80">
        <v>0</v>
      </c>
      <c r="U72" s="80">
        <v>0</v>
      </c>
      <c r="V72" s="80">
        <v>0</v>
      </c>
      <c r="W72" s="80">
        <v>0</v>
      </c>
      <c r="X72" s="80">
        <v>0</v>
      </c>
      <c r="Y72" s="80">
        <v>0</v>
      </c>
      <c r="Z72" s="80">
        <v>0</v>
      </c>
      <c r="AA72" s="80">
        <v>0</v>
      </c>
      <c r="AB72" s="80">
        <v>0</v>
      </c>
      <c r="AC72" s="80">
        <v>0</v>
      </c>
      <c r="AD72" s="80">
        <v>0</v>
      </c>
      <c r="AE72" s="80">
        <v>0</v>
      </c>
      <c r="AF72" s="80">
        <v>0</v>
      </c>
      <c r="AG72" s="80">
        <v>0</v>
      </c>
      <c r="AH72" s="80">
        <v>0</v>
      </c>
      <c r="AI72" s="79">
        <v>46230.71570601852</v>
      </c>
    </row>
    <row r="73" spans="1:35" x14ac:dyDescent="0.3">
      <c r="A73" t="s">
        <v>540</v>
      </c>
      <c r="B73">
        <v>64</v>
      </c>
      <c r="C73">
        <v>64</v>
      </c>
      <c r="D73">
        <v>1</v>
      </c>
      <c r="E73" s="80">
        <v>4255205.5685000001</v>
      </c>
      <c r="F73" s="80">
        <v>4255205.5684170267</v>
      </c>
      <c r="G73" s="80">
        <v>3870669.9935995764</v>
      </c>
      <c r="H73" s="80">
        <v>80000</v>
      </c>
      <c r="I73" s="80">
        <v>0</v>
      </c>
      <c r="J73" s="80">
        <v>497957.48689099483</v>
      </c>
      <c r="K73" s="80">
        <v>1355025.8067154447</v>
      </c>
      <c r="L73" s="80">
        <v>139531.1915838893</v>
      </c>
      <c r="M73" s="80">
        <v>139531.1915838893</v>
      </c>
      <c r="N73" s="80">
        <v>133267.31281029334</v>
      </c>
      <c r="O73" s="80">
        <v>133267.31281029334</v>
      </c>
      <c r="P73" s="80">
        <v>1587821.1684503022</v>
      </c>
      <c r="Q73" s="80">
        <v>251268.26200715636</v>
      </c>
      <c r="R73" s="80">
        <v>210334.33995894445</v>
      </c>
      <c r="S73" s="80">
        <v>0</v>
      </c>
      <c r="T73" s="80">
        <v>0</v>
      </c>
      <c r="U73" s="80">
        <v>0</v>
      </c>
      <c r="V73" s="80">
        <v>0</v>
      </c>
      <c r="W73" s="80">
        <v>0</v>
      </c>
      <c r="X73" s="80">
        <v>0</v>
      </c>
      <c r="Y73" s="80">
        <v>0</v>
      </c>
      <c r="Z73" s="80">
        <v>0</v>
      </c>
      <c r="AA73" s="80">
        <v>0</v>
      </c>
      <c r="AB73" s="80">
        <v>0</v>
      </c>
      <c r="AC73" s="80">
        <v>0</v>
      </c>
      <c r="AD73" s="80">
        <v>0</v>
      </c>
      <c r="AE73" s="80">
        <v>0</v>
      </c>
      <c r="AF73" s="80">
        <v>0</v>
      </c>
      <c r="AG73" s="80">
        <v>0</v>
      </c>
      <c r="AH73" s="80">
        <v>0</v>
      </c>
      <c r="AI73" s="79">
        <v>46230.715763888889</v>
      </c>
    </row>
    <row r="74" spans="1:35" x14ac:dyDescent="0.3">
      <c r="A74" t="s">
        <v>513</v>
      </c>
      <c r="B74">
        <v>65</v>
      </c>
      <c r="C74">
        <v>65</v>
      </c>
      <c r="D74">
        <v>1</v>
      </c>
      <c r="E74" s="80">
        <v>1039829.4016</v>
      </c>
      <c r="F74" s="80">
        <v>1039829.3989505556</v>
      </c>
      <c r="G74" s="80">
        <v>945903.10388883576</v>
      </c>
      <c r="H74" s="80">
        <v>19999.999500000002</v>
      </c>
      <c r="I74" s="80">
        <v>0</v>
      </c>
      <c r="J74" s="80">
        <v>119588.85691124039</v>
      </c>
      <c r="K74" s="80">
        <v>329613.94980692188</v>
      </c>
      <c r="L74" s="80">
        <v>33906.237469121945</v>
      </c>
      <c r="M74" s="80">
        <v>33906.237469121945</v>
      </c>
      <c r="N74" s="80">
        <v>32653.461745722103</v>
      </c>
      <c r="O74" s="80">
        <v>32653.461745722103</v>
      </c>
      <c r="P74" s="80">
        <v>390727.19351143419</v>
      </c>
      <c r="Q74" s="80">
        <v>61272.833315997676</v>
      </c>
      <c r="R74" s="80">
        <v>52066.866690117175</v>
      </c>
      <c r="S74" s="80">
        <v>0</v>
      </c>
      <c r="T74" s="80">
        <v>0</v>
      </c>
      <c r="U74" s="80">
        <v>0</v>
      </c>
      <c r="V74" s="80">
        <v>0</v>
      </c>
      <c r="W74" s="80">
        <v>0</v>
      </c>
      <c r="X74" s="80">
        <v>0</v>
      </c>
      <c r="Y74" s="80">
        <v>0</v>
      </c>
      <c r="Z74" s="80">
        <v>0</v>
      </c>
      <c r="AA74" s="80">
        <v>0</v>
      </c>
      <c r="AB74" s="80">
        <v>0</v>
      </c>
      <c r="AC74" s="80">
        <v>0</v>
      </c>
      <c r="AD74" s="80">
        <v>0</v>
      </c>
      <c r="AE74" s="80">
        <v>0</v>
      </c>
      <c r="AF74" s="80">
        <v>0</v>
      </c>
      <c r="AG74" s="80">
        <v>0</v>
      </c>
      <c r="AH74" s="80">
        <v>0</v>
      </c>
      <c r="AI74" s="79">
        <v>46230.715821759259</v>
      </c>
    </row>
    <row r="75" spans="1:35" x14ac:dyDescent="0.3">
      <c r="A75" t="s">
        <v>700</v>
      </c>
      <c r="B75">
        <v>66</v>
      </c>
      <c r="C75">
        <v>66</v>
      </c>
      <c r="D75">
        <v>1</v>
      </c>
      <c r="E75" s="80">
        <v>22239670.1226</v>
      </c>
      <c r="F75" s="80">
        <v>22239670.122252494</v>
      </c>
      <c r="G75" s="80">
        <v>5535392.4561811928</v>
      </c>
      <c r="H75" s="80">
        <v>509267.39172147296</v>
      </c>
      <c r="I75" s="80">
        <v>0</v>
      </c>
      <c r="J75" s="80">
        <v>1227585.0177668864</v>
      </c>
      <c r="K75" s="80">
        <v>1608717.6164646447</v>
      </c>
      <c r="L75" s="80">
        <v>958215.63294121623</v>
      </c>
      <c r="M75" s="80">
        <v>796599.75538798969</v>
      </c>
      <c r="N75" s="80">
        <v>10234989.828944802</v>
      </c>
      <c r="O75" s="80">
        <v>10234989.828944802</v>
      </c>
      <c r="P75" s="80">
        <v>799584.66462700849</v>
      </c>
      <c r="Q75" s="80">
        <v>4107839.5037253546</v>
      </c>
      <c r="R75" s="80">
        <v>432022.13265996875</v>
      </c>
      <c r="S75" s="80">
        <v>116579.0170070677</v>
      </c>
      <c r="T75" s="80">
        <v>0</v>
      </c>
      <c r="U75" s="80">
        <v>0</v>
      </c>
      <c r="V75" s="80">
        <v>25158.730580946951</v>
      </c>
      <c r="W75" s="80">
        <v>0</v>
      </c>
      <c r="X75" s="80">
        <v>22476.2628410697</v>
      </c>
      <c r="Y75" s="80">
        <v>0</v>
      </c>
      <c r="Z75" s="80">
        <v>2181657.4150673812</v>
      </c>
      <c r="AA75" s="80">
        <v>15576.907904694324</v>
      </c>
      <c r="AB75" s="80">
        <v>0</v>
      </c>
      <c r="AC75" s="80">
        <v>0</v>
      </c>
      <c r="AD75" s="80">
        <v>0</v>
      </c>
      <c r="AE75" s="80">
        <v>0</v>
      </c>
      <c r="AF75" s="80">
        <v>0</v>
      </c>
      <c r="AG75" s="80">
        <v>0</v>
      </c>
      <c r="AH75" s="80">
        <v>0</v>
      </c>
      <c r="AI75" s="79">
        <v>46230.715879629628</v>
      </c>
    </row>
    <row r="76" spans="1:35" x14ac:dyDescent="0.3">
      <c r="A76" t="s">
        <v>701</v>
      </c>
      <c r="B76">
        <v>67</v>
      </c>
      <c r="C76">
        <v>67</v>
      </c>
      <c r="D76">
        <v>1</v>
      </c>
      <c r="E76" s="80">
        <v>750854.1862</v>
      </c>
      <c r="F76" s="80">
        <v>750854.18610575912</v>
      </c>
      <c r="G76" s="80">
        <v>696273.62019571802</v>
      </c>
      <c r="H76" s="80">
        <v>10000</v>
      </c>
      <c r="I76" s="80">
        <v>0</v>
      </c>
      <c r="J76" s="80">
        <v>74799.031589649196</v>
      </c>
      <c r="K76" s="80">
        <v>229429.49542814895</v>
      </c>
      <c r="L76" s="80">
        <v>30000</v>
      </c>
      <c r="M76" s="80">
        <v>30000</v>
      </c>
      <c r="N76" s="80">
        <v>21659.295296170618</v>
      </c>
      <c r="O76" s="80">
        <v>21659.295296170618</v>
      </c>
      <c r="P76" s="80">
        <v>312045.09317791992</v>
      </c>
      <c r="Q76" s="80">
        <v>32921.270613870431</v>
      </c>
      <c r="R76" s="80">
        <v>40000.000000000007</v>
      </c>
      <c r="S76" s="80">
        <v>0</v>
      </c>
      <c r="T76" s="80">
        <v>0</v>
      </c>
      <c r="U76" s="80">
        <v>0</v>
      </c>
      <c r="V76" s="80">
        <v>0</v>
      </c>
      <c r="W76" s="80">
        <v>0</v>
      </c>
      <c r="X76" s="80">
        <v>0</v>
      </c>
      <c r="Y76" s="80">
        <v>0</v>
      </c>
      <c r="Z76" s="80">
        <v>0</v>
      </c>
      <c r="AA76" s="80">
        <v>0</v>
      </c>
      <c r="AB76" s="80">
        <v>0</v>
      </c>
      <c r="AC76" s="80">
        <v>0</v>
      </c>
      <c r="AD76" s="80">
        <v>0</v>
      </c>
      <c r="AE76" s="80">
        <v>0</v>
      </c>
      <c r="AF76" s="80">
        <v>0</v>
      </c>
      <c r="AG76" s="80">
        <v>0</v>
      </c>
      <c r="AH76" s="80">
        <v>0</v>
      </c>
      <c r="AI76" s="79">
        <v>46230.715949074074</v>
      </c>
    </row>
    <row r="77" spans="1:35" x14ac:dyDescent="0.3">
      <c r="A77" t="s">
        <v>702</v>
      </c>
      <c r="B77">
        <v>68</v>
      </c>
      <c r="C77">
        <v>68</v>
      </c>
      <c r="D77">
        <v>1</v>
      </c>
      <c r="E77" s="80">
        <v>2079658.878</v>
      </c>
      <c r="F77" s="80">
        <v>2079658.8758883183</v>
      </c>
      <c r="G77" s="80">
        <v>1891806.2787204059</v>
      </c>
      <c r="H77" s="80">
        <v>40000.000500000002</v>
      </c>
      <c r="I77" s="80">
        <v>0</v>
      </c>
      <c r="J77" s="80">
        <v>239177.7227916453</v>
      </c>
      <c r="K77" s="80">
        <v>659227.92433489056</v>
      </c>
      <c r="L77" s="80">
        <v>67812.477481211754</v>
      </c>
      <c r="M77" s="80">
        <v>67812.477481211754</v>
      </c>
      <c r="N77" s="80">
        <v>65306.925940453897</v>
      </c>
      <c r="O77" s="80">
        <v>65306.925940453897</v>
      </c>
      <c r="P77" s="80">
        <v>781454.41632740851</v>
      </c>
      <c r="Q77" s="80">
        <v>122545.67122745795</v>
      </c>
      <c r="R77" s="80">
        <v>104133.73728524944</v>
      </c>
      <c r="S77" s="80">
        <v>0</v>
      </c>
      <c r="T77" s="80">
        <v>0</v>
      </c>
      <c r="U77" s="80">
        <v>0</v>
      </c>
      <c r="V77" s="80">
        <v>0</v>
      </c>
      <c r="W77" s="80">
        <v>0</v>
      </c>
      <c r="X77" s="80">
        <v>0</v>
      </c>
      <c r="Y77" s="80">
        <v>0</v>
      </c>
      <c r="Z77" s="80">
        <v>0</v>
      </c>
      <c r="AA77" s="80">
        <v>0</v>
      </c>
      <c r="AB77" s="80">
        <v>0</v>
      </c>
      <c r="AC77" s="80">
        <v>0</v>
      </c>
      <c r="AD77" s="80">
        <v>0</v>
      </c>
      <c r="AE77" s="80">
        <v>0</v>
      </c>
      <c r="AF77" s="80">
        <v>0</v>
      </c>
      <c r="AG77" s="80">
        <v>0</v>
      </c>
      <c r="AH77" s="80">
        <v>0</v>
      </c>
      <c r="AI77" s="79">
        <v>46230.716006944444</v>
      </c>
    </row>
    <row r="78" spans="1:35" x14ac:dyDescent="0.3">
      <c r="A78" t="s">
        <v>703</v>
      </c>
      <c r="B78">
        <v>69</v>
      </c>
      <c r="C78">
        <v>69</v>
      </c>
      <c r="D78">
        <v>1</v>
      </c>
      <c r="E78" s="80">
        <v>26189657.8851</v>
      </c>
      <c r="F78" s="80">
        <v>26189657.884766642</v>
      </c>
      <c r="G78" s="80">
        <v>6750773.2997007621</v>
      </c>
      <c r="H78" s="80">
        <v>589958.21879079554</v>
      </c>
      <c r="I78" s="80">
        <v>0</v>
      </c>
      <c r="J78" s="80">
        <v>1453832.2189834579</v>
      </c>
      <c r="K78" s="80">
        <v>2005378.9205231178</v>
      </c>
      <c r="L78" s="80">
        <v>1162667.6979038394</v>
      </c>
      <c r="M78" s="80">
        <v>974115.84075840889</v>
      </c>
      <c r="N78" s="80">
        <v>11882122.038055627</v>
      </c>
      <c r="O78" s="80">
        <v>11882122.038055627</v>
      </c>
      <c r="P78" s="80">
        <v>1034910.4220629244</v>
      </c>
      <c r="Q78" s="80">
        <v>4818553.5995082902</v>
      </c>
      <c r="R78" s="80">
        <v>504025.82143663027</v>
      </c>
      <c r="S78" s="80">
        <v>136008.85317491231</v>
      </c>
      <c r="T78" s="80">
        <v>0</v>
      </c>
      <c r="U78" s="80">
        <v>0</v>
      </c>
      <c r="V78" s="80">
        <v>29351.852344438114</v>
      </c>
      <c r="W78" s="80">
        <v>0</v>
      </c>
      <c r="X78" s="80">
        <v>26222.306647914644</v>
      </c>
      <c r="Y78" s="80">
        <v>0</v>
      </c>
      <c r="Z78" s="80">
        <v>2528452.8761125365</v>
      </c>
      <c r="AA78" s="80">
        <v>18173.059222143376</v>
      </c>
      <c r="AB78" s="80">
        <v>0</v>
      </c>
      <c r="AC78" s="80">
        <v>0</v>
      </c>
      <c r="AD78" s="80">
        <v>0</v>
      </c>
      <c r="AE78" s="80">
        <v>0</v>
      </c>
      <c r="AF78" s="80">
        <v>0</v>
      </c>
      <c r="AG78" s="80">
        <v>0</v>
      </c>
      <c r="AH78" s="80">
        <v>0</v>
      </c>
      <c r="AI78" s="79">
        <v>46230.716053240743</v>
      </c>
    </row>
    <row r="79" spans="1:35" x14ac:dyDescent="0.3">
      <c r="A79" t="s">
        <v>704</v>
      </c>
      <c r="B79">
        <v>70</v>
      </c>
      <c r="C79">
        <v>70</v>
      </c>
      <c r="D79">
        <v>1</v>
      </c>
      <c r="E79" s="80">
        <v>40807937.203199998</v>
      </c>
      <c r="F79" s="80">
        <v>40807937.200278476</v>
      </c>
      <c r="G79" s="80">
        <v>9568067.2537766844</v>
      </c>
      <c r="H79" s="80">
        <v>969223.91742479138</v>
      </c>
      <c r="I79" s="80">
        <v>0</v>
      </c>
      <c r="J79" s="80">
        <v>2242692.1594112106</v>
      </c>
      <c r="K79" s="80">
        <v>2604223.3042848771</v>
      </c>
      <c r="L79" s="80">
        <v>1779405.984069254</v>
      </c>
      <c r="M79" s="80">
        <v>1489549.2332063951</v>
      </c>
      <c r="N79" s="80">
        <v>19998726.443307262</v>
      </c>
      <c r="O79" s="80">
        <v>19998726.443307262</v>
      </c>
      <c r="P79" s="80">
        <v>1178703.7357226678</v>
      </c>
      <c r="Q79" s="80">
        <v>7312780.4195168838</v>
      </c>
      <c r="R79" s="80">
        <v>793818.1528638819</v>
      </c>
      <c r="S79" s="80">
        <v>186344.80825849492</v>
      </c>
      <c r="T79" s="80">
        <v>16621.7257739419</v>
      </c>
      <c r="U79" s="80">
        <v>0</v>
      </c>
      <c r="V79" s="80">
        <v>122843.25538452232</v>
      </c>
      <c r="W79" s="80">
        <v>0</v>
      </c>
      <c r="X79" s="80">
        <v>29090.990735277152</v>
      </c>
      <c r="Y79" s="80">
        <v>0</v>
      </c>
      <c r="Z79" s="80">
        <v>3529626.3303320319</v>
      </c>
      <c r="AA79" s="80">
        <v>43835.973193318547</v>
      </c>
      <c r="AB79" s="80">
        <v>0</v>
      </c>
      <c r="AC79" s="80">
        <v>0</v>
      </c>
      <c r="AD79" s="80">
        <v>0</v>
      </c>
      <c r="AE79" s="80">
        <v>0</v>
      </c>
      <c r="AF79" s="80">
        <v>0</v>
      </c>
      <c r="AG79" s="80">
        <v>0</v>
      </c>
      <c r="AH79" s="80">
        <v>0</v>
      </c>
      <c r="AI79" s="79">
        <v>46230.716111111113</v>
      </c>
    </row>
    <row r="80" spans="1:35" x14ac:dyDescent="0.3">
      <c r="A80" t="s">
        <v>705</v>
      </c>
      <c r="B80">
        <v>71</v>
      </c>
      <c r="C80">
        <v>71</v>
      </c>
      <c r="D80">
        <v>1</v>
      </c>
      <c r="E80" s="80">
        <v>1179695.4062999999</v>
      </c>
      <c r="F80" s="80">
        <v>1179695.4034764171</v>
      </c>
      <c r="G80" s="80">
        <v>1119162.2874924983</v>
      </c>
      <c r="H80" s="80">
        <v>17499.999751533127</v>
      </c>
      <c r="I80" s="80">
        <v>0</v>
      </c>
      <c r="J80" s="80">
        <v>105249.89202472549</v>
      </c>
      <c r="K80" s="80">
        <v>353345.91710257676</v>
      </c>
      <c r="L80" s="80">
        <v>50597.32702900211</v>
      </c>
      <c r="M80" s="80">
        <v>50597.32702900211</v>
      </c>
      <c r="N80" s="80">
        <v>16374.383666642001</v>
      </c>
      <c r="O80" s="80">
        <v>16374.383666642001</v>
      </c>
      <c r="P80" s="80">
        <v>522469.1525785281</v>
      </c>
      <c r="Q80" s="80">
        <v>44158.732317276706</v>
      </c>
      <c r="R80" s="80">
        <v>69999.999006132493</v>
      </c>
      <c r="S80" s="80">
        <v>0</v>
      </c>
      <c r="T80" s="80">
        <v>0</v>
      </c>
      <c r="U80" s="80">
        <v>0</v>
      </c>
      <c r="V80" s="80">
        <v>0</v>
      </c>
      <c r="W80" s="80">
        <v>0</v>
      </c>
      <c r="X80" s="80">
        <v>0</v>
      </c>
      <c r="Y80" s="80">
        <v>0</v>
      </c>
      <c r="Z80" s="80">
        <v>0</v>
      </c>
      <c r="AA80" s="80">
        <v>0</v>
      </c>
      <c r="AB80" s="80">
        <v>0</v>
      </c>
      <c r="AC80" s="80">
        <v>0</v>
      </c>
      <c r="AD80" s="80">
        <v>0</v>
      </c>
      <c r="AE80" s="80">
        <v>0</v>
      </c>
      <c r="AF80" s="80">
        <v>0</v>
      </c>
      <c r="AG80" s="80">
        <v>0</v>
      </c>
      <c r="AH80" s="80">
        <v>0</v>
      </c>
      <c r="AI80" s="79">
        <v>46230.716180555559</v>
      </c>
    </row>
    <row r="81" spans="1:35" x14ac:dyDescent="0.3">
      <c r="A81" t="s">
        <v>706</v>
      </c>
      <c r="B81">
        <v>72</v>
      </c>
      <c r="C81">
        <v>72</v>
      </c>
      <c r="D81">
        <v>1</v>
      </c>
      <c r="E81" s="80">
        <v>982151.24829999998</v>
      </c>
      <c r="F81" s="80">
        <v>982151.25024318462</v>
      </c>
      <c r="G81" s="80">
        <v>895747.76170390507</v>
      </c>
      <c r="H81" s="80">
        <v>16840.777575637068</v>
      </c>
      <c r="I81" s="80">
        <v>0</v>
      </c>
      <c r="J81" s="80">
        <v>108863.56274336886</v>
      </c>
      <c r="K81" s="80">
        <v>309119.98158057209</v>
      </c>
      <c r="L81" s="80">
        <v>33266.466243892464</v>
      </c>
      <c r="M81" s="80">
        <v>33266.466243892464</v>
      </c>
      <c r="N81" s="80">
        <v>32184.096705909724</v>
      </c>
      <c r="O81" s="80">
        <v>32184.096705909724</v>
      </c>
      <c r="P81" s="80">
        <v>377090.03173907183</v>
      </c>
      <c r="Q81" s="80">
        <v>54219.391833369409</v>
      </c>
      <c r="R81" s="80">
        <v>50566.941821362889</v>
      </c>
      <c r="S81" s="80">
        <v>0</v>
      </c>
      <c r="T81" s="80">
        <v>0</v>
      </c>
      <c r="U81" s="80">
        <v>0</v>
      </c>
      <c r="V81" s="80">
        <v>0</v>
      </c>
      <c r="W81" s="80">
        <v>0</v>
      </c>
      <c r="X81" s="80">
        <v>0</v>
      </c>
      <c r="Y81" s="80">
        <v>0</v>
      </c>
      <c r="Z81" s="80">
        <v>0</v>
      </c>
      <c r="AA81" s="80">
        <v>0</v>
      </c>
      <c r="AB81" s="80">
        <v>0</v>
      </c>
      <c r="AC81" s="80">
        <v>0</v>
      </c>
      <c r="AD81" s="80">
        <v>0</v>
      </c>
      <c r="AE81" s="80">
        <v>0</v>
      </c>
      <c r="AF81" s="80">
        <v>0</v>
      </c>
      <c r="AG81" s="80">
        <v>0</v>
      </c>
      <c r="AH81" s="80">
        <v>0</v>
      </c>
      <c r="AI81" s="79">
        <v>46230.716226851851</v>
      </c>
    </row>
    <row r="82" spans="1:35" x14ac:dyDescent="0.3">
      <c r="A82" t="s">
        <v>707</v>
      </c>
      <c r="B82">
        <v>73</v>
      </c>
      <c r="C82">
        <v>73</v>
      </c>
      <c r="D82">
        <v>1</v>
      </c>
      <c r="E82" s="80">
        <v>1179695.4062999999</v>
      </c>
      <c r="F82" s="80">
        <v>1179695.4034764171</v>
      </c>
      <c r="G82" s="80">
        <v>1119162.2874924983</v>
      </c>
      <c r="H82" s="80">
        <v>17499.999751533127</v>
      </c>
      <c r="I82" s="80">
        <v>0</v>
      </c>
      <c r="J82" s="80">
        <v>105249.89202472549</v>
      </c>
      <c r="K82" s="80">
        <v>353345.91710257676</v>
      </c>
      <c r="L82" s="80">
        <v>50597.32702900211</v>
      </c>
      <c r="M82" s="80">
        <v>50597.32702900211</v>
      </c>
      <c r="N82" s="80">
        <v>16374.383666642001</v>
      </c>
      <c r="O82" s="80">
        <v>16374.383666642001</v>
      </c>
      <c r="P82" s="80">
        <v>522469.1525785281</v>
      </c>
      <c r="Q82" s="80">
        <v>44158.732317276706</v>
      </c>
      <c r="R82" s="80">
        <v>69999.999006132493</v>
      </c>
      <c r="S82" s="80">
        <v>0</v>
      </c>
      <c r="T82" s="80">
        <v>0</v>
      </c>
      <c r="U82" s="80">
        <v>0</v>
      </c>
      <c r="V82" s="80">
        <v>0</v>
      </c>
      <c r="W82" s="80">
        <v>0</v>
      </c>
      <c r="X82" s="80">
        <v>0</v>
      </c>
      <c r="Y82" s="80">
        <v>0</v>
      </c>
      <c r="Z82" s="80">
        <v>0</v>
      </c>
      <c r="AA82" s="80">
        <v>0</v>
      </c>
      <c r="AB82" s="80">
        <v>0</v>
      </c>
      <c r="AC82" s="80">
        <v>0</v>
      </c>
      <c r="AD82" s="80">
        <v>0</v>
      </c>
      <c r="AE82" s="80">
        <v>0</v>
      </c>
      <c r="AF82" s="80">
        <v>0</v>
      </c>
      <c r="AG82" s="80">
        <v>0</v>
      </c>
      <c r="AH82" s="80">
        <v>0</v>
      </c>
      <c r="AI82" s="79">
        <v>46230.716273148151</v>
      </c>
    </row>
    <row r="83" spans="1:35" x14ac:dyDescent="0.3">
      <c r="A83" t="s">
        <v>708</v>
      </c>
      <c r="B83">
        <v>74</v>
      </c>
      <c r="C83">
        <v>74</v>
      </c>
      <c r="D83">
        <v>1</v>
      </c>
      <c r="E83" s="80">
        <v>2946453.7529000002</v>
      </c>
      <c r="F83" s="80">
        <v>2946453.7507295506</v>
      </c>
      <c r="G83" s="80">
        <v>2687243.2851117146</v>
      </c>
      <c r="H83" s="80">
        <v>50522.33272691122</v>
      </c>
      <c r="I83" s="80">
        <v>0</v>
      </c>
      <c r="J83" s="80">
        <v>326590.68823010661</v>
      </c>
      <c r="K83" s="80">
        <v>927359.94474171696</v>
      </c>
      <c r="L83" s="80">
        <v>99799.3987316774</v>
      </c>
      <c r="M83" s="80">
        <v>99799.3987316774</v>
      </c>
      <c r="N83" s="80">
        <v>96552.290117729193</v>
      </c>
      <c r="O83" s="80">
        <v>96552.290117729193</v>
      </c>
      <c r="P83" s="80">
        <v>1131270.0952172175</v>
      </c>
      <c r="Q83" s="80">
        <v>162658.17550010825</v>
      </c>
      <c r="R83" s="80">
        <v>151700.82546408867</v>
      </c>
      <c r="S83" s="80">
        <v>0</v>
      </c>
      <c r="T83" s="80">
        <v>0</v>
      </c>
      <c r="U83" s="80">
        <v>0</v>
      </c>
      <c r="V83" s="80">
        <v>0</v>
      </c>
      <c r="W83" s="80">
        <v>0</v>
      </c>
      <c r="X83" s="80">
        <v>0</v>
      </c>
      <c r="Y83" s="80">
        <v>0</v>
      </c>
      <c r="Z83" s="80">
        <v>0</v>
      </c>
      <c r="AA83" s="80">
        <v>0</v>
      </c>
      <c r="AB83" s="80">
        <v>0</v>
      </c>
      <c r="AC83" s="80">
        <v>0</v>
      </c>
      <c r="AD83" s="80">
        <v>0</v>
      </c>
      <c r="AE83" s="80">
        <v>0</v>
      </c>
      <c r="AF83" s="80">
        <v>0</v>
      </c>
      <c r="AG83" s="80">
        <v>0</v>
      </c>
      <c r="AH83" s="80">
        <v>0</v>
      </c>
      <c r="AI83" s="79">
        <v>46230.716307870367</v>
      </c>
    </row>
    <row r="84" spans="1:35" x14ac:dyDescent="0.3">
      <c r="A84" t="s">
        <v>536</v>
      </c>
      <c r="B84">
        <v>75</v>
      </c>
      <c r="C84">
        <v>75</v>
      </c>
      <c r="D84">
        <v>1</v>
      </c>
      <c r="E84" s="80">
        <v>579427.98540000001</v>
      </c>
      <c r="F84" s="80">
        <v>579427.98477212142</v>
      </c>
      <c r="G84" s="80">
        <v>0</v>
      </c>
      <c r="H84" s="80">
        <v>0</v>
      </c>
      <c r="I84" s="80">
        <v>0</v>
      </c>
      <c r="J84" s="80">
        <v>0</v>
      </c>
      <c r="K84" s="80">
        <v>0</v>
      </c>
      <c r="L84" s="80">
        <v>0</v>
      </c>
      <c r="M84" s="80">
        <v>0</v>
      </c>
      <c r="N84" s="80">
        <v>0</v>
      </c>
      <c r="O84" s="80">
        <v>0</v>
      </c>
      <c r="P84" s="80">
        <v>0</v>
      </c>
      <c r="Q84" s="80">
        <v>0</v>
      </c>
      <c r="R84" s="80">
        <v>0</v>
      </c>
      <c r="S84" s="80">
        <v>336988.60641343979</v>
      </c>
      <c r="T84" s="80">
        <v>69958.189829304771</v>
      </c>
      <c r="U84" s="80">
        <v>0</v>
      </c>
      <c r="V84" s="80">
        <v>0</v>
      </c>
      <c r="W84" s="80">
        <v>0</v>
      </c>
      <c r="X84" s="80">
        <v>172481.18852937693</v>
      </c>
      <c r="Y84" s="80">
        <v>0</v>
      </c>
      <c r="Z84" s="80">
        <v>0</v>
      </c>
      <c r="AA84" s="80">
        <v>0</v>
      </c>
      <c r="AB84" s="80">
        <v>0</v>
      </c>
      <c r="AC84" s="80">
        <v>0</v>
      </c>
      <c r="AD84" s="80">
        <v>0</v>
      </c>
      <c r="AE84" s="80">
        <v>0</v>
      </c>
      <c r="AF84" s="80">
        <v>0</v>
      </c>
      <c r="AG84" s="80">
        <v>0</v>
      </c>
      <c r="AH84" s="80">
        <v>0</v>
      </c>
      <c r="AI84" s="79">
        <v>46230.716365740744</v>
      </c>
    </row>
    <row r="85" spans="1:35" x14ac:dyDescent="0.3">
      <c r="A85" t="s">
        <v>709</v>
      </c>
      <c r="B85">
        <v>76</v>
      </c>
      <c r="C85">
        <v>76</v>
      </c>
      <c r="D85">
        <v>1</v>
      </c>
      <c r="E85" s="80">
        <v>797201.96710000001</v>
      </c>
      <c r="F85" s="80">
        <v>797201.96669210948</v>
      </c>
      <c r="G85" s="80">
        <v>0</v>
      </c>
      <c r="H85" s="80">
        <v>0</v>
      </c>
      <c r="I85" s="80">
        <v>0</v>
      </c>
      <c r="J85" s="80">
        <v>0</v>
      </c>
      <c r="K85" s="80">
        <v>0</v>
      </c>
      <c r="L85" s="80">
        <v>0</v>
      </c>
      <c r="M85" s="80">
        <v>0</v>
      </c>
      <c r="N85" s="80">
        <v>0</v>
      </c>
      <c r="O85" s="80">
        <v>0</v>
      </c>
      <c r="P85" s="80">
        <v>0</v>
      </c>
      <c r="Q85" s="80">
        <v>0</v>
      </c>
      <c r="R85" s="80">
        <v>0</v>
      </c>
      <c r="S85" s="80">
        <v>589881.5115930523</v>
      </c>
      <c r="T85" s="80">
        <v>57507.683529186572</v>
      </c>
      <c r="U85" s="80">
        <v>0</v>
      </c>
      <c r="V85" s="80">
        <v>0</v>
      </c>
      <c r="W85" s="80">
        <v>0</v>
      </c>
      <c r="X85" s="80">
        <v>149812.77156987053</v>
      </c>
      <c r="Y85" s="80">
        <v>0</v>
      </c>
      <c r="Z85" s="80">
        <v>0</v>
      </c>
      <c r="AA85" s="80">
        <v>0</v>
      </c>
      <c r="AB85" s="80">
        <v>0</v>
      </c>
      <c r="AC85" s="80">
        <v>0</v>
      </c>
      <c r="AD85" s="80">
        <v>0</v>
      </c>
      <c r="AE85" s="80">
        <v>0</v>
      </c>
      <c r="AF85" s="80">
        <v>0</v>
      </c>
      <c r="AG85" s="80">
        <v>0</v>
      </c>
      <c r="AH85" s="80">
        <v>0</v>
      </c>
      <c r="AI85" s="79">
        <v>46230.716412037036</v>
      </c>
    </row>
    <row r="86" spans="1:35" x14ac:dyDescent="0.3">
      <c r="A86" t="s">
        <v>710</v>
      </c>
      <c r="B86">
        <v>77</v>
      </c>
      <c r="C86">
        <v>77</v>
      </c>
      <c r="D86">
        <v>1</v>
      </c>
      <c r="E86" s="80">
        <v>3823343.3997</v>
      </c>
      <c r="F86" s="80">
        <v>3823343.396691822</v>
      </c>
      <c r="G86" s="80">
        <v>3471124.4289265433</v>
      </c>
      <c r="H86" s="80">
        <v>2405161.9754345808</v>
      </c>
      <c r="I86" s="80">
        <v>0</v>
      </c>
      <c r="J86" s="80">
        <v>185404.69781576932</v>
      </c>
      <c r="K86" s="80">
        <v>359332.5194462224</v>
      </c>
      <c r="L86" s="80">
        <v>153781.50358479851</v>
      </c>
      <c r="M86" s="80">
        <v>128476.16614668019</v>
      </c>
      <c r="N86" s="80">
        <v>0</v>
      </c>
      <c r="O86" s="80">
        <v>0</v>
      </c>
      <c r="P86" s="80">
        <v>262519.13034896</v>
      </c>
      <c r="Q86" s="80">
        <v>0</v>
      </c>
      <c r="R86" s="80">
        <v>104924.60229621165</v>
      </c>
      <c r="S86" s="80">
        <v>318032.04653897847</v>
      </c>
      <c r="T86" s="80">
        <v>2270.9458576259281</v>
      </c>
      <c r="U86" s="80">
        <v>0</v>
      </c>
      <c r="V86" s="80">
        <v>22954.303173923709</v>
      </c>
      <c r="W86" s="80">
        <v>0</v>
      </c>
      <c r="X86" s="80">
        <v>2913.718848261185</v>
      </c>
      <c r="Y86" s="80">
        <v>0</v>
      </c>
      <c r="Z86" s="80">
        <v>0</v>
      </c>
      <c r="AA86" s="80">
        <v>6047.9533464705273</v>
      </c>
      <c r="AB86" s="80">
        <v>0</v>
      </c>
      <c r="AC86" s="80">
        <v>0</v>
      </c>
      <c r="AD86" s="80">
        <v>0</v>
      </c>
      <c r="AE86" s="80">
        <v>0</v>
      </c>
      <c r="AF86" s="80">
        <v>0</v>
      </c>
      <c r="AG86" s="80">
        <v>0</v>
      </c>
      <c r="AH86" s="80">
        <v>0</v>
      </c>
      <c r="AI86" s="79">
        <v>46230.716469907406</v>
      </c>
    </row>
    <row r="87" spans="1:35" x14ac:dyDescent="0.3">
      <c r="A87" t="s">
        <v>711</v>
      </c>
      <c r="B87">
        <v>78</v>
      </c>
      <c r="C87">
        <v>78</v>
      </c>
      <c r="D87">
        <v>1</v>
      </c>
      <c r="E87" s="80">
        <v>3024183.0151</v>
      </c>
      <c r="F87" s="80">
        <v>3024183.0370699787</v>
      </c>
      <c r="G87" s="80">
        <v>2730276.5074777533</v>
      </c>
      <c r="H87" s="80">
        <v>1781339.8164484242</v>
      </c>
      <c r="I87" s="80">
        <v>0</v>
      </c>
      <c r="J87" s="80">
        <v>191382.61617163493</v>
      </c>
      <c r="K87" s="80">
        <v>314251.62882644543</v>
      </c>
      <c r="L87" s="80">
        <v>157989.04933599677</v>
      </c>
      <c r="M87" s="80">
        <v>124958.25282250902</v>
      </c>
      <c r="N87" s="80">
        <v>0</v>
      </c>
      <c r="O87" s="80">
        <v>0</v>
      </c>
      <c r="P87" s="80">
        <v>193404.2569779153</v>
      </c>
      <c r="Q87" s="80">
        <v>0</v>
      </c>
      <c r="R87" s="80">
        <v>91909.139717321494</v>
      </c>
      <c r="S87" s="80">
        <v>256850.15210575148</v>
      </c>
      <c r="T87" s="80">
        <v>3593.3395065534582</v>
      </c>
      <c r="U87" s="80">
        <v>0</v>
      </c>
      <c r="V87" s="80">
        <v>15939.526680895644</v>
      </c>
      <c r="W87" s="80">
        <v>0</v>
      </c>
      <c r="X87" s="80">
        <v>14975.559254061234</v>
      </c>
      <c r="Y87" s="80">
        <v>0</v>
      </c>
      <c r="Z87" s="80">
        <v>0</v>
      </c>
      <c r="AA87" s="80">
        <v>2547.9520449582806</v>
      </c>
      <c r="AB87" s="80">
        <v>0</v>
      </c>
      <c r="AC87" s="80">
        <v>0</v>
      </c>
      <c r="AD87" s="80">
        <v>0</v>
      </c>
      <c r="AE87" s="80">
        <v>0</v>
      </c>
      <c r="AF87" s="80">
        <v>0</v>
      </c>
      <c r="AG87" s="80">
        <v>0</v>
      </c>
      <c r="AH87" s="80">
        <v>0</v>
      </c>
      <c r="AI87" s="79">
        <v>46230.716527777775</v>
      </c>
    </row>
    <row r="88" spans="1:35" x14ac:dyDescent="0.3">
      <c r="A88" t="s">
        <v>712</v>
      </c>
      <c r="B88">
        <v>79</v>
      </c>
      <c r="C88">
        <v>79</v>
      </c>
      <c r="D88">
        <v>1</v>
      </c>
      <c r="E88" s="80">
        <v>973537.92729999998</v>
      </c>
      <c r="F88" s="80">
        <v>973537.92852522549</v>
      </c>
      <c r="G88" s="80">
        <v>692880.77040113718</v>
      </c>
      <c r="H88" s="80">
        <v>98167.829129221864</v>
      </c>
      <c r="I88" s="80">
        <v>0</v>
      </c>
      <c r="J88" s="80">
        <v>89145.555018369123</v>
      </c>
      <c r="K88" s="80">
        <v>135644.67596407016</v>
      </c>
      <c r="L88" s="80">
        <v>2806.4529830391621</v>
      </c>
      <c r="M88" s="80">
        <v>1741.7345216774038</v>
      </c>
      <c r="N88" s="80">
        <v>0</v>
      </c>
      <c r="O88" s="80">
        <v>0</v>
      </c>
      <c r="P88" s="80">
        <v>247334.72594942874</v>
      </c>
      <c r="Q88" s="80">
        <v>0</v>
      </c>
      <c r="R88" s="80">
        <v>119781.53135700829</v>
      </c>
      <c r="S88" s="80">
        <v>202467.33562727892</v>
      </c>
      <c r="T88" s="80">
        <v>19219.677698518266</v>
      </c>
      <c r="U88" s="80">
        <v>0</v>
      </c>
      <c r="V88" s="80">
        <v>0</v>
      </c>
      <c r="W88" s="80">
        <v>0</v>
      </c>
      <c r="X88" s="80">
        <v>58970.14479829152</v>
      </c>
      <c r="Y88" s="80">
        <v>0</v>
      </c>
      <c r="Z88" s="80">
        <v>0</v>
      </c>
      <c r="AA88" s="80">
        <v>0</v>
      </c>
      <c r="AB88" s="80">
        <v>0</v>
      </c>
      <c r="AC88" s="80">
        <v>0</v>
      </c>
      <c r="AD88" s="80">
        <v>0</v>
      </c>
      <c r="AE88" s="80">
        <v>0</v>
      </c>
      <c r="AF88" s="80">
        <v>0</v>
      </c>
      <c r="AG88" s="80">
        <v>0</v>
      </c>
      <c r="AH88" s="80">
        <v>0</v>
      </c>
      <c r="AI88" s="79">
        <v>46230.716585648152</v>
      </c>
    </row>
    <row r="89" spans="1:35" x14ac:dyDescent="0.3">
      <c r="A89" t="s">
        <v>713</v>
      </c>
      <c r="B89">
        <v>80</v>
      </c>
      <c r="C89">
        <v>80</v>
      </c>
      <c r="D89">
        <v>1</v>
      </c>
      <c r="E89" s="80">
        <v>966830.90139999997</v>
      </c>
      <c r="F89" s="80">
        <v>966830.9029328787</v>
      </c>
      <c r="G89" s="80">
        <v>538363.86075170676</v>
      </c>
      <c r="H89" s="80">
        <v>47477.402715053693</v>
      </c>
      <c r="I89" s="80">
        <v>0</v>
      </c>
      <c r="J89" s="80">
        <v>110949.33148908011</v>
      </c>
      <c r="K89" s="80">
        <v>79727.738521351115</v>
      </c>
      <c r="L89" s="80">
        <v>0</v>
      </c>
      <c r="M89" s="80">
        <v>0</v>
      </c>
      <c r="N89" s="80">
        <v>298068.30244629167</v>
      </c>
      <c r="O89" s="80">
        <v>298068.30244629167</v>
      </c>
      <c r="P89" s="80">
        <v>238543.02073155795</v>
      </c>
      <c r="Q89" s="80">
        <v>16835.220223444408</v>
      </c>
      <c r="R89" s="80">
        <v>61666.367294663774</v>
      </c>
      <c r="S89" s="80">
        <v>0</v>
      </c>
      <c r="T89" s="80">
        <v>19192.596401577935</v>
      </c>
      <c r="U89" s="80">
        <v>0</v>
      </c>
      <c r="V89" s="80">
        <v>0</v>
      </c>
      <c r="W89" s="80">
        <v>0</v>
      </c>
      <c r="X89" s="80">
        <v>94370.923109857948</v>
      </c>
      <c r="Y89" s="80">
        <v>0</v>
      </c>
      <c r="Z89" s="80">
        <v>0</v>
      </c>
      <c r="AA89" s="80">
        <v>0</v>
      </c>
      <c r="AB89" s="80">
        <v>0</v>
      </c>
      <c r="AC89" s="80">
        <v>0</v>
      </c>
      <c r="AD89" s="80">
        <v>0</v>
      </c>
      <c r="AE89" s="80">
        <v>0</v>
      </c>
      <c r="AF89" s="80">
        <v>0</v>
      </c>
      <c r="AG89" s="80">
        <v>0</v>
      </c>
      <c r="AH89" s="80">
        <v>0</v>
      </c>
      <c r="AI89" s="79">
        <v>46230.716643518521</v>
      </c>
    </row>
    <row r="90" spans="1:35" x14ac:dyDescent="0.3">
      <c r="A90" t="s">
        <v>714</v>
      </c>
      <c r="B90">
        <v>81</v>
      </c>
      <c r="C90">
        <v>81</v>
      </c>
      <c r="D90">
        <v>1</v>
      </c>
      <c r="E90" s="80">
        <v>1208538.6507000001</v>
      </c>
      <c r="F90" s="80">
        <v>1208538.6498155245</v>
      </c>
      <c r="G90" s="80">
        <v>672954.83771634335</v>
      </c>
      <c r="H90" s="80">
        <v>59346.754432385336</v>
      </c>
      <c r="I90" s="80">
        <v>0</v>
      </c>
      <c r="J90" s="80">
        <v>138686.66678836689</v>
      </c>
      <c r="K90" s="80">
        <v>99659.674895733231</v>
      </c>
      <c r="L90" s="80">
        <v>0</v>
      </c>
      <c r="M90" s="80">
        <v>0</v>
      </c>
      <c r="N90" s="80">
        <v>372585.38457810908</v>
      </c>
      <c r="O90" s="80">
        <v>372585.38457810908</v>
      </c>
      <c r="P90" s="80">
        <v>298178.78113257635</v>
      </c>
      <c r="Q90" s="80">
        <v>21044.025647575967</v>
      </c>
      <c r="R90" s="80">
        <v>77082.960467281548</v>
      </c>
      <c r="S90" s="80">
        <v>0</v>
      </c>
      <c r="T90" s="80">
        <v>23990.745921810478</v>
      </c>
      <c r="U90" s="80">
        <v>0</v>
      </c>
      <c r="V90" s="80">
        <v>0</v>
      </c>
      <c r="W90" s="80">
        <v>0</v>
      </c>
      <c r="X90" s="80">
        <v>117963.65595168645</v>
      </c>
      <c r="Y90" s="80">
        <v>0</v>
      </c>
      <c r="Z90" s="80">
        <v>0</v>
      </c>
      <c r="AA90" s="80">
        <v>0</v>
      </c>
      <c r="AB90" s="80">
        <v>0</v>
      </c>
      <c r="AC90" s="80">
        <v>0</v>
      </c>
      <c r="AD90" s="80">
        <v>0</v>
      </c>
      <c r="AE90" s="80">
        <v>0</v>
      </c>
      <c r="AF90" s="80">
        <v>0</v>
      </c>
      <c r="AG90" s="80">
        <v>0</v>
      </c>
      <c r="AH90" s="80">
        <v>0</v>
      </c>
      <c r="AI90" s="79">
        <v>46230.71671296296</v>
      </c>
    </row>
    <row r="91" spans="1:35" x14ac:dyDescent="0.3">
      <c r="A91" t="s">
        <v>715</v>
      </c>
      <c r="B91">
        <v>82</v>
      </c>
      <c r="C91">
        <v>82</v>
      </c>
      <c r="D91">
        <v>1</v>
      </c>
      <c r="E91" s="80">
        <v>1845150.0385</v>
      </c>
      <c r="F91" s="80">
        <v>1845150.0408307789</v>
      </c>
      <c r="G91" s="80">
        <v>683694.58494777093</v>
      </c>
      <c r="H91" s="80">
        <v>68079.552206332213</v>
      </c>
      <c r="I91" s="80">
        <v>0</v>
      </c>
      <c r="J91" s="80">
        <v>139390.84761946925</v>
      </c>
      <c r="K91" s="80">
        <v>125519.65915414198</v>
      </c>
      <c r="L91" s="80">
        <v>2279.5821285633015</v>
      </c>
      <c r="M91" s="80">
        <v>2279.5821285633015</v>
      </c>
      <c r="N91" s="80">
        <v>992674.15883066086</v>
      </c>
      <c r="O91" s="80">
        <v>992674.15883066086</v>
      </c>
      <c r="P91" s="80">
        <v>233342.62120796833</v>
      </c>
      <c r="Q91" s="80">
        <v>45723.702836101242</v>
      </c>
      <c r="R91" s="80">
        <v>115082.32263129624</v>
      </c>
      <c r="S91" s="80">
        <v>25394.020409521207</v>
      </c>
      <c r="T91" s="80">
        <v>17484.364995361178</v>
      </c>
      <c r="U91" s="80">
        <v>0</v>
      </c>
      <c r="V91" s="80">
        <v>0</v>
      </c>
      <c r="W91" s="80">
        <v>0</v>
      </c>
      <c r="X91" s="80">
        <v>80179.208811359815</v>
      </c>
      <c r="Y91" s="80">
        <v>0</v>
      </c>
      <c r="Z91" s="80">
        <v>0</v>
      </c>
      <c r="AA91" s="80">
        <v>0</v>
      </c>
      <c r="AB91" s="80">
        <v>0</v>
      </c>
      <c r="AC91" s="80">
        <v>0</v>
      </c>
      <c r="AD91" s="80">
        <v>0</v>
      </c>
      <c r="AE91" s="80">
        <v>0</v>
      </c>
      <c r="AF91" s="80">
        <v>0</v>
      </c>
      <c r="AG91" s="80">
        <v>0</v>
      </c>
      <c r="AH91" s="80">
        <v>0</v>
      </c>
      <c r="AI91" s="79">
        <v>46230.716770833336</v>
      </c>
    </row>
    <row r="92" spans="1:35" x14ac:dyDescent="0.3">
      <c r="A92" t="s">
        <v>716</v>
      </c>
      <c r="B92">
        <v>83</v>
      </c>
      <c r="C92">
        <v>83</v>
      </c>
      <c r="D92">
        <v>1</v>
      </c>
      <c r="E92" s="80">
        <v>4494025.4387999997</v>
      </c>
      <c r="F92" s="80">
        <v>4494025.4389544223</v>
      </c>
      <c r="G92" s="80">
        <v>2250238.6060147192</v>
      </c>
      <c r="H92" s="80">
        <v>173627.05480029888</v>
      </c>
      <c r="I92" s="80">
        <v>0</v>
      </c>
      <c r="J92" s="80">
        <v>444059.97051960841</v>
      </c>
      <c r="K92" s="80">
        <v>500439.76735696086</v>
      </c>
      <c r="L92" s="80">
        <v>0</v>
      </c>
      <c r="M92" s="80">
        <v>0</v>
      </c>
      <c r="N92" s="80">
        <v>1200419.0010278323</v>
      </c>
      <c r="O92" s="80">
        <v>1200419.0010278323</v>
      </c>
      <c r="P92" s="80">
        <v>827470.80002744542</v>
      </c>
      <c r="Q92" s="80">
        <v>696186.85468655941</v>
      </c>
      <c r="R92" s="80">
        <v>304641.01331040543</v>
      </c>
      <c r="S92" s="80">
        <v>11201.119163712478</v>
      </c>
      <c r="T92" s="80">
        <v>60000</v>
      </c>
      <c r="U92" s="80">
        <v>0</v>
      </c>
      <c r="V92" s="80">
        <v>0</v>
      </c>
      <c r="W92" s="80">
        <v>0</v>
      </c>
      <c r="X92" s="80">
        <v>275979.85806159832</v>
      </c>
      <c r="Y92" s="80">
        <v>0</v>
      </c>
      <c r="Z92" s="80">
        <v>0</v>
      </c>
      <c r="AA92" s="80">
        <v>0</v>
      </c>
      <c r="AB92" s="80">
        <v>0</v>
      </c>
      <c r="AC92" s="80">
        <v>0</v>
      </c>
      <c r="AD92" s="80">
        <v>0</v>
      </c>
      <c r="AE92" s="80">
        <v>0</v>
      </c>
      <c r="AF92" s="80">
        <v>0</v>
      </c>
      <c r="AG92" s="80">
        <v>0</v>
      </c>
      <c r="AH92" s="80">
        <v>0</v>
      </c>
      <c r="AI92" s="79">
        <v>46230.716851851852</v>
      </c>
    </row>
    <row r="93" spans="1:35" x14ac:dyDescent="0.3">
      <c r="A93" t="s">
        <v>717</v>
      </c>
      <c r="B93">
        <v>84</v>
      </c>
      <c r="C93">
        <v>84</v>
      </c>
      <c r="D93">
        <v>1</v>
      </c>
      <c r="E93" s="80">
        <v>3433268.8933000001</v>
      </c>
      <c r="F93" s="80">
        <v>3433268.8933354067</v>
      </c>
      <c r="G93" s="80">
        <v>1294716.7495251256</v>
      </c>
      <c r="H93" s="80">
        <v>140974.75351945599</v>
      </c>
      <c r="I93" s="80">
        <v>0</v>
      </c>
      <c r="J93" s="80">
        <v>267645.26884192368</v>
      </c>
      <c r="K93" s="80">
        <v>264496.95339651726</v>
      </c>
      <c r="L93" s="80">
        <v>9034.0256410362908</v>
      </c>
      <c r="M93" s="80">
        <v>9034.0256410362908</v>
      </c>
      <c r="N93" s="80">
        <v>1501763.0621609469</v>
      </c>
      <c r="O93" s="80">
        <v>1501763.0621609469</v>
      </c>
      <c r="P93" s="80">
        <v>401669.25328856171</v>
      </c>
      <c r="Q93" s="80">
        <v>451085.36802252609</v>
      </c>
      <c r="R93" s="80">
        <v>210896.49483763071</v>
      </c>
      <c r="S93" s="80">
        <v>36311.362997462624</v>
      </c>
      <c r="T93" s="80">
        <v>27681.874213448602</v>
      </c>
      <c r="U93" s="80">
        <v>0</v>
      </c>
      <c r="V93" s="80">
        <v>0</v>
      </c>
      <c r="W93" s="80">
        <v>0</v>
      </c>
      <c r="X93" s="80">
        <v>121710.47641589846</v>
      </c>
      <c r="Y93" s="80">
        <v>0</v>
      </c>
      <c r="Z93" s="80">
        <v>0</v>
      </c>
      <c r="AA93" s="80">
        <v>0</v>
      </c>
      <c r="AB93" s="80">
        <v>0</v>
      </c>
      <c r="AC93" s="80">
        <v>0</v>
      </c>
      <c r="AD93" s="80">
        <v>0</v>
      </c>
      <c r="AE93" s="80">
        <v>0</v>
      </c>
      <c r="AF93" s="80">
        <v>0</v>
      </c>
      <c r="AG93" s="80">
        <v>0</v>
      </c>
      <c r="AH93" s="80">
        <v>0</v>
      </c>
      <c r="AI93" s="79">
        <v>46230.716898148145</v>
      </c>
    </row>
    <row r="94" spans="1:35" x14ac:dyDescent="0.3">
      <c r="A94" t="s">
        <v>718</v>
      </c>
      <c r="B94">
        <v>85</v>
      </c>
      <c r="C94">
        <v>85</v>
      </c>
      <c r="D94">
        <v>1</v>
      </c>
      <c r="E94" s="80">
        <v>1464987.2631999999</v>
      </c>
      <c r="F94" s="80">
        <v>1464987.2630665828</v>
      </c>
      <c r="G94" s="80">
        <v>876134.97153335763</v>
      </c>
      <c r="H94" s="80">
        <v>552990.99782234454</v>
      </c>
      <c r="I94" s="80">
        <v>0</v>
      </c>
      <c r="J94" s="80">
        <v>23256.222397428395</v>
      </c>
      <c r="K94" s="80">
        <v>50585.447552674021</v>
      </c>
      <c r="L94" s="80">
        <v>11433.830827975991</v>
      </c>
      <c r="M94" s="80">
        <v>10378.583022623303</v>
      </c>
      <c r="N94" s="80">
        <v>0</v>
      </c>
      <c r="O94" s="80">
        <v>0</v>
      </c>
      <c r="P94" s="80">
        <v>195858.03434909275</v>
      </c>
      <c r="Q94" s="80">
        <v>0</v>
      </c>
      <c r="R94" s="80">
        <v>42010.438583842057</v>
      </c>
      <c r="S94" s="80">
        <v>410887.79462050792</v>
      </c>
      <c r="T94" s="80">
        <v>63653.914737662912</v>
      </c>
      <c r="U94" s="80">
        <v>0</v>
      </c>
      <c r="V94" s="80">
        <v>6881.1498045204889</v>
      </c>
      <c r="W94" s="80">
        <v>0</v>
      </c>
      <c r="X94" s="80">
        <v>107429.43237053356</v>
      </c>
      <c r="Y94" s="80">
        <v>0</v>
      </c>
      <c r="Z94" s="80">
        <v>0</v>
      </c>
      <c r="AA94" s="80">
        <v>0</v>
      </c>
      <c r="AB94" s="80">
        <v>0</v>
      </c>
      <c r="AC94" s="80">
        <v>0</v>
      </c>
      <c r="AD94" s="80">
        <v>0</v>
      </c>
      <c r="AE94" s="80">
        <v>0</v>
      </c>
      <c r="AF94" s="80">
        <v>0</v>
      </c>
      <c r="AG94" s="80">
        <v>0</v>
      </c>
      <c r="AH94" s="80">
        <v>0</v>
      </c>
      <c r="AI94" s="79">
        <v>46230.716956018521</v>
      </c>
    </row>
    <row r="95" spans="1:35" x14ac:dyDescent="0.3">
      <c r="A95" t="s">
        <v>719</v>
      </c>
      <c r="B95">
        <v>86</v>
      </c>
      <c r="C95">
        <v>86</v>
      </c>
      <c r="D95">
        <v>1</v>
      </c>
      <c r="E95" s="80">
        <v>4032229.9281000001</v>
      </c>
      <c r="F95" s="80">
        <v>4032229.9212921564</v>
      </c>
      <c r="G95" s="80">
        <v>2709938.9480657186</v>
      </c>
      <c r="H95" s="80">
        <v>1616424.789857443</v>
      </c>
      <c r="I95" s="80">
        <v>0</v>
      </c>
      <c r="J95" s="80">
        <v>99182.712008066956</v>
      </c>
      <c r="K95" s="80">
        <v>304988.01302518439</v>
      </c>
      <c r="L95" s="80">
        <v>51599.951064929715</v>
      </c>
      <c r="M95" s="80">
        <v>43714.302138711413</v>
      </c>
      <c r="N95" s="80">
        <v>0</v>
      </c>
      <c r="O95" s="80">
        <v>0</v>
      </c>
      <c r="P95" s="80">
        <v>497968.30137830274</v>
      </c>
      <c r="Q95" s="80">
        <v>0</v>
      </c>
      <c r="R95" s="80">
        <v>139775.1807317842</v>
      </c>
      <c r="S95" s="80">
        <v>898429.59847375925</v>
      </c>
      <c r="T95" s="80">
        <v>112530.76257137158</v>
      </c>
      <c r="U95" s="80">
        <v>0</v>
      </c>
      <c r="V95" s="80">
        <v>35843.715567570551</v>
      </c>
      <c r="W95" s="80">
        <v>0</v>
      </c>
      <c r="X95" s="80">
        <v>275486.8966137261</v>
      </c>
      <c r="Y95" s="80">
        <v>0</v>
      </c>
      <c r="Z95" s="80">
        <v>0</v>
      </c>
      <c r="AA95" s="80">
        <v>0</v>
      </c>
      <c r="AB95" s="80">
        <v>0</v>
      </c>
      <c r="AC95" s="80">
        <v>0</v>
      </c>
      <c r="AD95" s="80">
        <v>0</v>
      </c>
      <c r="AE95" s="80">
        <v>0</v>
      </c>
      <c r="AF95" s="80">
        <v>0</v>
      </c>
      <c r="AG95" s="80">
        <v>0</v>
      </c>
      <c r="AH95" s="80">
        <v>0</v>
      </c>
      <c r="AI95" s="79">
        <v>46230.717002314814</v>
      </c>
    </row>
    <row r="96" spans="1:35" x14ac:dyDescent="0.3">
      <c r="A96" t="s">
        <v>720</v>
      </c>
      <c r="B96">
        <v>87</v>
      </c>
      <c r="C96">
        <v>87</v>
      </c>
      <c r="D96">
        <v>1</v>
      </c>
      <c r="E96" s="80">
        <v>3112805.7719999999</v>
      </c>
      <c r="F96" s="80">
        <v>3112805.7677502353</v>
      </c>
      <c r="G96" s="80">
        <v>1926930.8012148868</v>
      </c>
      <c r="H96" s="80">
        <v>1190970.0737223967</v>
      </c>
      <c r="I96" s="80">
        <v>0</v>
      </c>
      <c r="J96" s="80">
        <v>53030.425708110241</v>
      </c>
      <c r="K96" s="80">
        <v>199077.81928542329</v>
      </c>
      <c r="L96" s="80">
        <v>7713.1780720584329</v>
      </c>
      <c r="M96" s="80">
        <v>7713.1780720584329</v>
      </c>
      <c r="N96" s="80">
        <v>0</v>
      </c>
      <c r="O96" s="80">
        <v>0</v>
      </c>
      <c r="P96" s="80">
        <v>396849.15504139202</v>
      </c>
      <c r="Q96" s="80">
        <v>0</v>
      </c>
      <c r="R96" s="80">
        <v>79290.149385504905</v>
      </c>
      <c r="S96" s="80">
        <v>852455.18215471634</v>
      </c>
      <c r="T96" s="80">
        <v>124075.06396102249</v>
      </c>
      <c r="U96" s="80">
        <v>0</v>
      </c>
      <c r="V96" s="80">
        <v>5110.9030622893479</v>
      </c>
      <c r="W96" s="80">
        <v>0</v>
      </c>
      <c r="X96" s="80">
        <v>204233.81735731318</v>
      </c>
      <c r="Y96" s="80">
        <v>0</v>
      </c>
      <c r="Z96" s="80">
        <v>0</v>
      </c>
      <c r="AA96" s="80">
        <v>0</v>
      </c>
      <c r="AB96" s="80">
        <v>0</v>
      </c>
      <c r="AC96" s="80">
        <v>0</v>
      </c>
      <c r="AD96" s="80">
        <v>0</v>
      </c>
      <c r="AE96" s="80">
        <v>0</v>
      </c>
      <c r="AF96" s="80">
        <v>0</v>
      </c>
      <c r="AG96" s="80">
        <v>0</v>
      </c>
      <c r="AH96" s="80">
        <v>0</v>
      </c>
      <c r="AI96" s="79">
        <v>46230.717060185183</v>
      </c>
    </row>
    <row r="97" spans="1:35" x14ac:dyDescent="0.3">
      <c r="A97" t="s">
        <v>721</v>
      </c>
      <c r="B97">
        <v>88</v>
      </c>
      <c r="C97">
        <v>88</v>
      </c>
      <c r="D97">
        <v>1</v>
      </c>
      <c r="E97" s="80">
        <v>4329453.3214999996</v>
      </c>
      <c r="F97" s="80">
        <v>4329453.3226390118</v>
      </c>
      <c r="G97" s="80">
        <v>2902741.1072187871</v>
      </c>
      <c r="H97" s="80">
        <v>1715742.9531716241</v>
      </c>
      <c r="I97" s="80">
        <v>0</v>
      </c>
      <c r="J97" s="80">
        <v>122050.10128640202</v>
      </c>
      <c r="K97" s="80">
        <v>350966.33561966574</v>
      </c>
      <c r="L97" s="80">
        <v>57593.505991408216</v>
      </c>
      <c r="M97" s="80">
        <v>49788.848774366306</v>
      </c>
      <c r="N97" s="80">
        <v>0</v>
      </c>
      <c r="O97" s="80">
        <v>0</v>
      </c>
      <c r="P97" s="80">
        <v>507762.20356686314</v>
      </c>
      <c r="Q97" s="80">
        <v>0</v>
      </c>
      <c r="R97" s="80">
        <v>148626.00758283384</v>
      </c>
      <c r="S97" s="80">
        <v>1002545.9820020527</v>
      </c>
      <c r="T97" s="80">
        <v>130109.29261755233</v>
      </c>
      <c r="U97" s="80">
        <v>0</v>
      </c>
      <c r="V97" s="80">
        <v>29077.186151503171</v>
      </c>
      <c r="W97" s="80">
        <v>0</v>
      </c>
      <c r="X97" s="80">
        <v>264979.7546491347</v>
      </c>
      <c r="Y97" s="80">
        <v>0</v>
      </c>
      <c r="Z97" s="80">
        <v>0</v>
      </c>
      <c r="AA97" s="80">
        <v>0</v>
      </c>
      <c r="AB97" s="80">
        <v>0</v>
      </c>
      <c r="AC97" s="80">
        <v>0</v>
      </c>
      <c r="AD97" s="80">
        <v>0</v>
      </c>
      <c r="AE97" s="80">
        <v>0</v>
      </c>
      <c r="AF97" s="80">
        <v>0</v>
      </c>
      <c r="AG97" s="80">
        <v>0</v>
      </c>
      <c r="AH97" s="80">
        <v>0</v>
      </c>
      <c r="AI97" s="79">
        <v>46230.717118055552</v>
      </c>
    </row>
    <row r="98" spans="1:35" x14ac:dyDescent="0.3">
      <c r="A98" t="s">
        <v>722</v>
      </c>
      <c r="B98">
        <v>89</v>
      </c>
      <c r="C98">
        <v>89</v>
      </c>
      <c r="D98">
        <v>1</v>
      </c>
      <c r="E98" s="80">
        <v>1464987.2631999999</v>
      </c>
      <c r="F98" s="80">
        <v>1464987.2630665828</v>
      </c>
      <c r="G98" s="80">
        <v>876134.97153335763</v>
      </c>
      <c r="H98" s="80">
        <v>552990.99782234454</v>
      </c>
      <c r="I98" s="80">
        <v>0</v>
      </c>
      <c r="J98" s="80">
        <v>23256.222397428395</v>
      </c>
      <c r="K98" s="80">
        <v>50585.447552674021</v>
      </c>
      <c r="L98" s="80">
        <v>11433.830827975991</v>
      </c>
      <c r="M98" s="80">
        <v>10378.583022623303</v>
      </c>
      <c r="N98" s="80">
        <v>0</v>
      </c>
      <c r="O98" s="80">
        <v>0</v>
      </c>
      <c r="P98" s="80">
        <v>195858.03434909275</v>
      </c>
      <c r="Q98" s="80">
        <v>0</v>
      </c>
      <c r="R98" s="80">
        <v>42010.438583842057</v>
      </c>
      <c r="S98" s="80">
        <v>410887.79462050792</v>
      </c>
      <c r="T98" s="80">
        <v>63653.914737662912</v>
      </c>
      <c r="U98" s="80">
        <v>0</v>
      </c>
      <c r="V98" s="80">
        <v>6881.1498045204889</v>
      </c>
      <c r="W98" s="80">
        <v>0</v>
      </c>
      <c r="X98" s="80">
        <v>107429.43237053356</v>
      </c>
      <c r="Y98" s="80">
        <v>0</v>
      </c>
      <c r="Z98" s="80">
        <v>0</v>
      </c>
      <c r="AA98" s="80">
        <v>0</v>
      </c>
      <c r="AB98" s="80">
        <v>0</v>
      </c>
      <c r="AC98" s="80">
        <v>0</v>
      </c>
      <c r="AD98" s="80">
        <v>0</v>
      </c>
      <c r="AE98" s="80">
        <v>0</v>
      </c>
      <c r="AF98" s="80">
        <v>0</v>
      </c>
      <c r="AG98" s="80">
        <v>0</v>
      </c>
      <c r="AH98" s="80">
        <v>0</v>
      </c>
      <c r="AI98" s="79">
        <v>46230.717175925929</v>
      </c>
    </row>
    <row r="99" spans="1:35" x14ac:dyDescent="0.3">
      <c r="A99" t="s">
        <v>723</v>
      </c>
      <c r="B99">
        <v>90</v>
      </c>
      <c r="C99">
        <v>90</v>
      </c>
      <c r="D99">
        <v>1</v>
      </c>
      <c r="E99" s="80">
        <v>4032229.9281000001</v>
      </c>
      <c r="F99" s="80">
        <v>4032229.9212921564</v>
      </c>
      <c r="G99" s="80">
        <v>2709938.9480657186</v>
      </c>
      <c r="H99" s="80">
        <v>1616424.789857443</v>
      </c>
      <c r="I99" s="80">
        <v>0</v>
      </c>
      <c r="J99" s="80">
        <v>99182.712008066956</v>
      </c>
      <c r="K99" s="80">
        <v>304988.01302518439</v>
      </c>
      <c r="L99" s="80">
        <v>51599.951064929715</v>
      </c>
      <c r="M99" s="80">
        <v>43714.302138711413</v>
      </c>
      <c r="N99" s="80">
        <v>0</v>
      </c>
      <c r="O99" s="80">
        <v>0</v>
      </c>
      <c r="P99" s="80">
        <v>497968.30137830274</v>
      </c>
      <c r="Q99" s="80">
        <v>0</v>
      </c>
      <c r="R99" s="80">
        <v>139775.1807317842</v>
      </c>
      <c r="S99" s="80">
        <v>898429.59847375925</v>
      </c>
      <c r="T99" s="80">
        <v>112530.76257137158</v>
      </c>
      <c r="U99" s="80">
        <v>0</v>
      </c>
      <c r="V99" s="80">
        <v>35843.715567570551</v>
      </c>
      <c r="W99" s="80">
        <v>0</v>
      </c>
      <c r="X99" s="80">
        <v>275486.8966137261</v>
      </c>
      <c r="Y99" s="80">
        <v>0</v>
      </c>
      <c r="Z99" s="80">
        <v>0</v>
      </c>
      <c r="AA99" s="80">
        <v>0</v>
      </c>
      <c r="AB99" s="80">
        <v>0</v>
      </c>
      <c r="AC99" s="80">
        <v>0</v>
      </c>
      <c r="AD99" s="80">
        <v>0</v>
      </c>
      <c r="AE99" s="80">
        <v>0</v>
      </c>
      <c r="AF99" s="80">
        <v>0</v>
      </c>
      <c r="AG99" s="80">
        <v>0</v>
      </c>
      <c r="AH99" s="80">
        <v>0</v>
      </c>
      <c r="AI99" s="79">
        <v>46230.717268518521</v>
      </c>
    </row>
    <row r="100" spans="1:35" x14ac:dyDescent="0.3">
      <c r="A100" t="s">
        <v>724</v>
      </c>
      <c r="B100">
        <v>91</v>
      </c>
      <c r="C100">
        <v>91</v>
      </c>
      <c r="D100">
        <v>1</v>
      </c>
      <c r="E100" s="80">
        <v>3112805.7719999999</v>
      </c>
      <c r="F100" s="80">
        <v>3112805.7677502353</v>
      </c>
      <c r="G100" s="80">
        <v>1926930.8012148868</v>
      </c>
      <c r="H100" s="80">
        <v>1190970.0737223967</v>
      </c>
      <c r="I100" s="80">
        <v>0</v>
      </c>
      <c r="J100" s="80">
        <v>53030.425708110241</v>
      </c>
      <c r="K100" s="80">
        <v>199077.81928542329</v>
      </c>
      <c r="L100" s="80">
        <v>7713.1780720584329</v>
      </c>
      <c r="M100" s="80">
        <v>7713.1780720584329</v>
      </c>
      <c r="N100" s="80">
        <v>0</v>
      </c>
      <c r="O100" s="80">
        <v>0</v>
      </c>
      <c r="P100" s="80">
        <v>396849.15504139202</v>
      </c>
      <c r="Q100" s="80">
        <v>0</v>
      </c>
      <c r="R100" s="80">
        <v>79290.149385504905</v>
      </c>
      <c r="S100" s="80">
        <v>852455.18215471634</v>
      </c>
      <c r="T100" s="80">
        <v>124075.06396102249</v>
      </c>
      <c r="U100" s="80">
        <v>0</v>
      </c>
      <c r="V100" s="80">
        <v>5110.9030622893479</v>
      </c>
      <c r="W100" s="80">
        <v>0</v>
      </c>
      <c r="X100" s="80">
        <v>204233.81735731318</v>
      </c>
      <c r="Y100" s="80">
        <v>0</v>
      </c>
      <c r="Z100" s="80">
        <v>0</v>
      </c>
      <c r="AA100" s="80">
        <v>0</v>
      </c>
      <c r="AB100" s="80">
        <v>0</v>
      </c>
      <c r="AC100" s="80">
        <v>0</v>
      </c>
      <c r="AD100" s="80">
        <v>0</v>
      </c>
      <c r="AE100" s="80">
        <v>0</v>
      </c>
      <c r="AF100" s="80">
        <v>0</v>
      </c>
      <c r="AG100" s="80">
        <v>0</v>
      </c>
      <c r="AH100" s="80">
        <v>0</v>
      </c>
      <c r="AI100" s="79">
        <v>46230.717326388891</v>
      </c>
    </row>
    <row r="101" spans="1:35" x14ac:dyDescent="0.3">
      <c r="A101" t="s">
        <v>725</v>
      </c>
      <c r="B101">
        <v>92</v>
      </c>
      <c r="C101">
        <v>92</v>
      </c>
      <c r="D101">
        <v>1</v>
      </c>
      <c r="E101" s="80">
        <v>4329453.3214999996</v>
      </c>
      <c r="F101" s="80">
        <v>4329453.3226390118</v>
      </c>
      <c r="G101" s="80">
        <v>2902741.1072187871</v>
      </c>
      <c r="H101" s="80">
        <v>1715742.9531716241</v>
      </c>
      <c r="I101" s="80">
        <v>0</v>
      </c>
      <c r="J101" s="80">
        <v>122050.10128640202</v>
      </c>
      <c r="K101" s="80">
        <v>350966.33561966574</v>
      </c>
      <c r="L101" s="80">
        <v>57593.505991408216</v>
      </c>
      <c r="M101" s="80">
        <v>49788.848774366306</v>
      </c>
      <c r="N101" s="80">
        <v>0</v>
      </c>
      <c r="O101" s="80">
        <v>0</v>
      </c>
      <c r="P101" s="80">
        <v>507762.20356686314</v>
      </c>
      <c r="Q101" s="80">
        <v>0</v>
      </c>
      <c r="R101" s="80">
        <v>148626.00758283384</v>
      </c>
      <c r="S101" s="80">
        <v>1002545.9820020527</v>
      </c>
      <c r="T101" s="80">
        <v>130109.29261755233</v>
      </c>
      <c r="U101" s="80">
        <v>0</v>
      </c>
      <c r="V101" s="80">
        <v>29077.186151503171</v>
      </c>
      <c r="W101" s="80">
        <v>0</v>
      </c>
      <c r="X101" s="80">
        <v>264979.7546491347</v>
      </c>
      <c r="Y101" s="80">
        <v>0</v>
      </c>
      <c r="Z101" s="80">
        <v>0</v>
      </c>
      <c r="AA101" s="80">
        <v>0</v>
      </c>
      <c r="AB101" s="80">
        <v>0</v>
      </c>
      <c r="AC101" s="80">
        <v>0</v>
      </c>
      <c r="AD101" s="80">
        <v>0</v>
      </c>
      <c r="AE101" s="80">
        <v>0</v>
      </c>
      <c r="AF101" s="80">
        <v>0</v>
      </c>
      <c r="AG101" s="80">
        <v>0</v>
      </c>
      <c r="AH101" s="80">
        <v>0</v>
      </c>
      <c r="AI101" s="79">
        <v>46230.71738425926</v>
      </c>
    </row>
    <row r="102" spans="1:35" x14ac:dyDescent="0.3">
      <c r="A102" t="s">
        <v>726</v>
      </c>
      <c r="B102">
        <v>93</v>
      </c>
      <c r="C102">
        <v>93</v>
      </c>
      <c r="D102">
        <v>1</v>
      </c>
      <c r="E102" s="80">
        <v>1516723.1695999999</v>
      </c>
      <c r="F102" s="80">
        <v>1516723.1734199394</v>
      </c>
      <c r="G102" s="80">
        <v>952789.62804959377</v>
      </c>
      <c r="H102" s="80">
        <v>583437.18964131991</v>
      </c>
      <c r="I102" s="80">
        <v>0</v>
      </c>
      <c r="J102" s="80">
        <v>28882.173446108776</v>
      </c>
      <c r="K102" s="80">
        <v>105779.67854905842</v>
      </c>
      <c r="L102" s="80">
        <v>4779.0930029634092</v>
      </c>
      <c r="M102" s="80">
        <v>4779.0930029634092</v>
      </c>
      <c r="N102" s="80">
        <v>0</v>
      </c>
      <c r="O102" s="80">
        <v>0</v>
      </c>
      <c r="P102" s="80">
        <v>190382.6780798118</v>
      </c>
      <c r="Q102" s="80">
        <v>0</v>
      </c>
      <c r="R102" s="80">
        <v>39528.815330331337</v>
      </c>
      <c r="S102" s="80">
        <v>398395.84723324334</v>
      </c>
      <c r="T102" s="80">
        <v>58218.983604914189</v>
      </c>
      <c r="U102" s="80">
        <v>0</v>
      </c>
      <c r="V102" s="80">
        <v>3030.7163832173173</v>
      </c>
      <c r="W102" s="80">
        <v>0</v>
      </c>
      <c r="X102" s="80">
        <v>104287.99814897066</v>
      </c>
      <c r="Y102" s="80">
        <v>0</v>
      </c>
      <c r="Z102" s="80">
        <v>0</v>
      </c>
      <c r="AA102" s="80">
        <v>0</v>
      </c>
      <c r="AB102" s="80">
        <v>0</v>
      </c>
      <c r="AC102" s="80">
        <v>0</v>
      </c>
      <c r="AD102" s="80">
        <v>0</v>
      </c>
      <c r="AE102" s="80">
        <v>0</v>
      </c>
      <c r="AF102" s="80">
        <v>0</v>
      </c>
      <c r="AG102" s="80">
        <v>0</v>
      </c>
      <c r="AH102" s="80">
        <v>0</v>
      </c>
      <c r="AI102" s="79">
        <v>46230.717430555553</v>
      </c>
    </row>
    <row r="103" spans="1:35" x14ac:dyDescent="0.3">
      <c r="A103" t="s">
        <v>727</v>
      </c>
      <c r="B103">
        <v>94</v>
      </c>
      <c r="C103">
        <v>94</v>
      </c>
      <c r="D103">
        <v>1</v>
      </c>
      <c r="E103" s="80">
        <v>3016531.2423</v>
      </c>
      <c r="F103" s="80">
        <v>3016531.2373322602</v>
      </c>
      <c r="G103" s="80">
        <v>1922348.9711614735</v>
      </c>
      <c r="H103" s="80">
        <v>1175934.8381818985</v>
      </c>
      <c r="I103" s="80">
        <v>0</v>
      </c>
      <c r="J103" s="80">
        <v>60288.020209876522</v>
      </c>
      <c r="K103" s="80">
        <v>224753.19322239823</v>
      </c>
      <c r="L103" s="80">
        <v>11594.232197326284</v>
      </c>
      <c r="M103" s="80">
        <v>11594.232197326284</v>
      </c>
      <c r="N103" s="80">
        <v>0</v>
      </c>
      <c r="O103" s="80">
        <v>0</v>
      </c>
      <c r="P103" s="80">
        <v>367274.86197725579</v>
      </c>
      <c r="Q103" s="80">
        <v>0</v>
      </c>
      <c r="R103" s="80">
        <v>82503.825372718478</v>
      </c>
      <c r="S103" s="80">
        <v>768389.02041449188</v>
      </c>
      <c r="T103" s="80">
        <v>109300.35667666902</v>
      </c>
      <c r="U103" s="80">
        <v>0</v>
      </c>
      <c r="V103" s="80">
        <v>8844.4893383387425</v>
      </c>
      <c r="W103" s="80">
        <v>0</v>
      </c>
      <c r="X103" s="80">
        <v>207648.3997412794</v>
      </c>
      <c r="Y103" s="80">
        <v>0</v>
      </c>
      <c r="Z103" s="80">
        <v>0</v>
      </c>
      <c r="AA103" s="80">
        <v>0</v>
      </c>
      <c r="AB103" s="80">
        <v>0</v>
      </c>
      <c r="AC103" s="80">
        <v>0</v>
      </c>
      <c r="AD103" s="80">
        <v>0</v>
      </c>
      <c r="AE103" s="80">
        <v>0</v>
      </c>
      <c r="AF103" s="80">
        <v>0</v>
      </c>
      <c r="AG103" s="80">
        <v>0</v>
      </c>
      <c r="AH103" s="80">
        <v>0</v>
      </c>
      <c r="AI103" s="79">
        <v>46230.717511574076</v>
      </c>
    </row>
    <row r="104" spans="1:35" x14ac:dyDescent="0.3">
      <c r="A104" t="s">
        <v>728</v>
      </c>
      <c r="B104">
        <v>95</v>
      </c>
      <c r="C104">
        <v>95</v>
      </c>
      <c r="D104">
        <v>1</v>
      </c>
      <c r="E104" s="80">
        <v>13115199.161800001</v>
      </c>
      <c r="F104" s="80">
        <v>13115199.161115566</v>
      </c>
      <c r="G104" s="80">
        <v>9188157.0570833199</v>
      </c>
      <c r="H104" s="80">
        <v>4540804.7589868763</v>
      </c>
      <c r="I104" s="80">
        <v>0</v>
      </c>
      <c r="J104" s="80">
        <v>704202.43044756795</v>
      </c>
      <c r="K104" s="80">
        <v>1407933.5498497603</v>
      </c>
      <c r="L104" s="80">
        <v>379229.69922397629</v>
      </c>
      <c r="M104" s="80">
        <v>274763.82020349253</v>
      </c>
      <c r="N104" s="80">
        <v>0</v>
      </c>
      <c r="O104" s="80">
        <v>0</v>
      </c>
      <c r="P104" s="80">
        <v>1503259.0486896737</v>
      </c>
      <c r="Q104" s="80">
        <v>0</v>
      </c>
      <c r="R104" s="80">
        <v>652727.56988546799</v>
      </c>
      <c r="S104" s="80">
        <v>2421527.4234417803</v>
      </c>
      <c r="T104" s="80">
        <v>328665.54766070453</v>
      </c>
      <c r="U104" s="80">
        <v>0</v>
      </c>
      <c r="V104" s="80">
        <v>293963.66215031012</v>
      </c>
      <c r="W104" s="80">
        <v>0</v>
      </c>
      <c r="X104" s="80">
        <v>882885.47077946051</v>
      </c>
      <c r="Y104" s="80">
        <v>0</v>
      </c>
      <c r="Z104" s="80">
        <v>0</v>
      </c>
      <c r="AA104" s="80">
        <v>0</v>
      </c>
      <c r="AB104" s="80">
        <v>0</v>
      </c>
      <c r="AC104" s="80">
        <v>0</v>
      </c>
      <c r="AD104" s="80">
        <v>0</v>
      </c>
      <c r="AE104" s="80">
        <v>0</v>
      </c>
      <c r="AF104" s="80">
        <v>0</v>
      </c>
      <c r="AG104" s="80">
        <v>0</v>
      </c>
      <c r="AH104" s="80">
        <v>0</v>
      </c>
      <c r="AI104" s="79">
        <v>46230.717569444445</v>
      </c>
    </row>
    <row r="105" spans="1:35" x14ac:dyDescent="0.3">
      <c r="A105" t="s">
        <v>729</v>
      </c>
      <c r="B105">
        <v>96</v>
      </c>
      <c r="C105">
        <v>96</v>
      </c>
      <c r="D105">
        <v>1</v>
      </c>
      <c r="E105" s="80">
        <v>2181119.159</v>
      </c>
      <c r="F105" s="80">
        <v>2181119.1631861031</v>
      </c>
      <c r="G105" s="80">
        <v>1359303.1512844344</v>
      </c>
      <c r="H105" s="80">
        <v>679849.0865160519</v>
      </c>
      <c r="I105" s="80">
        <v>0</v>
      </c>
      <c r="J105" s="80">
        <v>58232.065196795847</v>
      </c>
      <c r="K105" s="80">
        <v>201272.02289298223</v>
      </c>
      <c r="L105" s="80">
        <v>41745.715115428713</v>
      </c>
      <c r="M105" s="80">
        <v>26706.690335054041</v>
      </c>
      <c r="N105" s="80">
        <v>0</v>
      </c>
      <c r="O105" s="80">
        <v>0</v>
      </c>
      <c r="P105" s="80">
        <v>293416.0706441364</v>
      </c>
      <c r="Q105" s="80">
        <v>0</v>
      </c>
      <c r="R105" s="80">
        <v>84788.190919035886</v>
      </c>
      <c r="S105" s="80">
        <v>499279.57242072583</v>
      </c>
      <c r="T105" s="80">
        <v>77164.254036669256</v>
      </c>
      <c r="U105" s="80">
        <v>0</v>
      </c>
      <c r="V105" s="80">
        <v>29374.551100093544</v>
      </c>
      <c r="W105" s="80">
        <v>0</v>
      </c>
      <c r="X105" s="80">
        <v>208085.97081996262</v>
      </c>
      <c r="Y105" s="80">
        <v>0</v>
      </c>
      <c r="Z105" s="80">
        <v>0</v>
      </c>
      <c r="AA105" s="80">
        <v>6303.310605062883</v>
      </c>
      <c r="AB105" s="80">
        <v>0</v>
      </c>
      <c r="AC105" s="80">
        <v>0</v>
      </c>
      <c r="AD105" s="80">
        <v>0</v>
      </c>
      <c r="AE105" s="80">
        <v>0</v>
      </c>
      <c r="AF105" s="80">
        <v>0</v>
      </c>
      <c r="AG105" s="80">
        <v>0</v>
      </c>
      <c r="AH105" s="80">
        <v>0</v>
      </c>
      <c r="AI105" s="79">
        <v>46230.717615740738</v>
      </c>
    </row>
    <row r="106" spans="1:35" x14ac:dyDescent="0.3">
      <c r="A106" t="s">
        <v>730</v>
      </c>
      <c r="B106">
        <v>97</v>
      </c>
      <c r="C106">
        <v>97</v>
      </c>
      <c r="D106">
        <v>1</v>
      </c>
      <c r="E106" s="80">
        <v>1830484.2753999999</v>
      </c>
      <c r="F106" s="80">
        <v>1830484.2806846141</v>
      </c>
      <c r="G106" s="80">
        <v>1102622.864483627</v>
      </c>
      <c r="H106" s="80">
        <v>562002.22944183322</v>
      </c>
      <c r="I106" s="80">
        <v>0</v>
      </c>
      <c r="J106" s="80">
        <v>63986.463795082513</v>
      </c>
      <c r="K106" s="80">
        <v>158560.91436648121</v>
      </c>
      <c r="L106" s="80">
        <v>10685.118981502023</v>
      </c>
      <c r="M106" s="80">
        <v>5653.6111436236661</v>
      </c>
      <c r="N106" s="80">
        <v>0</v>
      </c>
      <c r="O106" s="80">
        <v>0</v>
      </c>
      <c r="P106" s="80">
        <v>232785.86150074753</v>
      </c>
      <c r="Q106" s="80">
        <v>0</v>
      </c>
      <c r="R106" s="80">
        <v>74602.276397979454</v>
      </c>
      <c r="S106" s="80">
        <v>490833.982796086</v>
      </c>
      <c r="T106" s="80">
        <v>77237.533364167961</v>
      </c>
      <c r="U106" s="80">
        <v>0</v>
      </c>
      <c r="V106" s="80">
        <v>9000.0001279999997</v>
      </c>
      <c r="W106" s="80">
        <v>0</v>
      </c>
      <c r="X106" s="80">
        <v>149845.65314837493</v>
      </c>
      <c r="Y106" s="80">
        <v>0</v>
      </c>
      <c r="Z106" s="80">
        <v>0</v>
      </c>
      <c r="AA106" s="80">
        <v>944.24676435573065</v>
      </c>
      <c r="AB106" s="80">
        <v>0</v>
      </c>
      <c r="AC106" s="80">
        <v>0</v>
      </c>
      <c r="AD106" s="80">
        <v>0</v>
      </c>
      <c r="AE106" s="80">
        <v>0</v>
      </c>
      <c r="AF106" s="80">
        <v>0</v>
      </c>
      <c r="AG106" s="80">
        <v>0</v>
      </c>
      <c r="AH106" s="80">
        <v>0</v>
      </c>
      <c r="AI106" s="79">
        <v>46230.717685185184</v>
      </c>
    </row>
    <row r="107" spans="1:35" x14ac:dyDescent="0.3">
      <c r="A107" t="s">
        <v>731</v>
      </c>
      <c r="B107">
        <v>98</v>
      </c>
      <c r="C107">
        <v>98</v>
      </c>
      <c r="D107">
        <v>1</v>
      </c>
      <c r="E107" s="80">
        <v>1846813.3894</v>
      </c>
      <c r="F107" s="80">
        <v>1846813.3889519481</v>
      </c>
      <c r="G107" s="80">
        <v>1754005.5077021869</v>
      </c>
      <c r="H107" s="80">
        <v>991908.80792096152</v>
      </c>
      <c r="I107" s="80">
        <v>0</v>
      </c>
      <c r="J107" s="80">
        <v>47589.564286257351</v>
      </c>
      <c r="K107" s="80">
        <v>282322.77394422342</v>
      </c>
      <c r="L107" s="80">
        <v>49081.110536497166</v>
      </c>
      <c r="M107" s="80">
        <v>29998.203883772636</v>
      </c>
      <c r="N107" s="80">
        <v>7493.9939563704611</v>
      </c>
      <c r="O107" s="80">
        <v>7493.9939563704611</v>
      </c>
      <c r="P107" s="80">
        <v>327163.39239886391</v>
      </c>
      <c r="Q107" s="80">
        <v>279.43571950713635</v>
      </c>
      <c r="R107" s="80">
        <v>55939.858615382531</v>
      </c>
      <c r="S107" s="80">
        <v>51761.1763555422</v>
      </c>
      <c r="T107" s="80">
        <v>0</v>
      </c>
      <c r="U107" s="80">
        <v>0</v>
      </c>
      <c r="V107" s="80">
        <v>0</v>
      </c>
      <c r="W107" s="80">
        <v>0</v>
      </c>
      <c r="X107" s="80">
        <v>33273.275218341791</v>
      </c>
      <c r="Y107" s="80">
        <v>0</v>
      </c>
      <c r="Z107" s="80">
        <v>0</v>
      </c>
      <c r="AA107" s="80">
        <v>0</v>
      </c>
      <c r="AB107" s="80">
        <v>0</v>
      </c>
      <c r="AC107" s="80">
        <v>0</v>
      </c>
      <c r="AD107" s="80">
        <v>0</v>
      </c>
      <c r="AE107" s="80">
        <v>0</v>
      </c>
      <c r="AF107" s="80">
        <v>0</v>
      </c>
      <c r="AG107" s="80">
        <v>0</v>
      </c>
      <c r="AH107" s="80">
        <v>0</v>
      </c>
      <c r="AI107" s="79">
        <v>46230.717743055553</v>
      </c>
    </row>
    <row r="108" spans="1:35" x14ac:dyDescent="0.3">
      <c r="A108" t="s">
        <v>732</v>
      </c>
      <c r="B108">
        <v>99</v>
      </c>
      <c r="C108">
        <v>99</v>
      </c>
      <c r="D108">
        <v>1</v>
      </c>
      <c r="E108" s="80">
        <v>1227987.3348999999</v>
      </c>
      <c r="F108" s="80">
        <v>1227987.3358508623</v>
      </c>
      <c r="G108" s="80">
        <v>1218246.5146120861</v>
      </c>
      <c r="H108" s="80">
        <v>711320.21899982286</v>
      </c>
      <c r="I108" s="80">
        <v>0</v>
      </c>
      <c r="J108" s="80">
        <v>5730.8543616395064</v>
      </c>
      <c r="K108" s="80">
        <v>130077.84182079634</v>
      </c>
      <c r="L108" s="80">
        <v>0</v>
      </c>
      <c r="M108" s="80">
        <v>0</v>
      </c>
      <c r="N108" s="80">
        <v>0</v>
      </c>
      <c r="O108" s="80">
        <v>0</v>
      </c>
      <c r="P108" s="80">
        <v>328602.29106979771</v>
      </c>
      <c r="Q108" s="80">
        <v>0</v>
      </c>
      <c r="R108" s="80">
        <v>42515.308360029703</v>
      </c>
      <c r="S108" s="80">
        <v>791.90975539246119</v>
      </c>
      <c r="T108" s="80">
        <v>0</v>
      </c>
      <c r="U108" s="80">
        <v>0</v>
      </c>
      <c r="V108" s="80">
        <v>0</v>
      </c>
      <c r="W108" s="80">
        <v>0</v>
      </c>
      <c r="X108" s="80">
        <v>8948.9114833837084</v>
      </c>
      <c r="Y108" s="80">
        <v>0</v>
      </c>
      <c r="Z108" s="80">
        <v>0</v>
      </c>
      <c r="AA108" s="80">
        <v>0</v>
      </c>
      <c r="AB108" s="80">
        <v>0</v>
      </c>
      <c r="AC108" s="80">
        <v>0</v>
      </c>
      <c r="AD108" s="80">
        <v>0</v>
      </c>
      <c r="AE108" s="80">
        <v>0</v>
      </c>
      <c r="AF108" s="80">
        <v>0</v>
      </c>
      <c r="AG108" s="80">
        <v>0</v>
      </c>
      <c r="AH108" s="80">
        <v>0</v>
      </c>
      <c r="AI108" s="79">
        <v>46230.717800925922</v>
      </c>
    </row>
    <row r="109" spans="1:35" x14ac:dyDescent="0.3">
      <c r="A109" t="s">
        <v>733</v>
      </c>
      <c r="B109">
        <v>100</v>
      </c>
      <c r="C109">
        <v>100</v>
      </c>
      <c r="D109">
        <v>1</v>
      </c>
      <c r="E109" s="80">
        <v>8463428.6692999993</v>
      </c>
      <c r="F109" s="80">
        <v>8463428.6643912513</v>
      </c>
      <c r="G109" s="80">
        <v>8463428.6643912513</v>
      </c>
      <c r="H109" s="80">
        <v>4984017.7687142538</v>
      </c>
      <c r="I109" s="80">
        <v>0</v>
      </c>
      <c r="J109" s="80">
        <v>0</v>
      </c>
      <c r="K109" s="80">
        <v>174526.31245961238</v>
      </c>
      <c r="L109" s="80">
        <v>3304884.5832173424</v>
      </c>
      <c r="M109" s="80">
        <v>3238353.9412387107</v>
      </c>
      <c r="N109" s="80">
        <v>0</v>
      </c>
      <c r="O109" s="80">
        <v>0</v>
      </c>
      <c r="P109" s="80">
        <v>0</v>
      </c>
      <c r="Q109" s="80">
        <v>0</v>
      </c>
      <c r="R109" s="80">
        <v>0</v>
      </c>
      <c r="S109" s="80">
        <v>0</v>
      </c>
      <c r="T109" s="80">
        <v>0</v>
      </c>
      <c r="U109" s="80">
        <v>0</v>
      </c>
      <c r="V109" s="80">
        <v>0</v>
      </c>
      <c r="W109" s="80">
        <v>0</v>
      </c>
      <c r="X109" s="80">
        <v>0</v>
      </c>
      <c r="Y109" s="80">
        <v>0</v>
      </c>
      <c r="Z109" s="80">
        <v>0</v>
      </c>
      <c r="AA109" s="80">
        <v>0</v>
      </c>
      <c r="AB109" s="80">
        <v>0</v>
      </c>
      <c r="AC109" s="80">
        <v>0</v>
      </c>
      <c r="AD109" s="80">
        <v>0</v>
      </c>
      <c r="AE109" s="80">
        <v>0</v>
      </c>
      <c r="AF109" s="80">
        <v>0</v>
      </c>
      <c r="AG109" s="80">
        <v>0</v>
      </c>
      <c r="AH109" s="80">
        <v>0</v>
      </c>
      <c r="AI109" s="79">
        <v>46230.717858796299</v>
      </c>
    </row>
    <row r="110" spans="1:35" x14ac:dyDescent="0.3">
      <c r="A110" t="s">
        <v>734</v>
      </c>
      <c r="B110">
        <v>101</v>
      </c>
      <c r="C110">
        <v>101</v>
      </c>
      <c r="D110">
        <v>1</v>
      </c>
      <c r="E110" s="80">
        <v>4317648.2834000001</v>
      </c>
      <c r="F110" s="80">
        <v>4317648.2828543186</v>
      </c>
      <c r="G110" s="80">
        <v>3018022.7335542273</v>
      </c>
      <c r="H110" s="80">
        <v>1596775.4804753333</v>
      </c>
      <c r="I110" s="80">
        <v>0</v>
      </c>
      <c r="J110" s="80">
        <v>280330.59098415606</v>
      </c>
      <c r="K110" s="80">
        <v>314192.79595467047</v>
      </c>
      <c r="L110" s="80">
        <v>84466.807793785119</v>
      </c>
      <c r="M110" s="80">
        <v>68049.868121605701</v>
      </c>
      <c r="N110" s="80">
        <v>0</v>
      </c>
      <c r="O110" s="80">
        <v>0</v>
      </c>
      <c r="P110" s="80">
        <v>544575.12001850456</v>
      </c>
      <c r="Q110" s="80">
        <v>0</v>
      </c>
      <c r="R110" s="80">
        <v>197681.93832777638</v>
      </c>
      <c r="S110" s="80">
        <v>918784.84791276837</v>
      </c>
      <c r="T110" s="80">
        <v>81083.741862676528</v>
      </c>
      <c r="U110" s="80">
        <v>0</v>
      </c>
      <c r="V110" s="80">
        <v>58178.948018905496</v>
      </c>
      <c r="W110" s="80">
        <v>0</v>
      </c>
      <c r="X110" s="80">
        <v>241578.01150574198</v>
      </c>
      <c r="Y110" s="80">
        <v>0</v>
      </c>
      <c r="Z110" s="80">
        <v>0</v>
      </c>
      <c r="AA110" s="80">
        <v>0</v>
      </c>
      <c r="AB110" s="80">
        <v>0</v>
      </c>
      <c r="AC110" s="80">
        <v>0</v>
      </c>
      <c r="AD110" s="80">
        <v>0</v>
      </c>
      <c r="AE110" s="80">
        <v>0</v>
      </c>
      <c r="AF110" s="80">
        <v>0</v>
      </c>
      <c r="AG110" s="80">
        <v>0</v>
      </c>
      <c r="AH110" s="80">
        <v>0</v>
      </c>
      <c r="AI110" s="79">
        <v>46230.717916666668</v>
      </c>
    </row>
    <row r="111" spans="1:35" x14ac:dyDescent="0.3">
      <c r="A111" t="s">
        <v>735</v>
      </c>
      <c r="B111">
        <v>102</v>
      </c>
      <c r="C111">
        <v>102</v>
      </c>
      <c r="D111">
        <v>1</v>
      </c>
      <c r="E111" s="80">
        <v>1830289.7361999999</v>
      </c>
      <c r="F111" s="80">
        <v>1830289.7381525519</v>
      </c>
      <c r="G111" s="80">
        <v>1797814.483894913</v>
      </c>
      <c r="H111" s="80">
        <v>136509.40288505983</v>
      </c>
      <c r="I111" s="80">
        <v>0</v>
      </c>
      <c r="J111" s="80">
        <v>444076.6379482359</v>
      </c>
      <c r="K111" s="80">
        <v>516334.5835523383</v>
      </c>
      <c r="L111" s="80">
        <v>529872.90827836562</v>
      </c>
      <c r="M111" s="80">
        <v>381998.04535841086</v>
      </c>
      <c r="N111" s="80">
        <v>0</v>
      </c>
      <c r="O111" s="80">
        <v>0</v>
      </c>
      <c r="P111" s="80">
        <v>126200.64869463081</v>
      </c>
      <c r="Q111" s="80">
        <v>0</v>
      </c>
      <c r="R111" s="80">
        <v>44820.302536283263</v>
      </c>
      <c r="S111" s="80">
        <v>0</v>
      </c>
      <c r="T111" s="80">
        <v>0</v>
      </c>
      <c r="U111" s="80">
        <v>0</v>
      </c>
      <c r="V111" s="80">
        <v>25031.173301809536</v>
      </c>
      <c r="W111" s="80">
        <v>0</v>
      </c>
      <c r="X111" s="80">
        <v>0</v>
      </c>
      <c r="Y111" s="80">
        <v>0</v>
      </c>
      <c r="Z111" s="80">
        <v>0</v>
      </c>
      <c r="AA111" s="80">
        <v>7444.0809558293522</v>
      </c>
      <c r="AB111" s="80">
        <v>0</v>
      </c>
      <c r="AC111" s="80">
        <v>0</v>
      </c>
      <c r="AD111" s="80">
        <v>0</v>
      </c>
      <c r="AE111" s="80">
        <v>0</v>
      </c>
      <c r="AF111" s="80">
        <v>0</v>
      </c>
      <c r="AG111" s="80">
        <v>0</v>
      </c>
      <c r="AH111" s="80">
        <v>0</v>
      </c>
      <c r="AI111" s="79">
        <v>46230.717962962961</v>
      </c>
    </row>
    <row r="112" spans="1:35" x14ac:dyDescent="0.3">
      <c r="A112" t="s">
        <v>736</v>
      </c>
      <c r="B112">
        <v>103</v>
      </c>
      <c r="C112">
        <v>103</v>
      </c>
      <c r="D112">
        <v>1</v>
      </c>
      <c r="E112" s="80">
        <v>1908787.1061</v>
      </c>
      <c r="F112" s="80">
        <v>1908787.1078311231</v>
      </c>
      <c r="G112" s="80">
        <v>1896287.107911123</v>
      </c>
      <c r="H112" s="80">
        <v>84379.13190174388</v>
      </c>
      <c r="I112" s="80">
        <v>0</v>
      </c>
      <c r="J112" s="80">
        <v>49339.997629499128</v>
      </c>
      <c r="K112" s="80">
        <v>0</v>
      </c>
      <c r="L112" s="80">
        <v>0</v>
      </c>
      <c r="M112" s="80">
        <v>0</v>
      </c>
      <c r="N112" s="80">
        <v>0</v>
      </c>
      <c r="O112" s="80">
        <v>0</v>
      </c>
      <c r="P112" s="80">
        <v>1415290.5268552932</v>
      </c>
      <c r="Q112" s="80">
        <v>0</v>
      </c>
      <c r="R112" s="80">
        <v>347277.45152458496</v>
      </c>
      <c r="S112" s="80">
        <v>0</v>
      </c>
      <c r="T112" s="80">
        <v>0</v>
      </c>
      <c r="U112" s="80">
        <v>0</v>
      </c>
      <c r="V112" s="80">
        <v>12499.999919999997</v>
      </c>
      <c r="W112" s="80">
        <v>0</v>
      </c>
      <c r="X112" s="80">
        <v>0</v>
      </c>
      <c r="Y112" s="80">
        <v>0</v>
      </c>
      <c r="Z112" s="80">
        <v>0</v>
      </c>
      <c r="AA112" s="80">
        <v>0</v>
      </c>
      <c r="AB112" s="80">
        <v>0</v>
      </c>
      <c r="AC112" s="80">
        <v>0</v>
      </c>
      <c r="AD112" s="80">
        <v>0</v>
      </c>
      <c r="AE112" s="80">
        <v>0</v>
      </c>
      <c r="AF112" s="80">
        <v>0</v>
      </c>
      <c r="AG112" s="80">
        <v>0</v>
      </c>
      <c r="AH112" s="80">
        <v>0</v>
      </c>
      <c r="AI112" s="79">
        <v>46230.718009259261</v>
      </c>
    </row>
    <row r="113" spans="1:35" x14ac:dyDescent="0.3">
      <c r="A113" t="s">
        <v>516</v>
      </c>
      <c r="B113">
        <v>104</v>
      </c>
      <c r="C113">
        <v>104</v>
      </c>
      <c r="D113">
        <v>1</v>
      </c>
      <c r="E113" s="80">
        <v>667823.87930000003</v>
      </c>
      <c r="F113" s="80">
        <v>667823.87955210253</v>
      </c>
      <c r="G113" s="80">
        <v>92824.659514862869</v>
      </c>
      <c r="H113" s="80">
        <v>17640.326246537854</v>
      </c>
      <c r="I113" s="80">
        <v>0</v>
      </c>
      <c r="J113" s="80">
        <v>0</v>
      </c>
      <c r="K113" s="80">
        <v>0</v>
      </c>
      <c r="L113" s="80">
        <v>0</v>
      </c>
      <c r="M113" s="80">
        <v>0</v>
      </c>
      <c r="N113" s="80">
        <v>0</v>
      </c>
      <c r="O113" s="80">
        <v>0</v>
      </c>
      <c r="P113" s="80">
        <v>75184.333268325019</v>
      </c>
      <c r="Q113" s="80">
        <v>0</v>
      </c>
      <c r="R113" s="80">
        <v>0</v>
      </c>
      <c r="S113" s="80">
        <v>544974.87305291952</v>
      </c>
      <c r="T113" s="80">
        <v>10753.788746361422</v>
      </c>
      <c r="U113" s="80">
        <v>0</v>
      </c>
      <c r="V113" s="80">
        <v>0</v>
      </c>
      <c r="W113" s="80">
        <v>0</v>
      </c>
      <c r="X113" s="80">
        <v>4121.1089128967051</v>
      </c>
      <c r="Y113" s="80">
        <v>0</v>
      </c>
      <c r="Z113" s="80">
        <v>0</v>
      </c>
      <c r="AA113" s="80">
        <v>0</v>
      </c>
      <c r="AB113" s="80">
        <v>0</v>
      </c>
      <c r="AC113" s="80">
        <v>0</v>
      </c>
      <c r="AD113" s="80">
        <v>0</v>
      </c>
      <c r="AE113" s="80">
        <v>0</v>
      </c>
      <c r="AF113" s="80">
        <v>0</v>
      </c>
      <c r="AG113" s="80">
        <v>0</v>
      </c>
      <c r="AH113" s="80">
        <v>0</v>
      </c>
      <c r="AI113" s="79">
        <v>46230.71806712963</v>
      </c>
    </row>
    <row r="114" spans="1:35" x14ac:dyDescent="0.3">
      <c r="A114" t="s">
        <v>737</v>
      </c>
      <c r="B114">
        <v>105</v>
      </c>
      <c r="C114">
        <v>105</v>
      </c>
      <c r="D114">
        <v>1</v>
      </c>
      <c r="E114" s="80">
        <v>1595284.2588</v>
      </c>
      <c r="F114" s="80">
        <v>1595284.2582717801</v>
      </c>
      <c r="G114" s="80">
        <v>1595284.2582717801</v>
      </c>
      <c r="H114" s="80">
        <v>1595284.2582717801</v>
      </c>
      <c r="I114" s="80">
        <v>0</v>
      </c>
      <c r="J114" s="80">
        <v>0</v>
      </c>
      <c r="K114" s="80">
        <v>0</v>
      </c>
      <c r="L114" s="80">
        <v>0</v>
      </c>
      <c r="M114" s="80">
        <v>0</v>
      </c>
      <c r="N114" s="80">
        <v>0</v>
      </c>
      <c r="O114" s="80">
        <v>0</v>
      </c>
      <c r="P114" s="80">
        <v>0</v>
      </c>
      <c r="Q114" s="80">
        <v>0</v>
      </c>
      <c r="R114" s="80">
        <v>0</v>
      </c>
      <c r="S114" s="80">
        <v>0</v>
      </c>
      <c r="T114" s="80">
        <v>0</v>
      </c>
      <c r="U114" s="80">
        <v>0</v>
      </c>
      <c r="V114" s="80">
        <v>0</v>
      </c>
      <c r="W114" s="80">
        <v>0</v>
      </c>
      <c r="X114" s="80">
        <v>0</v>
      </c>
      <c r="Y114" s="80">
        <v>0</v>
      </c>
      <c r="Z114" s="80">
        <v>0</v>
      </c>
      <c r="AA114" s="80">
        <v>0</v>
      </c>
      <c r="AB114" s="80">
        <v>0</v>
      </c>
      <c r="AC114" s="80">
        <v>0</v>
      </c>
      <c r="AD114" s="80">
        <v>0</v>
      </c>
      <c r="AE114" s="80">
        <v>0</v>
      </c>
      <c r="AF114" s="80">
        <v>0</v>
      </c>
      <c r="AG114" s="80">
        <v>0</v>
      </c>
      <c r="AH114" s="80">
        <v>0</v>
      </c>
      <c r="AI114" s="79">
        <v>46230.718124999999</v>
      </c>
    </row>
    <row r="115" spans="1:35" x14ac:dyDescent="0.3">
      <c r="A115" t="s">
        <v>521</v>
      </c>
      <c r="B115">
        <v>106</v>
      </c>
      <c r="C115">
        <v>106</v>
      </c>
      <c r="D115">
        <v>1</v>
      </c>
      <c r="E115" s="80">
        <v>1640685.0022</v>
      </c>
      <c r="F115" s="80">
        <v>1640685.0021273564</v>
      </c>
      <c r="G115" s="80">
        <v>0</v>
      </c>
      <c r="H115" s="80">
        <v>0</v>
      </c>
      <c r="I115" s="80">
        <v>0</v>
      </c>
      <c r="J115" s="80">
        <v>0</v>
      </c>
      <c r="K115" s="80">
        <v>0</v>
      </c>
      <c r="L115" s="80">
        <v>0</v>
      </c>
      <c r="M115" s="80">
        <v>0</v>
      </c>
      <c r="N115" s="80">
        <v>0</v>
      </c>
      <c r="O115" s="80">
        <v>0</v>
      </c>
      <c r="P115" s="80">
        <v>0</v>
      </c>
      <c r="Q115" s="80">
        <v>0</v>
      </c>
      <c r="R115" s="80">
        <v>0</v>
      </c>
      <c r="S115" s="80">
        <v>1640685.0021273564</v>
      </c>
      <c r="T115" s="80">
        <v>0</v>
      </c>
      <c r="U115" s="80">
        <v>0</v>
      </c>
      <c r="V115" s="80">
        <v>0</v>
      </c>
      <c r="W115" s="80">
        <v>0</v>
      </c>
      <c r="X115" s="80">
        <v>0</v>
      </c>
      <c r="Y115" s="80">
        <v>0</v>
      </c>
      <c r="Z115" s="80">
        <v>0</v>
      </c>
      <c r="AA115" s="80">
        <v>0</v>
      </c>
      <c r="AB115" s="80">
        <v>0</v>
      </c>
      <c r="AC115" s="80">
        <v>0</v>
      </c>
      <c r="AD115" s="80">
        <v>0</v>
      </c>
      <c r="AE115" s="80">
        <v>0</v>
      </c>
      <c r="AF115" s="80">
        <v>0</v>
      </c>
      <c r="AG115" s="80">
        <v>0</v>
      </c>
      <c r="AH115" s="80">
        <v>0</v>
      </c>
      <c r="AI115" s="79">
        <v>46230.718171296299</v>
      </c>
    </row>
    <row r="116" spans="1:35" x14ac:dyDescent="0.3">
      <c r="A116" t="s">
        <v>533</v>
      </c>
      <c r="B116">
        <v>107</v>
      </c>
      <c r="C116">
        <v>107</v>
      </c>
      <c r="D116">
        <v>1</v>
      </c>
      <c r="E116" s="80">
        <v>1494119.5552000001</v>
      </c>
      <c r="F116" s="80">
        <v>1494119.5557433108</v>
      </c>
      <c r="G116" s="80">
        <v>0</v>
      </c>
      <c r="H116" s="80">
        <v>0</v>
      </c>
      <c r="I116" s="80">
        <v>0</v>
      </c>
      <c r="J116" s="80">
        <v>0</v>
      </c>
      <c r="K116" s="80">
        <v>0</v>
      </c>
      <c r="L116" s="80">
        <v>0</v>
      </c>
      <c r="M116" s="80">
        <v>0</v>
      </c>
      <c r="N116" s="80">
        <v>0</v>
      </c>
      <c r="O116" s="80">
        <v>0</v>
      </c>
      <c r="P116" s="80">
        <v>0</v>
      </c>
      <c r="Q116" s="80">
        <v>0</v>
      </c>
      <c r="R116" s="80">
        <v>0</v>
      </c>
      <c r="S116" s="80">
        <v>1494119.5557433108</v>
      </c>
      <c r="T116" s="80">
        <v>0</v>
      </c>
      <c r="U116" s="80">
        <v>0</v>
      </c>
      <c r="V116" s="80">
        <v>0</v>
      </c>
      <c r="W116" s="80">
        <v>0</v>
      </c>
      <c r="X116" s="80">
        <v>0</v>
      </c>
      <c r="Y116" s="80">
        <v>0</v>
      </c>
      <c r="Z116" s="80">
        <v>0</v>
      </c>
      <c r="AA116" s="80">
        <v>0</v>
      </c>
      <c r="AB116" s="80">
        <v>0</v>
      </c>
      <c r="AC116" s="80">
        <v>0</v>
      </c>
      <c r="AD116" s="80">
        <v>0</v>
      </c>
      <c r="AE116" s="80">
        <v>0</v>
      </c>
      <c r="AF116" s="80">
        <v>0</v>
      </c>
      <c r="AG116" s="80">
        <v>0</v>
      </c>
      <c r="AH116" s="80">
        <v>0</v>
      </c>
      <c r="AI116" s="79">
        <v>46230.718229166669</v>
      </c>
    </row>
    <row r="117" spans="1:35" x14ac:dyDescent="0.3">
      <c r="A117" t="s">
        <v>738</v>
      </c>
      <c r="B117">
        <v>108</v>
      </c>
      <c r="C117">
        <v>108</v>
      </c>
      <c r="D117">
        <v>1</v>
      </c>
      <c r="E117" s="80">
        <v>3739456.7601999999</v>
      </c>
      <c r="F117" s="80">
        <v>3739456.760205619</v>
      </c>
      <c r="G117" s="80">
        <v>0</v>
      </c>
      <c r="H117" s="80">
        <v>0</v>
      </c>
      <c r="I117" s="80">
        <v>0</v>
      </c>
      <c r="J117" s="80">
        <v>0</v>
      </c>
      <c r="K117" s="80">
        <v>0</v>
      </c>
      <c r="L117" s="80">
        <v>0</v>
      </c>
      <c r="M117" s="80">
        <v>0</v>
      </c>
      <c r="N117" s="80">
        <v>0</v>
      </c>
      <c r="O117" s="80">
        <v>0</v>
      </c>
      <c r="P117" s="80">
        <v>0</v>
      </c>
      <c r="Q117" s="80">
        <v>0</v>
      </c>
      <c r="R117" s="80">
        <v>0</v>
      </c>
      <c r="S117" s="80">
        <v>3739456.760205619</v>
      </c>
      <c r="T117" s="80">
        <v>0</v>
      </c>
      <c r="U117" s="80">
        <v>0</v>
      </c>
      <c r="V117" s="80">
        <v>0</v>
      </c>
      <c r="W117" s="80">
        <v>0</v>
      </c>
      <c r="X117" s="80">
        <v>0</v>
      </c>
      <c r="Y117" s="80">
        <v>0</v>
      </c>
      <c r="Z117" s="80">
        <v>0</v>
      </c>
      <c r="AA117" s="80">
        <v>0</v>
      </c>
      <c r="AB117" s="80">
        <v>0</v>
      </c>
      <c r="AC117" s="80">
        <v>0</v>
      </c>
      <c r="AD117" s="80">
        <v>0</v>
      </c>
      <c r="AE117" s="80">
        <v>0</v>
      </c>
      <c r="AF117" s="80">
        <v>0</v>
      </c>
      <c r="AG117" s="80">
        <v>0</v>
      </c>
      <c r="AH117" s="80">
        <v>0</v>
      </c>
      <c r="AI117" s="79">
        <v>46230.718275462961</v>
      </c>
    </row>
    <row r="118" spans="1:35" x14ac:dyDescent="0.3">
      <c r="A118" t="s">
        <v>739</v>
      </c>
      <c r="B118">
        <v>109</v>
      </c>
      <c r="C118">
        <v>109</v>
      </c>
      <c r="D118">
        <v>1</v>
      </c>
      <c r="E118" s="80">
        <v>3167432.1842</v>
      </c>
      <c r="F118" s="80">
        <v>3167432.1840356039</v>
      </c>
      <c r="G118" s="80">
        <v>0</v>
      </c>
      <c r="H118" s="80">
        <v>0</v>
      </c>
      <c r="I118" s="80">
        <v>0</v>
      </c>
      <c r="J118" s="80">
        <v>0</v>
      </c>
      <c r="K118" s="80">
        <v>0</v>
      </c>
      <c r="L118" s="80">
        <v>0</v>
      </c>
      <c r="M118" s="80">
        <v>0</v>
      </c>
      <c r="N118" s="80">
        <v>0</v>
      </c>
      <c r="O118" s="80">
        <v>0</v>
      </c>
      <c r="P118" s="80">
        <v>0</v>
      </c>
      <c r="Q118" s="80">
        <v>0</v>
      </c>
      <c r="R118" s="80">
        <v>0</v>
      </c>
      <c r="S118" s="80">
        <v>3167432.1840356039</v>
      </c>
      <c r="T118" s="80">
        <v>0</v>
      </c>
      <c r="U118" s="80">
        <v>0</v>
      </c>
      <c r="V118" s="80">
        <v>0</v>
      </c>
      <c r="W118" s="80">
        <v>0</v>
      </c>
      <c r="X118" s="80">
        <v>0</v>
      </c>
      <c r="Y118" s="80">
        <v>0</v>
      </c>
      <c r="Z118" s="80">
        <v>0</v>
      </c>
      <c r="AA118" s="80">
        <v>0</v>
      </c>
      <c r="AB118" s="80">
        <v>0</v>
      </c>
      <c r="AC118" s="80">
        <v>0</v>
      </c>
      <c r="AD118" s="80">
        <v>0</v>
      </c>
      <c r="AE118" s="80">
        <v>0</v>
      </c>
      <c r="AF118" s="80">
        <v>0</v>
      </c>
      <c r="AG118" s="80">
        <v>0</v>
      </c>
      <c r="AH118" s="80">
        <v>0</v>
      </c>
      <c r="AI118" s="79">
        <v>46230.718333333331</v>
      </c>
    </row>
    <row r="119" spans="1:35" x14ac:dyDescent="0.3">
      <c r="A119" t="s">
        <v>740</v>
      </c>
      <c r="B119">
        <v>110</v>
      </c>
      <c r="C119">
        <v>110</v>
      </c>
      <c r="D119">
        <v>1</v>
      </c>
      <c r="E119" s="80">
        <v>2807712.6401</v>
      </c>
      <c r="F119" s="80">
        <v>2807712.6405965583</v>
      </c>
      <c r="G119" s="80">
        <v>0</v>
      </c>
      <c r="H119" s="80">
        <v>0</v>
      </c>
      <c r="I119" s="80">
        <v>0</v>
      </c>
      <c r="J119" s="80">
        <v>0</v>
      </c>
      <c r="K119" s="80">
        <v>0</v>
      </c>
      <c r="L119" s="80">
        <v>0</v>
      </c>
      <c r="M119" s="80">
        <v>0</v>
      </c>
      <c r="N119" s="80">
        <v>0</v>
      </c>
      <c r="O119" s="80">
        <v>0</v>
      </c>
      <c r="P119" s="80">
        <v>0</v>
      </c>
      <c r="Q119" s="80">
        <v>0</v>
      </c>
      <c r="R119" s="80">
        <v>0</v>
      </c>
      <c r="S119" s="80">
        <v>2807712.6405965583</v>
      </c>
      <c r="T119" s="80">
        <v>0</v>
      </c>
      <c r="U119" s="80">
        <v>0</v>
      </c>
      <c r="V119" s="80">
        <v>0</v>
      </c>
      <c r="W119" s="80">
        <v>0</v>
      </c>
      <c r="X119" s="80">
        <v>0</v>
      </c>
      <c r="Y119" s="80">
        <v>0</v>
      </c>
      <c r="Z119" s="80">
        <v>0</v>
      </c>
      <c r="AA119" s="80">
        <v>0</v>
      </c>
      <c r="AB119" s="80">
        <v>0</v>
      </c>
      <c r="AC119" s="80">
        <v>0</v>
      </c>
      <c r="AD119" s="80">
        <v>0</v>
      </c>
      <c r="AE119" s="80">
        <v>0</v>
      </c>
      <c r="AF119" s="80">
        <v>0</v>
      </c>
      <c r="AG119" s="80">
        <v>0</v>
      </c>
      <c r="AH119" s="80">
        <v>0</v>
      </c>
      <c r="AI119" s="79">
        <v>46230.71837962963</v>
      </c>
    </row>
    <row r="120" spans="1:35" x14ac:dyDescent="0.3">
      <c r="A120" t="s">
        <v>741</v>
      </c>
      <c r="B120">
        <v>111</v>
      </c>
      <c r="C120">
        <v>111</v>
      </c>
      <c r="D120">
        <v>1</v>
      </c>
      <c r="E120" s="80">
        <v>1938793.4282</v>
      </c>
      <c r="F120" s="80">
        <v>1938793.4280051652</v>
      </c>
      <c r="G120" s="80">
        <v>0</v>
      </c>
      <c r="H120" s="80">
        <v>0</v>
      </c>
      <c r="I120" s="80">
        <v>0</v>
      </c>
      <c r="J120" s="80">
        <v>0</v>
      </c>
      <c r="K120" s="80">
        <v>0</v>
      </c>
      <c r="L120" s="80">
        <v>0</v>
      </c>
      <c r="M120" s="80">
        <v>0</v>
      </c>
      <c r="N120" s="80">
        <v>0</v>
      </c>
      <c r="O120" s="80">
        <v>0</v>
      </c>
      <c r="P120" s="80">
        <v>0</v>
      </c>
      <c r="Q120" s="80">
        <v>0</v>
      </c>
      <c r="R120" s="80">
        <v>0</v>
      </c>
      <c r="S120" s="80">
        <v>1938793.4280051652</v>
      </c>
      <c r="T120" s="80">
        <v>0</v>
      </c>
      <c r="U120" s="80">
        <v>0</v>
      </c>
      <c r="V120" s="80">
        <v>0</v>
      </c>
      <c r="W120" s="80">
        <v>0</v>
      </c>
      <c r="X120" s="80">
        <v>0</v>
      </c>
      <c r="Y120" s="80">
        <v>0</v>
      </c>
      <c r="Z120" s="80">
        <v>0</v>
      </c>
      <c r="AA120" s="80">
        <v>0</v>
      </c>
      <c r="AB120" s="80">
        <v>0</v>
      </c>
      <c r="AC120" s="80">
        <v>0</v>
      </c>
      <c r="AD120" s="80">
        <v>0</v>
      </c>
      <c r="AE120" s="80">
        <v>0</v>
      </c>
      <c r="AF120" s="80">
        <v>0</v>
      </c>
      <c r="AG120" s="80">
        <v>0</v>
      </c>
      <c r="AH120" s="80">
        <v>0</v>
      </c>
      <c r="AI120" s="79">
        <v>46230.718425925923</v>
      </c>
    </row>
    <row r="121" spans="1:35" x14ac:dyDescent="0.3">
      <c r="A121" t="s">
        <v>742</v>
      </c>
      <c r="B121">
        <v>112</v>
      </c>
      <c r="C121">
        <v>112</v>
      </c>
      <c r="D121">
        <v>1</v>
      </c>
      <c r="E121" s="80">
        <v>4014875.2963</v>
      </c>
      <c r="F121" s="80">
        <v>4014875.2900274154</v>
      </c>
      <c r="G121" s="80">
        <v>0</v>
      </c>
      <c r="H121" s="80">
        <v>0</v>
      </c>
      <c r="I121" s="80">
        <v>0</v>
      </c>
      <c r="J121" s="80">
        <v>0</v>
      </c>
      <c r="K121" s="80">
        <v>0</v>
      </c>
      <c r="L121" s="80">
        <v>0</v>
      </c>
      <c r="M121" s="80">
        <v>0</v>
      </c>
      <c r="N121" s="80">
        <v>0</v>
      </c>
      <c r="O121" s="80">
        <v>0</v>
      </c>
      <c r="P121" s="80">
        <v>0</v>
      </c>
      <c r="Q121" s="80">
        <v>0</v>
      </c>
      <c r="R121" s="80">
        <v>0</v>
      </c>
      <c r="S121" s="80">
        <v>4014875.2900274154</v>
      </c>
      <c r="T121" s="80">
        <v>0</v>
      </c>
      <c r="U121" s="80">
        <v>0</v>
      </c>
      <c r="V121" s="80">
        <v>0</v>
      </c>
      <c r="W121" s="80">
        <v>0</v>
      </c>
      <c r="X121" s="80">
        <v>0</v>
      </c>
      <c r="Y121" s="80">
        <v>0</v>
      </c>
      <c r="Z121" s="80">
        <v>0</v>
      </c>
      <c r="AA121" s="80">
        <v>0</v>
      </c>
      <c r="AB121" s="80">
        <v>0</v>
      </c>
      <c r="AC121" s="80">
        <v>0</v>
      </c>
      <c r="AD121" s="80">
        <v>0</v>
      </c>
      <c r="AE121" s="80">
        <v>0</v>
      </c>
      <c r="AF121" s="80">
        <v>0</v>
      </c>
      <c r="AG121" s="80">
        <v>0</v>
      </c>
      <c r="AH121" s="80">
        <v>0</v>
      </c>
      <c r="AI121" s="79">
        <v>46230.718472222223</v>
      </c>
    </row>
    <row r="122" spans="1:35" x14ac:dyDescent="0.3">
      <c r="A122" t="s">
        <v>743</v>
      </c>
      <c r="B122">
        <v>113</v>
      </c>
      <c r="C122">
        <v>113</v>
      </c>
      <c r="D122">
        <v>1</v>
      </c>
      <c r="E122" s="80">
        <v>6045350.1776999999</v>
      </c>
      <c r="F122" s="80">
        <v>6045350.1649913406</v>
      </c>
      <c r="G122" s="80">
        <v>0</v>
      </c>
      <c r="H122" s="80">
        <v>0</v>
      </c>
      <c r="I122" s="80">
        <v>0</v>
      </c>
      <c r="J122" s="80">
        <v>0</v>
      </c>
      <c r="K122" s="80">
        <v>0</v>
      </c>
      <c r="L122" s="80">
        <v>0</v>
      </c>
      <c r="M122" s="80">
        <v>0</v>
      </c>
      <c r="N122" s="80">
        <v>0</v>
      </c>
      <c r="O122" s="80">
        <v>0</v>
      </c>
      <c r="P122" s="80">
        <v>0</v>
      </c>
      <c r="Q122" s="80">
        <v>0</v>
      </c>
      <c r="R122" s="80">
        <v>0</v>
      </c>
      <c r="S122" s="80">
        <v>6045350.1649913406</v>
      </c>
      <c r="T122" s="80">
        <v>0</v>
      </c>
      <c r="U122" s="80">
        <v>0</v>
      </c>
      <c r="V122" s="80">
        <v>0</v>
      </c>
      <c r="W122" s="80">
        <v>0</v>
      </c>
      <c r="X122" s="80">
        <v>0</v>
      </c>
      <c r="Y122" s="80">
        <v>0</v>
      </c>
      <c r="Z122" s="80">
        <v>0</v>
      </c>
      <c r="AA122" s="80">
        <v>0</v>
      </c>
      <c r="AB122" s="80">
        <v>0</v>
      </c>
      <c r="AC122" s="80">
        <v>0</v>
      </c>
      <c r="AD122" s="80">
        <v>0</v>
      </c>
      <c r="AE122" s="80">
        <v>0</v>
      </c>
      <c r="AF122" s="80">
        <v>0</v>
      </c>
      <c r="AG122" s="80">
        <v>0</v>
      </c>
      <c r="AH122" s="80">
        <v>0</v>
      </c>
      <c r="AI122" s="79">
        <v>46230.718518518515</v>
      </c>
    </row>
    <row r="123" spans="1:35" x14ac:dyDescent="0.3">
      <c r="A123" t="s">
        <v>744</v>
      </c>
      <c r="B123">
        <v>114</v>
      </c>
      <c r="C123">
        <v>114</v>
      </c>
      <c r="D123">
        <v>1</v>
      </c>
      <c r="E123" s="80">
        <v>2942424.8089999999</v>
      </c>
      <c r="F123" s="80">
        <v>2942424.8090718053</v>
      </c>
      <c r="G123" s="80">
        <v>2599469.0255527259</v>
      </c>
      <c r="H123" s="80">
        <v>1631565.0461623592</v>
      </c>
      <c r="I123" s="80">
        <v>0</v>
      </c>
      <c r="J123" s="80">
        <v>54423.938064516376</v>
      </c>
      <c r="K123" s="80">
        <v>236649.69133425335</v>
      </c>
      <c r="L123" s="80">
        <v>533734.23183753993</v>
      </c>
      <c r="M123" s="80">
        <v>511084.42663040495</v>
      </c>
      <c r="N123" s="80">
        <v>0</v>
      </c>
      <c r="O123" s="80">
        <v>0</v>
      </c>
      <c r="P123" s="80">
        <v>119787.25767360198</v>
      </c>
      <c r="Q123" s="80">
        <v>0</v>
      </c>
      <c r="R123" s="80">
        <v>23308.860480454932</v>
      </c>
      <c r="S123" s="80">
        <v>238830.89228232039</v>
      </c>
      <c r="T123" s="80">
        <v>44671.183372402382</v>
      </c>
      <c r="U123" s="80">
        <v>0</v>
      </c>
      <c r="V123" s="80">
        <v>1738.2314198860324</v>
      </c>
      <c r="W123" s="80">
        <v>0</v>
      </c>
      <c r="X123" s="80">
        <v>55431.892102936326</v>
      </c>
      <c r="Y123" s="80">
        <v>0</v>
      </c>
      <c r="Z123" s="80">
        <v>0</v>
      </c>
      <c r="AA123" s="80">
        <v>2283.5843415337167</v>
      </c>
      <c r="AB123" s="80">
        <v>0</v>
      </c>
      <c r="AC123" s="80">
        <v>0</v>
      </c>
      <c r="AD123" s="80">
        <v>0</v>
      </c>
      <c r="AE123" s="80">
        <v>0</v>
      </c>
      <c r="AF123" s="80">
        <v>0</v>
      </c>
      <c r="AG123" s="80">
        <v>0</v>
      </c>
      <c r="AH123" s="80">
        <v>0</v>
      </c>
      <c r="AI123" s="79">
        <v>46230.718576388892</v>
      </c>
    </row>
    <row r="124" spans="1:35" x14ac:dyDescent="0.3">
      <c r="A124" t="s">
        <v>745</v>
      </c>
      <c r="B124">
        <v>115</v>
      </c>
      <c r="C124">
        <v>115</v>
      </c>
      <c r="D124">
        <v>1</v>
      </c>
      <c r="E124" s="80">
        <v>3055499.7738000001</v>
      </c>
      <c r="F124" s="80">
        <v>3055499.7736215591</v>
      </c>
      <c r="G124" s="80">
        <v>0</v>
      </c>
      <c r="H124" s="80">
        <v>0</v>
      </c>
      <c r="I124" s="80">
        <v>0</v>
      </c>
      <c r="J124" s="80">
        <v>0</v>
      </c>
      <c r="K124" s="80">
        <v>0</v>
      </c>
      <c r="L124" s="80">
        <v>0</v>
      </c>
      <c r="M124" s="80">
        <v>0</v>
      </c>
      <c r="N124" s="80">
        <v>0</v>
      </c>
      <c r="O124" s="80">
        <v>0</v>
      </c>
      <c r="P124" s="80">
        <v>0</v>
      </c>
      <c r="Q124" s="80">
        <v>0</v>
      </c>
      <c r="R124" s="80">
        <v>0</v>
      </c>
      <c r="S124" s="80">
        <v>0</v>
      </c>
      <c r="T124" s="80">
        <v>0</v>
      </c>
      <c r="U124" s="80">
        <v>0</v>
      </c>
      <c r="V124" s="80">
        <v>0</v>
      </c>
      <c r="W124" s="80">
        <v>0</v>
      </c>
      <c r="X124" s="80">
        <v>0</v>
      </c>
      <c r="Y124" s="80">
        <v>0</v>
      </c>
      <c r="Z124" s="80">
        <v>0</v>
      </c>
      <c r="AA124" s="80">
        <v>0</v>
      </c>
      <c r="AB124" s="80">
        <v>0</v>
      </c>
      <c r="AC124" s="80">
        <v>3055499.7736215591</v>
      </c>
      <c r="AD124" s="80">
        <v>0</v>
      </c>
      <c r="AE124" s="80">
        <v>0</v>
      </c>
      <c r="AF124" s="80">
        <v>0</v>
      </c>
      <c r="AG124" s="80">
        <v>0</v>
      </c>
      <c r="AH124" s="80">
        <v>0</v>
      </c>
      <c r="AI124" s="79">
        <v>46230.718622685185</v>
      </c>
    </row>
    <row r="125" spans="1:35" x14ac:dyDescent="0.3">
      <c r="A125" t="s">
        <v>746</v>
      </c>
      <c r="B125">
        <v>116</v>
      </c>
      <c r="C125">
        <v>116</v>
      </c>
      <c r="D125">
        <v>1</v>
      </c>
      <c r="E125" s="80">
        <v>4429250</v>
      </c>
      <c r="F125" s="80">
        <v>4429250</v>
      </c>
      <c r="G125" s="80">
        <v>0</v>
      </c>
      <c r="H125" s="80">
        <v>0</v>
      </c>
      <c r="I125" s="80">
        <v>0</v>
      </c>
      <c r="J125" s="80">
        <v>0</v>
      </c>
      <c r="K125" s="80">
        <v>0</v>
      </c>
      <c r="L125" s="80">
        <v>0</v>
      </c>
      <c r="M125" s="80">
        <v>0</v>
      </c>
      <c r="N125" s="80">
        <v>0</v>
      </c>
      <c r="O125" s="80">
        <v>0</v>
      </c>
      <c r="P125" s="80">
        <v>0</v>
      </c>
      <c r="Q125" s="80">
        <v>0</v>
      </c>
      <c r="R125" s="80">
        <v>0</v>
      </c>
      <c r="S125" s="80">
        <v>0</v>
      </c>
      <c r="T125" s="80">
        <v>0</v>
      </c>
      <c r="U125" s="80">
        <v>0</v>
      </c>
      <c r="V125" s="80">
        <v>0</v>
      </c>
      <c r="W125" s="80">
        <v>0</v>
      </c>
      <c r="X125" s="80">
        <v>0</v>
      </c>
      <c r="Y125" s="80">
        <v>0</v>
      </c>
      <c r="Z125" s="80">
        <v>0</v>
      </c>
      <c r="AA125" s="80">
        <v>0</v>
      </c>
      <c r="AB125" s="80">
        <v>0</v>
      </c>
      <c r="AC125" s="80">
        <v>4429250</v>
      </c>
      <c r="AD125" s="80">
        <v>0</v>
      </c>
      <c r="AE125" s="80">
        <v>0</v>
      </c>
      <c r="AF125" s="80">
        <v>0</v>
      </c>
      <c r="AG125" s="80">
        <v>0</v>
      </c>
      <c r="AH125" s="80">
        <v>0</v>
      </c>
      <c r="AI125" s="79">
        <v>46230.718668981484</v>
      </c>
    </row>
    <row r="126" spans="1:35" x14ac:dyDescent="0.3">
      <c r="A126" t="s">
        <v>747</v>
      </c>
      <c r="B126">
        <v>117</v>
      </c>
      <c r="C126">
        <v>117</v>
      </c>
      <c r="D126">
        <v>1</v>
      </c>
      <c r="E126" s="80">
        <v>7281605.1233999999</v>
      </c>
      <c r="F126" s="80">
        <v>7281605.1226829998</v>
      </c>
      <c r="G126" s="80">
        <v>1392276.875304</v>
      </c>
      <c r="H126" s="80">
        <v>456235.12528900005</v>
      </c>
      <c r="I126" s="80">
        <v>0</v>
      </c>
      <c r="J126" s="80">
        <v>12500</v>
      </c>
      <c r="K126" s="80">
        <v>648541.74964199995</v>
      </c>
      <c r="L126" s="80">
        <v>275000.00037299999</v>
      </c>
      <c r="M126" s="80">
        <v>225000.00037299999</v>
      </c>
      <c r="N126" s="80">
        <v>0</v>
      </c>
      <c r="O126" s="80">
        <v>0</v>
      </c>
      <c r="P126" s="80">
        <v>0</v>
      </c>
      <c r="Q126" s="80">
        <v>0</v>
      </c>
      <c r="R126" s="80">
        <v>0</v>
      </c>
      <c r="S126" s="80">
        <v>0</v>
      </c>
      <c r="T126" s="80">
        <v>0</v>
      </c>
      <c r="U126" s="80">
        <v>0</v>
      </c>
      <c r="V126" s="80">
        <v>978442.24871700001</v>
      </c>
      <c r="W126" s="80">
        <v>0</v>
      </c>
      <c r="X126" s="80">
        <v>0</v>
      </c>
      <c r="Y126" s="80">
        <v>0</v>
      </c>
      <c r="Z126" s="80">
        <v>0</v>
      </c>
      <c r="AA126" s="80">
        <v>4910885.9986619977</v>
      </c>
      <c r="AB126" s="80">
        <v>0</v>
      </c>
      <c r="AC126" s="80">
        <v>0</v>
      </c>
      <c r="AD126" s="80">
        <v>0</v>
      </c>
      <c r="AE126" s="80">
        <v>0</v>
      </c>
      <c r="AF126" s="80">
        <v>0</v>
      </c>
      <c r="AG126" s="80">
        <v>0</v>
      </c>
      <c r="AH126" s="80">
        <v>0</v>
      </c>
      <c r="AI126" s="79">
        <v>46230.718715277777</v>
      </c>
    </row>
    <row r="127" spans="1:35" x14ac:dyDescent="0.3">
      <c r="A127" t="s">
        <v>748</v>
      </c>
      <c r="B127">
        <v>118</v>
      </c>
      <c r="C127">
        <v>118</v>
      </c>
      <c r="D127">
        <v>1</v>
      </c>
      <c r="E127" s="80">
        <v>7149750.9190999996</v>
      </c>
      <c r="F127" s="80">
        <v>7149750.9189339979</v>
      </c>
      <c r="G127" s="80">
        <v>0</v>
      </c>
      <c r="H127" s="80">
        <v>0</v>
      </c>
      <c r="I127" s="80">
        <v>0</v>
      </c>
      <c r="J127" s="80">
        <v>0</v>
      </c>
      <c r="K127" s="80">
        <v>0</v>
      </c>
      <c r="L127" s="80">
        <v>0</v>
      </c>
      <c r="M127" s="80">
        <v>0</v>
      </c>
      <c r="N127" s="80">
        <v>0</v>
      </c>
      <c r="O127" s="80">
        <v>0</v>
      </c>
      <c r="P127" s="80">
        <v>0</v>
      </c>
      <c r="Q127" s="80">
        <v>0</v>
      </c>
      <c r="R127" s="80">
        <v>0</v>
      </c>
      <c r="S127" s="80">
        <v>0</v>
      </c>
      <c r="T127" s="80">
        <v>0</v>
      </c>
      <c r="U127" s="80">
        <v>0</v>
      </c>
      <c r="V127" s="80">
        <v>27083.332767</v>
      </c>
      <c r="W127" s="80">
        <v>0</v>
      </c>
      <c r="X127" s="80">
        <v>0</v>
      </c>
      <c r="Y127" s="80">
        <v>0</v>
      </c>
      <c r="Z127" s="80">
        <v>0</v>
      </c>
      <c r="AA127" s="80">
        <v>7122667.5861669965</v>
      </c>
      <c r="AB127" s="80">
        <v>0</v>
      </c>
      <c r="AC127" s="80">
        <v>0</v>
      </c>
      <c r="AD127" s="80">
        <v>0</v>
      </c>
      <c r="AE127" s="80">
        <v>0</v>
      </c>
      <c r="AF127" s="80">
        <v>0</v>
      </c>
      <c r="AG127" s="80">
        <v>0</v>
      </c>
      <c r="AH127" s="80">
        <v>0</v>
      </c>
      <c r="AI127" s="79">
        <v>46230.718773148146</v>
      </c>
    </row>
    <row r="128" spans="1:35" x14ac:dyDescent="0.3">
      <c r="A128" t="s">
        <v>749</v>
      </c>
      <c r="B128">
        <v>119</v>
      </c>
      <c r="C128">
        <v>119</v>
      </c>
      <c r="D128">
        <v>1</v>
      </c>
      <c r="E128" s="80">
        <v>1488734.4609000001</v>
      </c>
      <c r="F128" s="80">
        <v>1488734.462441951</v>
      </c>
      <c r="G128" s="80">
        <v>1488734.462441951</v>
      </c>
      <c r="H128" s="80">
        <v>56000.000055999997</v>
      </c>
      <c r="I128" s="80">
        <v>0</v>
      </c>
      <c r="J128" s="80">
        <v>40000.000039999999</v>
      </c>
      <c r="K128" s="80">
        <v>0</v>
      </c>
      <c r="L128" s="80">
        <v>0</v>
      </c>
      <c r="M128" s="80">
        <v>0</v>
      </c>
      <c r="N128" s="80">
        <v>0</v>
      </c>
      <c r="O128" s="80">
        <v>0</v>
      </c>
      <c r="P128" s="80">
        <v>909074.18064993399</v>
      </c>
      <c r="Q128" s="80">
        <v>0</v>
      </c>
      <c r="R128" s="80">
        <v>483660.28169601725</v>
      </c>
      <c r="S128" s="80">
        <v>0</v>
      </c>
      <c r="T128" s="80">
        <v>0</v>
      </c>
      <c r="U128" s="80">
        <v>0</v>
      </c>
      <c r="V128" s="80">
        <v>0</v>
      </c>
      <c r="W128" s="80">
        <v>0</v>
      </c>
      <c r="X128" s="80">
        <v>0</v>
      </c>
      <c r="Y128" s="80">
        <v>0</v>
      </c>
      <c r="Z128" s="80">
        <v>0</v>
      </c>
      <c r="AA128" s="80">
        <v>0</v>
      </c>
      <c r="AB128" s="80">
        <v>0</v>
      </c>
      <c r="AC128" s="80">
        <v>0</v>
      </c>
      <c r="AD128" s="80">
        <v>0</v>
      </c>
      <c r="AE128" s="80">
        <v>0</v>
      </c>
      <c r="AF128" s="80">
        <v>0</v>
      </c>
      <c r="AG128" s="80">
        <v>0</v>
      </c>
      <c r="AH128" s="80">
        <v>0</v>
      </c>
      <c r="AI128" s="79">
        <v>46230.718819444446</v>
      </c>
    </row>
    <row r="129" spans="1:35" x14ac:dyDescent="0.3">
      <c r="A129" t="s">
        <v>556</v>
      </c>
      <c r="B129">
        <v>120</v>
      </c>
      <c r="C129">
        <v>120</v>
      </c>
      <c r="D129">
        <v>1</v>
      </c>
      <c r="E129" s="80">
        <v>3294392.9495999999</v>
      </c>
      <c r="F129" s="80">
        <v>3294392.9502254892</v>
      </c>
      <c r="G129" s="80">
        <v>3275445.9843649683</v>
      </c>
      <c r="H129" s="80">
        <v>122934.87187795647</v>
      </c>
      <c r="I129" s="80">
        <v>0</v>
      </c>
      <c r="J129" s="80">
        <v>0</v>
      </c>
      <c r="K129" s="80">
        <v>1831442.7060492833</v>
      </c>
      <c r="L129" s="80">
        <v>1321068.4064377281</v>
      </c>
      <c r="M129" s="80">
        <v>929512.95361516403</v>
      </c>
      <c r="N129" s="80">
        <v>0</v>
      </c>
      <c r="O129" s="80">
        <v>0</v>
      </c>
      <c r="P129" s="80">
        <v>0</v>
      </c>
      <c r="Q129" s="80">
        <v>0</v>
      </c>
      <c r="R129" s="80">
        <v>0</v>
      </c>
      <c r="S129" s="80">
        <v>0</v>
      </c>
      <c r="T129" s="80">
        <v>0</v>
      </c>
      <c r="U129" s="80">
        <v>0</v>
      </c>
      <c r="V129" s="80">
        <v>11616.203777162946</v>
      </c>
      <c r="W129" s="80">
        <v>0</v>
      </c>
      <c r="X129" s="80">
        <v>0</v>
      </c>
      <c r="Y129" s="80">
        <v>0</v>
      </c>
      <c r="Z129" s="80">
        <v>0</v>
      </c>
      <c r="AA129" s="80">
        <v>7330.7620833579313</v>
      </c>
      <c r="AB129" s="80">
        <v>0</v>
      </c>
      <c r="AC129" s="80">
        <v>0</v>
      </c>
      <c r="AD129" s="80">
        <v>0</v>
      </c>
      <c r="AE129" s="80">
        <v>0</v>
      </c>
      <c r="AF129" s="80">
        <v>0</v>
      </c>
      <c r="AG129" s="80">
        <v>0</v>
      </c>
      <c r="AH129" s="80">
        <v>0</v>
      </c>
      <c r="AI129" s="79">
        <v>46230.718877314815</v>
      </c>
    </row>
    <row r="130" spans="1:35" x14ac:dyDescent="0.3">
      <c r="A130" t="s">
        <v>750</v>
      </c>
      <c r="B130">
        <v>121</v>
      </c>
      <c r="C130">
        <v>121</v>
      </c>
      <c r="D130">
        <v>1</v>
      </c>
      <c r="E130" s="80">
        <v>6712971.0536000002</v>
      </c>
      <c r="F130" s="80">
        <v>6712971.0536771649</v>
      </c>
      <c r="G130" s="80">
        <v>4862399.7064399682</v>
      </c>
      <c r="H130" s="80">
        <v>310762.64067740733</v>
      </c>
      <c r="I130" s="80">
        <v>0</v>
      </c>
      <c r="J130" s="80">
        <v>2163383.3297758973</v>
      </c>
      <c r="K130" s="80">
        <v>0</v>
      </c>
      <c r="L130" s="80">
        <v>15089.40815978184</v>
      </c>
      <c r="M130" s="80">
        <v>15089.40815978184</v>
      </c>
      <c r="N130" s="80">
        <v>0</v>
      </c>
      <c r="O130" s="80">
        <v>0</v>
      </c>
      <c r="P130" s="80">
        <v>1528067.6893282302</v>
      </c>
      <c r="Q130" s="80">
        <v>0</v>
      </c>
      <c r="R130" s="80">
        <v>845096.63849865145</v>
      </c>
      <c r="S130" s="80">
        <v>1098030.2769246919</v>
      </c>
      <c r="T130" s="80">
        <v>207530.5896410814</v>
      </c>
      <c r="U130" s="80">
        <v>0</v>
      </c>
      <c r="V130" s="80">
        <v>0</v>
      </c>
      <c r="W130" s="80">
        <v>0</v>
      </c>
      <c r="X130" s="80">
        <v>545010.48067142186</v>
      </c>
      <c r="Y130" s="80">
        <v>0</v>
      </c>
      <c r="Z130" s="80">
        <v>0</v>
      </c>
      <c r="AA130" s="80">
        <v>0</v>
      </c>
      <c r="AB130" s="80">
        <v>0</v>
      </c>
      <c r="AC130" s="80">
        <v>0</v>
      </c>
      <c r="AD130" s="80">
        <v>0</v>
      </c>
      <c r="AE130" s="80">
        <v>0</v>
      </c>
      <c r="AF130" s="80">
        <v>0</v>
      </c>
      <c r="AG130" s="80">
        <v>0</v>
      </c>
      <c r="AH130" s="80">
        <v>0</v>
      </c>
      <c r="AI130" s="79">
        <v>46230.718923611108</v>
      </c>
    </row>
    <row r="131" spans="1:35" x14ac:dyDescent="0.3">
      <c r="A131" t="s">
        <v>751</v>
      </c>
      <c r="B131">
        <v>122</v>
      </c>
      <c r="C131">
        <v>122</v>
      </c>
      <c r="D131">
        <v>1</v>
      </c>
      <c r="E131" s="80">
        <v>1893883.6431</v>
      </c>
      <c r="F131" s="80">
        <v>1893883.6429908862</v>
      </c>
      <c r="G131" s="80">
        <v>1868309.1660374699</v>
      </c>
      <c r="H131" s="80">
        <v>1868309.1660374699</v>
      </c>
      <c r="I131" s="80">
        <v>0</v>
      </c>
      <c r="J131" s="80">
        <v>0</v>
      </c>
      <c r="K131" s="80">
        <v>0</v>
      </c>
      <c r="L131" s="80">
        <v>0</v>
      </c>
      <c r="M131" s="80">
        <v>0</v>
      </c>
      <c r="N131" s="80">
        <v>25574.476953415851</v>
      </c>
      <c r="O131" s="80">
        <v>25574.476953415851</v>
      </c>
      <c r="P131" s="80">
        <v>0</v>
      </c>
      <c r="Q131" s="80">
        <v>0</v>
      </c>
      <c r="R131" s="80">
        <v>0</v>
      </c>
      <c r="S131" s="80">
        <v>0</v>
      </c>
      <c r="T131" s="80">
        <v>0</v>
      </c>
      <c r="U131" s="80">
        <v>0</v>
      </c>
      <c r="V131" s="80">
        <v>0</v>
      </c>
      <c r="W131" s="80">
        <v>0</v>
      </c>
      <c r="X131" s="80">
        <v>0</v>
      </c>
      <c r="Y131" s="80">
        <v>0</v>
      </c>
      <c r="Z131" s="80">
        <v>0</v>
      </c>
      <c r="AA131" s="80">
        <v>0</v>
      </c>
      <c r="AB131" s="80">
        <v>0</v>
      </c>
      <c r="AC131" s="80">
        <v>0</v>
      </c>
      <c r="AD131" s="80">
        <v>0</v>
      </c>
      <c r="AE131" s="80">
        <v>0</v>
      </c>
      <c r="AF131" s="80">
        <v>0</v>
      </c>
      <c r="AG131" s="80">
        <v>0</v>
      </c>
      <c r="AH131" s="80">
        <v>0</v>
      </c>
      <c r="AI131" s="79">
        <v>46230.718969907408</v>
      </c>
    </row>
    <row r="132" spans="1:35" x14ac:dyDescent="0.3">
      <c r="A132" t="s">
        <v>752</v>
      </c>
      <c r="B132">
        <v>123</v>
      </c>
      <c r="C132">
        <v>123</v>
      </c>
      <c r="D132">
        <v>1</v>
      </c>
      <c r="E132" s="80">
        <v>10699974.796599999</v>
      </c>
      <c r="F132" s="80">
        <v>10699974.796501014</v>
      </c>
      <c r="G132" s="80">
        <v>10616479.987275228</v>
      </c>
      <c r="H132" s="80">
        <v>1097520.2931945031</v>
      </c>
      <c r="I132" s="80">
        <v>0</v>
      </c>
      <c r="J132" s="80">
        <v>8851792.4228942338</v>
      </c>
      <c r="K132" s="80">
        <v>0</v>
      </c>
      <c r="L132" s="80">
        <v>9235.621243720836</v>
      </c>
      <c r="M132" s="80">
        <v>9235.621243720836</v>
      </c>
      <c r="N132" s="80">
        <v>0</v>
      </c>
      <c r="O132" s="80">
        <v>0</v>
      </c>
      <c r="P132" s="80">
        <v>237569.2994102099</v>
      </c>
      <c r="Q132" s="80">
        <v>0</v>
      </c>
      <c r="R132" s="80">
        <v>420362.35053255822</v>
      </c>
      <c r="S132" s="80">
        <v>0</v>
      </c>
      <c r="T132" s="80">
        <v>0</v>
      </c>
      <c r="U132" s="80">
        <v>0</v>
      </c>
      <c r="V132" s="80">
        <v>68994.809225787758</v>
      </c>
      <c r="W132" s="80">
        <v>0</v>
      </c>
      <c r="X132" s="80">
        <v>0</v>
      </c>
      <c r="Y132" s="80">
        <v>0</v>
      </c>
      <c r="Z132" s="80">
        <v>0</v>
      </c>
      <c r="AA132" s="80">
        <v>14500</v>
      </c>
      <c r="AB132" s="80">
        <v>0</v>
      </c>
      <c r="AC132" s="80">
        <v>0</v>
      </c>
      <c r="AD132" s="80">
        <v>0</v>
      </c>
      <c r="AE132" s="80">
        <v>0</v>
      </c>
      <c r="AF132" s="80">
        <v>0</v>
      </c>
      <c r="AG132" s="80">
        <v>0</v>
      </c>
      <c r="AH132" s="80">
        <v>0</v>
      </c>
      <c r="AI132" s="79">
        <v>46230.719039351854</v>
      </c>
    </row>
    <row r="133" spans="1:35" x14ac:dyDescent="0.3">
      <c r="A133" t="s">
        <v>532</v>
      </c>
      <c r="B133">
        <v>124</v>
      </c>
      <c r="C133">
        <v>124</v>
      </c>
      <c r="D133">
        <v>1</v>
      </c>
      <c r="E133" s="80">
        <v>360260.174</v>
      </c>
      <c r="F133" s="80">
        <v>360260.1739379933</v>
      </c>
      <c r="G133" s="80">
        <v>0</v>
      </c>
      <c r="H133" s="80">
        <v>0</v>
      </c>
      <c r="I133" s="80">
        <v>0</v>
      </c>
      <c r="J133" s="80">
        <v>0</v>
      </c>
      <c r="K133" s="80">
        <v>0</v>
      </c>
      <c r="L133" s="80">
        <v>0</v>
      </c>
      <c r="M133" s="80">
        <v>0</v>
      </c>
      <c r="N133" s="80">
        <v>0</v>
      </c>
      <c r="O133" s="80">
        <v>0</v>
      </c>
      <c r="P133" s="80">
        <v>0</v>
      </c>
      <c r="Q133" s="80">
        <v>0</v>
      </c>
      <c r="R133" s="80">
        <v>0</v>
      </c>
      <c r="S133" s="80">
        <v>270260.1739379933</v>
      </c>
      <c r="T133" s="80">
        <v>22500</v>
      </c>
      <c r="U133" s="80">
        <v>0</v>
      </c>
      <c r="V133" s="80">
        <v>0</v>
      </c>
      <c r="W133" s="80">
        <v>0</v>
      </c>
      <c r="X133" s="80">
        <v>67500</v>
      </c>
      <c r="Y133" s="80">
        <v>0</v>
      </c>
      <c r="Z133" s="80">
        <v>0</v>
      </c>
      <c r="AA133" s="80">
        <v>0</v>
      </c>
      <c r="AB133" s="80">
        <v>0</v>
      </c>
      <c r="AC133" s="80">
        <v>0</v>
      </c>
      <c r="AD133" s="80">
        <v>0</v>
      </c>
      <c r="AE133" s="80">
        <v>0</v>
      </c>
      <c r="AF133" s="80">
        <v>0</v>
      </c>
      <c r="AG133" s="80">
        <v>0</v>
      </c>
      <c r="AH133" s="80">
        <v>0</v>
      </c>
      <c r="AI133" s="79">
        <v>46230.719085648147</v>
      </c>
    </row>
    <row r="134" spans="1:35" x14ac:dyDescent="0.3">
      <c r="A134" t="s">
        <v>543</v>
      </c>
      <c r="B134">
        <v>125</v>
      </c>
      <c r="C134">
        <v>125</v>
      </c>
      <c r="D134">
        <v>1</v>
      </c>
      <c r="E134" s="80">
        <v>1836863.2814</v>
      </c>
      <c r="F134" s="80">
        <v>1836863.2813329238</v>
      </c>
      <c r="G134" s="80">
        <v>0</v>
      </c>
      <c r="H134" s="80">
        <v>0</v>
      </c>
      <c r="I134" s="80">
        <v>0</v>
      </c>
      <c r="J134" s="80">
        <v>0</v>
      </c>
      <c r="K134" s="80">
        <v>0</v>
      </c>
      <c r="L134" s="80">
        <v>0</v>
      </c>
      <c r="M134" s="80">
        <v>0</v>
      </c>
      <c r="N134" s="80">
        <v>0</v>
      </c>
      <c r="O134" s="80">
        <v>0</v>
      </c>
      <c r="P134" s="80">
        <v>0</v>
      </c>
      <c r="Q134" s="80">
        <v>0</v>
      </c>
      <c r="R134" s="80">
        <v>0</v>
      </c>
      <c r="S134" s="80">
        <v>1513813.5581920405</v>
      </c>
      <c r="T134" s="80">
        <v>52500</v>
      </c>
      <c r="U134" s="80">
        <v>0</v>
      </c>
      <c r="V134" s="80">
        <v>0</v>
      </c>
      <c r="W134" s="80">
        <v>0</v>
      </c>
      <c r="X134" s="80">
        <v>270549.72314088308</v>
      </c>
      <c r="Y134" s="80">
        <v>0</v>
      </c>
      <c r="Z134" s="80">
        <v>0</v>
      </c>
      <c r="AA134" s="80">
        <v>0</v>
      </c>
      <c r="AB134" s="80">
        <v>0</v>
      </c>
      <c r="AC134" s="80">
        <v>0</v>
      </c>
      <c r="AD134" s="80">
        <v>0</v>
      </c>
      <c r="AE134" s="80">
        <v>0</v>
      </c>
      <c r="AF134" s="80">
        <v>0</v>
      </c>
      <c r="AG134" s="80">
        <v>0</v>
      </c>
      <c r="AH134" s="80">
        <v>0</v>
      </c>
      <c r="AI134" s="79">
        <v>46230.719143518516</v>
      </c>
    </row>
    <row r="135" spans="1:35" x14ac:dyDescent="0.3">
      <c r="A135" t="s">
        <v>753</v>
      </c>
      <c r="B135">
        <v>126</v>
      </c>
      <c r="C135">
        <v>126</v>
      </c>
      <c r="D135">
        <v>1</v>
      </c>
      <c r="E135" s="80">
        <v>1064468.0190999999</v>
      </c>
      <c r="F135" s="80">
        <v>1064468.017366509</v>
      </c>
      <c r="G135" s="80">
        <v>0</v>
      </c>
      <c r="H135" s="80">
        <v>0</v>
      </c>
      <c r="I135" s="80">
        <v>0</v>
      </c>
      <c r="J135" s="80">
        <v>0</v>
      </c>
      <c r="K135" s="80">
        <v>0</v>
      </c>
      <c r="L135" s="80">
        <v>0</v>
      </c>
      <c r="M135" s="80">
        <v>0</v>
      </c>
      <c r="N135" s="80">
        <v>0</v>
      </c>
      <c r="O135" s="80">
        <v>0</v>
      </c>
      <c r="P135" s="80">
        <v>0</v>
      </c>
      <c r="Q135" s="80">
        <v>0</v>
      </c>
      <c r="R135" s="80">
        <v>0</v>
      </c>
      <c r="S135" s="80">
        <v>803162.46095226705</v>
      </c>
      <c r="T135" s="80">
        <v>52500.000149999993</v>
      </c>
      <c r="U135" s="80">
        <v>0</v>
      </c>
      <c r="V135" s="80">
        <v>0</v>
      </c>
      <c r="W135" s="80">
        <v>0</v>
      </c>
      <c r="X135" s="80">
        <v>208805.55626424219</v>
      </c>
      <c r="Y135" s="80">
        <v>0</v>
      </c>
      <c r="Z135" s="80">
        <v>0</v>
      </c>
      <c r="AA135" s="80">
        <v>0</v>
      </c>
      <c r="AB135" s="80">
        <v>0</v>
      </c>
      <c r="AC135" s="80">
        <v>0</v>
      </c>
      <c r="AD135" s="80">
        <v>0</v>
      </c>
      <c r="AE135" s="80">
        <v>0</v>
      </c>
      <c r="AF135" s="80">
        <v>0</v>
      </c>
      <c r="AG135" s="80">
        <v>0</v>
      </c>
      <c r="AH135" s="80">
        <v>0</v>
      </c>
      <c r="AI135" s="79">
        <v>46230.719189814816</v>
      </c>
    </row>
    <row r="136" spans="1:35" x14ac:dyDescent="0.3">
      <c r="A136" t="s">
        <v>509</v>
      </c>
      <c r="B136">
        <v>127</v>
      </c>
      <c r="C136">
        <v>127</v>
      </c>
      <c r="D136">
        <v>1</v>
      </c>
      <c r="E136" s="80">
        <v>2779185.3560000001</v>
      </c>
      <c r="F136" s="80">
        <v>2779185.3558880389</v>
      </c>
      <c r="G136" s="80">
        <v>0</v>
      </c>
      <c r="H136" s="80">
        <v>0</v>
      </c>
      <c r="I136" s="80">
        <v>0</v>
      </c>
      <c r="J136" s="80">
        <v>0</v>
      </c>
      <c r="K136" s="80">
        <v>0</v>
      </c>
      <c r="L136" s="80">
        <v>0</v>
      </c>
      <c r="M136" s="80">
        <v>0</v>
      </c>
      <c r="N136" s="80">
        <v>0</v>
      </c>
      <c r="O136" s="80">
        <v>0</v>
      </c>
      <c r="P136" s="80">
        <v>0</v>
      </c>
      <c r="Q136" s="80">
        <v>0</v>
      </c>
      <c r="R136" s="80">
        <v>0</v>
      </c>
      <c r="S136" s="80">
        <v>2090420.2930157578</v>
      </c>
      <c r="T136" s="80">
        <v>163735.1971682469</v>
      </c>
      <c r="U136" s="80">
        <v>0</v>
      </c>
      <c r="V136" s="80">
        <v>0</v>
      </c>
      <c r="W136" s="80">
        <v>0</v>
      </c>
      <c r="X136" s="80">
        <v>525029.86570403515</v>
      </c>
      <c r="Y136" s="80">
        <v>0</v>
      </c>
      <c r="Z136" s="80">
        <v>0</v>
      </c>
      <c r="AA136" s="80">
        <v>0</v>
      </c>
      <c r="AB136" s="80">
        <v>0</v>
      </c>
      <c r="AC136" s="80">
        <v>0</v>
      </c>
      <c r="AD136" s="80">
        <v>0</v>
      </c>
      <c r="AE136" s="80">
        <v>0</v>
      </c>
      <c r="AF136" s="80">
        <v>0</v>
      </c>
      <c r="AG136" s="80">
        <v>0</v>
      </c>
      <c r="AH136" s="80">
        <v>0</v>
      </c>
      <c r="AI136" s="79">
        <v>46230.719236111108</v>
      </c>
    </row>
    <row r="137" spans="1:35" x14ac:dyDescent="0.3">
      <c r="A137" t="s">
        <v>754</v>
      </c>
      <c r="B137">
        <v>128</v>
      </c>
      <c r="C137">
        <v>128</v>
      </c>
      <c r="D137">
        <v>1</v>
      </c>
      <c r="E137" s="80">
        <v>2564808.6469999999</v>
      </c>
      <c r="F137" s="80">
        <v>2564808.647190975</v>
      </c>
      <c r="G137" s="80">
        <v>0</v>
      </c>
      <c r="H137" s="80">
        <v>0</v>
      </c>
      <c r="I137" s="80">
        <v>0</v>
      </c>
      <c r="J137" s="80">
        <v>0</v>
      </c>
      <c r="K137" s="80">
        <v>0</v>
      </c>
      <c r="L137" s="80">
        <v>0</v>
      </c>
      <c r="M137" s="80">
        <v>0</v>
      </c>
      <c r="N137" s="80">
        <v>0</v>
      </c>
      <c r="O137" s="80">
        <v>0</v>
      </c>
      <c r="P137" s="80">
        <v>0</v>
      </c>
      <c r="Q137" s="80">
        <v>0</v>
      </c>
      <c r="R137" s="80">
        <v>0</v>
      </c>
      <c r="S137" s="80">
        <v>2074685.858018016</v>
      </c>
      <c r="T137" s="80">
        <v>107118.84933534478</v>
      </c>
      <c r="U137" s="80">
        <v>0</v>
      </c>
      <c r="V137" s="80">
        <v>0</v>
      </c>
      <c r="W137" s="80">
        <v>0</v>
      </c>
      <c r="X137" s="80">
        <v>383003.93983761419</v>
      </c>
      <c r="Y137" s="80">
        <v>0</v>
      </c>
      <c r="Z137" s="80">
        <v>0</v>
      </c>
      <c r="AA137" s="80">
        <v>0</v>
      </c>
      <c r="AB137" s="80">
        <v>0</v>
      </c>
      <c r="AC137" s="80">
        <v>0</v>
      </c>
      <c r="AD137" s="80">
        <v>0</v>
      </c>
      <c r="AE137" s="80">
        <v>0</v>
      </c>
      <c r="AF137" s="80">
        <v>0</v>
      </c>
      <c r="AG137" s="80">
        <v>0</v>
      </c>
      <c r="AH137" s="80">
        <v>0</v>
      </c>
      <c r="AI137" s="79">
        <v>46230.719282407408</v>
      </c>
    </row>
    <row r="138" spans="1:35" x14ac:dyDescent="0.3">
      <c r="A138" t="s">
        <v>755</v>
      </c>
      <c r="B138">
        <v>129</v>
      </c>
      <c r="C138">
        <v>129</v>
      </c>
      <c r="D138">
        <v>1</v>
      </c>
      <c r="E138" s="80">
        <v>4434351.7560000001</v>
      </c>
      <c r="F138" s="80">
        <v>4434351.7613854939</v>
      </c>
      <c r="G138" s="80">
        <v>0</v>
      </c>
      <c r="H138" s="80">
        <v>0</v>
      </c>
      <c r="I138" s="80">
        <v>5150.1386772970745</v>
      </c>
      <c r="J138" s="80">
        <v>0</v>
      </c>
      <c r="K138" s="80">
        <v>0</v>
      </c>
      <c r="L138" s="80">
        <v>0</v>
      </c>
      <c r="M138" s="80">
        <v>0</v>
      </c>
      <c r="N138" s="80">
        <v>0</v>
      </c>
      <c r="O138" s="80">
        <v>0</v>
      </c>
      <c r="P138" s="80">
        <v>0</v>
      </c>
      <c r="Q138" s="80">
        <v>0</v>
      </c>
      <c r="R138" s="80">
        <v>0</v>
      </c>
      <c r="S138" s="80">
        <v>0</v>
      </c>
      <c r="T138" s="80">
        <v>0</v>
      </c>
      <c r="U138" s="80">
        <v>0</v>
      </c>
      <c r="V138" s="80">
        <v>0</v>
      </c>
      <c r="W138" s="80">
        <v>0</v>
      </c>
      <c r="X138" s="80">
        <v>0</v>
      </c>
      <c r="Y138" s="80">
        <v>0</v>
      </c>
      <c r="Z138" s="80">
        <v>0</v>
      </c>
      <c r="AA138" s="80">
        <v>0</v>
      </c>
      <c r="AB138" s="80">
        <v>0</v>
      </c>
      <c r="AC138" s="80">
        <v>0</v>
      </c>
      <c r="AD138" s="80">
        <v>0</v>
      </c>
      <c r="AE138" s="80">
        <v>0</v>
      </c>
      <c r="AF138" s="80">
        <v>0</v>
      </c>
      <c r="AG138" s="80">
        <v>4429201.6227081968</v>
      </c>
      <c r="AH138" s="80">
        <v>4429201.6227081968</v>
      </c>
      <c r="AI138" s="79">
        <v>46230.719340277778</v>
      </c>
    </row>
    <row r="139" spans="1:35" x14ac:dyDescent="0.3">
      <c r="A139" t="s">
        <v>756</v>
      </c>
      <c r="B139">
        <v>130</v>
      </c>
      <c r="C139">
        <v>130</v>
      </c>
      <c r="D139">
        <v>1</v>
      </c>
      <c r="E139" s="80">
        <v>733507.5</v>
      </c>
      <c r="F139" s="80">
        <v>733507.5</v>
      </c>
      <c r="G139" s="80">
        <v>62475</v>
      </c>
      <c r="H139" s="80">
        <v>25245</v>
      </c>
      <c r="I139" s="80">
        <v>0</v>
      </c>
      <c r="J139" s="80">
        <v>14790</v>
      </c>
      <c r="K139" s="80">
        <v>8415</v>
      </c>
      <c r="L139" s="80">
        <v>0</v>
      </c>
      <c r="M139" s="80">
        <v>0</v>
      </c>
      <c r="N139" s="80">
        <v>0</v>
      </c>
      <c r="O139" s="80">
        <v>0</v>
      </c>
      <c r="P139" s="80">
        <v>8415</v>
      </c>
      <c r="Q139" s="80">
        <v>0</v>
      </c>
      <c r="R139" s="80">
        <v>5610</v>
      </c>
      <c r="S139" s="80">
        <v>0</v>
      </c>
      <c r="T139" s="80">
        <v>107652.5</v>
      </c>
      <c r="U139" s="80">
        <v>0</v>
      </c>
      <c r="V139" s="80">
        <v>560575</v>
      </c>
      <c r="W139" s="80">
        <v>0</v>
      </c>
      <c r="X139" s="80">
        <v>0</v>
      </c>
      <c r="Y139" s="80">
        <v>0</v>
      </c>
      <c r="Z139" s="80">
        <v>0</v>
      </c>
      <c r="AA139" s="80">
        <v>2805</v>
      </c>
      <c r="AB139" s="80">
        <v>0</v>
      </c>
      <c r="AC139" s="80">
        <v>0</v>
      </c>
      <c r="AD139" s="80">
        <v>0</v>
      </c>
      <c r="AE139" s="80">
        <v>0</v>
      </c>
      <c r="AF139" s="80">
        <v>0</v>
      </c>
      <c r="AG139" s="80">
        <v>0</v>
      </c>
      <c r="AH139" s="80">
        <v>0</v>
      </c>
      <c r="AI139" s="79">
        <v>46230.719386574077</v>
      </c>
    </row>
    <row r="140" spans="1:35" x14ac:dyDescent="0.3">
      <c r="A140" t="s">
        <v>538</v>
      </c>
      <c r="B140">
        <v>131</v>
      </c>
      <c r="C140">
        <v>131</v>
      </c>
      <c r="D140">
        <v>1</v>
      </c>
      <c r="E140" s="80">
        <v>1950200.8633000001</v>
      </c>
      <c r="F140" s="80">
        <v>1950200.8635297604</v>
      </c>
      <c r="G140" s="80">
        <v>0</v>
      </c>
      <c r="H140" s="80">
        <v>0</v>
      </c>
      <c r="I140" s="80">
        <v>0</v>
      </c>
      <c r="J140" s="80">
        <v>0</v>
      </c>
      <c r="K140" s="80">
        <v>0</v>
      </c>
      <c r="L140" s="80">
        <v>0</v>
      </c>
      <c r="M140" s="80">
        <v>0</v>
      </c>
      <c r="N140" s="80">
        <v>0</v>
      </c>
      <c r="O140" s="80">
        <v>0</v>
      </c>
      <c r="P140" s="80">
        <v>0</v>
      </c>
      <c r="Q140" s="80">
        <v>0</v>
      </c>
      <c r="R140" s="80">
        <v>0</v>
      </c>
      <c r="S140" s="80">
        <v>0</v>
      </c>
      <c r="T140" s="80">
        <v>864223.54877999995</v>
      </c>
      <c r="U140" s="80">
        <v>505891.02021615993</v>
      </c>
      <c r="V140" s="80">
        <v>0</v>
      </c>
      <c r="W140" s="80">
        <v>580086.29453360033</v>
      </c>
      <c r="X140" s="80">
        <v>0</v>
      </c>
      <c r="Y140" s="80">
        <v>0</v>
      </c>
      <c r="Z140" s="80">
        <v>0</v>
      </c>
      <c r="AA140" s="80">
        <v>0</v>
      </c>
      <c r="AB140" s="80">
        <v>0</v>
      </c>
      <c r="AC140" s="80">
        <v>0</v>
      </c>
      <c r="AD140" s="80">
        <v>0</v>
      </c>
      <c r="AE140" s="80">
        <v>0</v>
      </c>
      <c r="AF140" s="80">
        <v>0</v>
      </c>
      <c r="AG140" s="80">
        <v>0</v>
      </c>
      <c r="AH140" s="80">
        <v>0</v>
      </c>
      <c r="AI140" s="79">
        <v>46230.719444444447</v>
      </c>
    </row>
    <row r="141" spans="1:35" x14ac:dyDescent="0.3">
      <c r="A141" t="s">
        <v>757</v>
      </c>
      <c r="B141">
        <v>132</v>
      </c>
      <c r="C141">
        <v>132</v>
      </c>
      <c r="D141">
        <v>1</v>
      </c>
      <c r="E141" s="80">
        <v>1717058.8938</v>
      </c>
      <c r="F141" s="80">
        <v>1717058.8936162719</v>
      </c>
      <c r="G141" s="80">
        <v>1717058.8936162719</v>
      </c>
      <c r="H141" s="80">
        <v>1618857.4909182314</v>
      </c>
      <c r="I141" s="80">
        <v>0</v>
      </c>
      <c r="J141" s="80">
        <v>98201.402698040649</v>
      </c>
      <c r="K141" s="80">
        <v>0</v>
      </c>
      <c r="L141" s="80">
        <v>0</v>
      </c>
      <c r="M141" s="80">
        <v>0</v>
      </c>
      <c r="N141" s="80">
        <v>0</v>
      </c>
      <c r="O141" s="80">
        <v>0</v>
      </c>
      <c r="P141" s="80">
        <v>0</v>
      </c>
      <c r="Q141" s="80">
        <v>0</v>
      </c>
      <c r="R141" s="80">
        <v>0</v>
      </c>
      <c r="S141" s="80">
        <v>0</v>
      </c>
      <c r="T141" s="80">
        <v>0</v>
      </c>
      <c r="U141" s="80">
        <v>0</v>
      </c>
      <c r="V141" s="80">
        <v>0</v>
      </c>
      <c r="W141" s="80">
        <v>0</v>
      </c>
      <c r="X141" s="80">
        <v>0</v>
      </c>
      <c r="Y141" s="80">
        <v>0</v>
      </c>
      <c r="Z141" s="80">
        <v>0</v>
      </c>
      <c r="AA141" s="80">
        <v>0</v>
      </c>
      <c r="AB141" s="80">
        <v>0</v>
      </c>
      <c r="AC141" s="80">
        <v>0</v>
      </c>
      <c r="AD141" s="80">
        <v>0</v>
      </c>
      <c r="AE141" s="80">
        <v>0</v>
      </c>
      <c r="AF141" s="80">
        <v>0</v>
      </c>
      <c r="AG141" s="80">
        <v>0</v>
      </c>
      <c r="AH141" s="80">
        <v>0</v>
      </c>
      <c r="AI141" s="79">
        <v>46230.719490740739</v>
      </c>
    </row>
    <row r="142" spans="1:35" x14ac:dyDescent="0.3">
      <c r="A142" t="s">
        <v>758</v>
      </c>
      <c r="B142">
        <v>133</v>
      </c>
      <c r="C142">
        <v>133</v>
      </c>
      <c r="D142">
        <v>1</v>
      </c>
      <c r="E142" s="80">
        <v>1373017.4513000001</v>
      </c>
      <c r="F142" s="80">
        <v>1373017.4564079568</v>
      </c>
      <c r="G142" s="80">
        <v>1373017.4564079568</v>
      </c>
      <c r="H142" s="80">
        <v>0</v>
      </c>
      <c r="I142" s="80">
        <v>0</v>
      </c>
      <c r="J142" s="80">
        <v>0</v>
      </c>
      <c r="K142" s="80">
        <v>0</v>
      </c>
      <c r="L142" s="80">
        <v>0</v>
      </c>
      <c r="M142" s="80">
        <v>0</v>
      </c>
      <c r="N142" s="80">
        <v>0</v>
      </c>
      <c r="O142" s="80">
        <v>0</v>
      </c>
      <c r="P142" s="80">
        <v>1373017.4564079568</v>
      </c>
      <c r="Q142" s="80">
        <v>0</v>
      </c>
      <c r="R142" s="80">
        <v>0</v>
      </c>
      <c r="S142" s="80">
        <v>0</v>
      </c>
      <c r="T142" s="80">
        <v>0</v>
      </c>
      <c r="U142" s="80">
        <v>0</v>
      </c>
      <c r="V142" s="80">
        <v>0</v>
      </c>
      <c r="W142" s="80">
        <v>0</v>
      </c>
      <c r="X142" s="80">
        <v>0</v>
      </c>
      <c r="Y142" s="80">
        <v>0</v>
      </c>
      <c r="Z142" s="80">
        <v>0</v>
      </c>
      <c r="AA142" s="80">
        <v>0</v>
      </c>
      <c r="AB142" s="80">
        <v>0</v>
      </c>
      <c r="AC142" s="80">
        <v>0</v>
      </c>
      <c r="AD142" s="80">
        <v>0</v>
      </c>
      <c r="AE142" s="80">
        <v>0</v>
      </c>
      <c r="AF142" s="80">
        <v>0</v>
      </c>
      <c r="AG142" s="80">
        <v>0</v>
      </c>
      <c r="AH142" s="80">
        <v>0</v>
      </c>
      <c r="AI142" s="79">
        <v>46230.719537037039</v>
      </c>
    </row>
    <row r="143" spans="1:35" x14ac:dyDescent="0.3">
      <c r="A143" t="s">
        <v>759</v>
      </c>
      <c r="B143">
        <v>134</v>
      </c>
      <c r="C143">
        <v>134</v>
      </c>
      <c r="D143">
        <v>1</v>
      </c>
      <c r="E143" s="80">
        <v>1954055.0432</v>
      </c>
      <c r="F143" s="80">
        <v>1954055.0431500305</v>
      </c>
      <c r="G143" s="80">
        <v>1942055.0431500305</v>
      </c>
      <c r="H143" s="80">
        <v>66509.419820909505</v>
      </c>
      <c r="I143" s="80">
        <v>0</v>
      </c>
      <c r="J143" s="80">
        <v>48000</v>
      </c>
      <c r="K143" s="80">
        <v>0</v>
      </c>
      <c r="L143" s="80">
        <v>0</v>
      </c>
      <c r="M143" s="80">
        <v>0</v>
      </c>
      <c r="N143" s="80">
        <v>0</v>
      </c>
      <c r="O143" s="80">
        <v>0</v>
      </c>
      <c r="P143" s="80">
        <v>1225993.7777201778</v>
      </c>
      <c r="Q143" s="80">
        <v>0</v>
      </c>
      <c r="R143" s="80">
        <v>601551.84560894314</v>
      </c>
      <c r="S143" s="80">
        <v>0</v>
      </c>
      <c r="T143" s="80">
        <v>0</v>
      </c>
      <c r="U143" s="80">
        <v>0</v>
      </c>
      <c r="V143" s="80">
        <v>12000</v>
      </c>
      <c r="W143" s="80">
        <v>0</v>
      </c>
      <c r="X143" s="80">
        <v>0</v>
      </c>
      <c r="Y143" s="80">
        <v>0</v>
      </c>
      <c r="Z143" s="80">
        <v>0</v>
      </c>
      <c r="AA143" s="80">
        <v>0</v>
      </c>
      <c r="AB143" s="80">
        <v>0</v>
      </c>
      <c r="AC143" s="80">
        <v>0</v>
      </c>
      <c r="AD143" s="80">
        <v>0</v>
      </c>
      <c r="AE143" s="80">
        <v>0</v>
      </c>
      <c r="AF143" s="80">
        <v>0</v>
      </c>
      <c r="AG143" s="80">
        <v>0</v>
      </c>
      <c r="AH143" s="80">
        <v>0</v>
      </c>
      <c r="AI143" s="79">
        <v>46230.719594907408</v>
      </c>
    </row>
    <row r="144" spans="1:35" x14ac:dyDescent="0.3">
      <c r="A144" t="s">
        <v>534</v>
      </c>
      <c r="B144">
        <v>135</v>
      </c>
      <c r="C144">
        <v>135</v>
      </c>
      <c r="D144">
        <v>1</v>
      </c>
      <c r="E144" s="80">
        <v>2909585.6518999999</v>
      </c>
      <c r="F144" s="80">
        <v>2909585.6517591672</v>
      </c>
      <c r="G144" s="80">
        <v>2898085.6517591672</v>
      </c>
      <c r="H144" s="80">
        <v>57500</v>
      </c>
      <c r="I144" s="80">
        <v>0</v>
      </c>
      <c r="J144" s="80">
        <v>36312.042963176813</v>
      </c>
      <c r="K144" s="80">
        <v>0</v>
      </c>
      <c r="L144" s="80">
        <v>0</v>
      </c>
      <c r="M144" s="80">
        <v>0</v>
      </c>
      <c r="N144" s="80">
        <v>0</v>
      </c>
      <c r="O144" s="80">
        <v>0</v>
      </c>
      <c r="P144" s="80">
        <v>2404561.9616604806</v>
      </c>
      <c r="Q144" s="80">
        <v>0</v>
      </c>
      <c r="R144" s="80">
        <v>399711.64713550988</v>
      </c>
      <c r="S144" s="80">
        <v>0</v>
      </c>
      <c r="T144" s="80">
        <v>0</v>
      </c>
      <c r="U144" s="80">
        <v>0</v>
      </c>
      <c r="V144" s="80">
        <v>11500</v>
      </c>
      <c r="W144" s="80">
        <v>0</v>
      </c>
      <c r="X144" s="80">
        <v>0</v>
      </c>
      <c r="Y144" s="80">
        <v>0</v>
      </c>
      <c r="Z144" s="80">
        <v>0</v>
      </c>
      <c r="AA144" s="80">
        <v>0</v>
      </c>
      <c r="AB144" s="80">
        <v>0</v>
      </c>
      <c r="AC144" s="80">
        <v>0</v>
      </c>
      <c r="AD144" s="80">
        <v>0</v>
      </c>
      <c r="AE144" s="80">
        <v>0</v>
      </c>
      <c r="AF144" s="80">
        <v>0</v>
      </c>
      <c r="AG144" s="80">
        <v>0</v>
      </c>
      <c r="AH144" s="80">
        <v>0</v>
      </c>
      <c r="AI144" s="79">
        <v>46230.719652777778</v>
      </c>
    </row>
    <row r="145" spans="1:35" x14ac:dyDescent="0.3">
      <c r="A145" t="s">
        <v>760</v>
      </c>
      <c r="B145">
        <v>136</v>
      </c>
      <c r="C145">
        <v>136</v>
      </c>
      <c r="D145">
        <v>1</v>
      </c>
      <c r="E145" s="80">
        <v>909264.02850000001</v>
      </c>
      <c r="F145" s="80">
        <v>909264.02840576938</v>
      </c>
      <c r="G145" s="80">
        <v>909264.02840576938</v>
      </c>
      <c r="H145" s="80">
        <v>854828.451479877</v>
      </c>
      <c r="I145" s="80">
        <v>0</v>
      </c>
      <c r="J145" s="80">
        <v>54435.576925892281</v>
      </c>
      <c r="K145" s="80">
        <v>0</v>
      </c>
      <c r="L145" s="80">
        <v>0</v>
      </c>
      <c r="M145" s="80">
        <v>0</v>
      </c>
      <c r="N145" s="80">
        <v>0</v>
      </c>
      <c r="O145" s="80">
        <v>0</v>
      </c>
      <c r="P145" s="80">
        <v>0</v>
      </c>
      <c r="Q145" s="80">
        <v>0</v>
      </c>
      <c r="R145" s="80">
        <v>0</v>
      </c>
      <c r="S145" s="80">
        <v>0</v>
      </c>
      <c r="T145" s="80">
        <v>0</v>
      </c>
      <c r="U145" s="80">
        <v>0</v>
      </c>
      <c r="V145" s="80">
        <v>0</v>
      </c>
      <c r="W145" s="80">
        <v>0</v>
      </c>
      <c r="X145" s="80">
        <v>0</v>
      </c>
      <c r="Y145" s="80">
        <v>0</v>
      </c>
      <c r="Z145" s="80">
        <v>0</v>
      </c>
      <c r="AA145" s="80">
        <v>0</v>
      </c>
      <c r="AB145" s="80">
        <v>0</v>
      </c>
      <c r="AC145" s="80">
        <v>0</v>
      </c>
      <c r="AD145" s="80">
        <v>0</v>
      </c>
      <c r="AE145" s="80">
        <v>0</v>
      </c>
      <c r="AF145" s="80">
        <v>0</v>
      </c>
      <c r="AG145" s="80">
        <v>0</v>
      </c>
      <c r="AH145" s="80">
        <v>0</v>
      </c>
      <c r="AI145" s="79">
        <v>46230.719722222224</v>
      </c>
    </row>
    <row r="146" spans="1:35" x14ac:dyDescent="0.3">
      <c r="A146" t="s">
        <v>761</v>
      </c>
      <c r="B146">
        <v>137</v>
      </c>
      <c r="C146">
        <v>137</v>
      </c>
      <c r="D146">
        <v>1</v>
      </c>
      <c r="E146" s="80">
        <v>1063489.5456999999</v>
      </c>
      <c r="F146" s="80">
        <v>1063489.5534636755</v>
      </c>
      <c r="G146" s="80">
        <v>1063489.5534636755</v>
      </c>
      <c r="H146" s="80">
        <v>999554.67432535742</v>
      </c>
      <c r="I146" s="80">
        <v>0</v>
      </c>
      <c r="J146" s="80">
        <v>63934.879138318611</v>
      </c>
      <c r="K146" s="80">
        <v>0</v>
      </c>
      <c r="L146" s="80">
        <v>0</v>
      </c>
      <c r="M146" s="80">
        <v>0</v>
      </c>
      <c r="N146" s="80">
        <v>0</v>
      </c>
      <c r="O146" s="80">
        <v>0</v>
      </c>
      <c r="P146" s="80">
        <v>0</v>
      </c>
      <c r="Q146" s="80">
        <v>0</v>
      </c>
      <c r="R146" s="80">
        <v>0</v>
      </c>
      <c r="S146" s="80">
        <v>0</v>
      </c>
      <c r="T146" s="80">
        <v>0</v>
      </c>
      <c r="U146" s="80">
        <v>0</v>
      </c>
      <c r="V146" s="80">
        <v>0</v>
      </c>
      <c r="W146" s="80">
        <v>0</v>
      </c>
      <c r="X146" s="80">
        <v>0</v>
      </c>
      <c r="Y146" s="80">
        <v>0</v>
      </c>
      <c r="Z146" s="80">
        <v>0</v>
      </c>
      <c r="AA146" s="80">
        <v>0</v>
      </c>
      <c r="AB146" s="80">
        <v>0</v>
      </c>
      <c r="AC146" s="80">
        <v>0</v>
      </c>
      <c r="AD146" s="80">
        <v>0</v>
      </c>
      <c r="AE146" s="80">
        <v>0</v>
      </c>
      <c r="AF146" s="80">
        <v>0</v>
      </c>
      <c r="AG146" s="80">
        <v>0</v>
      </c>
      <c r="AH146" s="80">
        <v>0</v>
      </c>
      <c r="AI146" s="79">
        <v>46230.719768518517</v>
      </c>
    </row>
    <row r="147" spans="1:35" x14ac:dyDescent="0.3">
      <c r="A147" t="s">
        <v>27</v>
      </c>
      <c r="B147">
        <v>138</v>
      </c>
      <c r="C147">
        <v>138</v>
      </c>
      <c r="D147">
        <v>1</v>
      </c>
      <c r="E147" s="80">
        <v>4209079.8841000004</v>
      </c>
      <c r="F147" s="80">
        <v>4209079.884294142</v>
      </c>
      <c r="G147" s="80">
        <v>4198223.2818927495</v>
      </c>
      <c r="H147" s="80">
        <v>291124.48642298294</v>
      </c>
      <c r="I147" s="80">
        <v>0</v>
      </c>
      <c r="J147" s="80">
        <v>3828633.8431548639</v>
      </c>
      <c r="K147" s="80">
        <v>0</v>
      </c>
      <c r="L147" s="80">
        <v>0</v>
      </c>
      <c r="M147" s="80">
        <v>0</v>
      </c>
      <c r="N147" s="80">
        <v>0</v>
      </c>
      <c r="O147" s="80">
        <v>0</v>
      </c>
      <c r="P147" s="80">
        <v>31199.503622011423</v>
      </c>
      <c r="Q147" s="80">
        <v>0</v>
      </c>
      <c r="R147" s="80">
        <v>47265.448692892613</v>
      </c>
      <c r="S147" s="80">
        <v>0</v>
      </c>
      <c r="T147" s="80">
        <v>0</v>
      </c>
      <c r="U147" s="80">
        <v>0</v>
      </c>
      <c r="V147" s="80">
        <v>10856.602401392458</v>
      </c>
      <c r="W147" s="80">
        <v>0</v>
      </c>
      <c r="X147" s="80">
        <v>0</v>
      </c>
      <c r="Y147" s="80">
        <v>0</v>
      </c>
      <c r="Z147" s="80">
        <v>0</v>
      </c>
      <c r="AA147" s="80">
        <v>0</v>
      </c>
      <c r="AB147" s="80">
        <v>0</v>
      </c>
      <c r="AC147" s="80">
        <v>0</v>
      </c>
      <c r="AD147" s="80">
        <v>0</v>
      </c>
      <c r="AE147" s="80">
        <v>0</v>
      </c>
      <c r="AF147" s="80">
        <v>0</v>
      </c>
      <c r="AG147" s="80">
        <v>0</v>
      </c>
      <c r="AH147" s="80">
        <v>0</v>
      </c>
      <c r="AI147" s="79">
        <v>46230.719837962963</v>
      </c>
    </row>
    <row r="148" spans="1:35" x14ac:dyDescent="0.3">
      <c r="A148" t="s">
        <v>440</v>
      </c>
      <c r="B148">
        <v>139</v>
      </c>
      <c r="C148">
        <v>139</v>
      </c>
      <c r="D148">
        <v>1</v>
      </c>
      <c r="E148" s="80">
        <v>7901082.0360000003</v>
      </c>
      <c r="F148" s="80">
        <v>7901082.0352566177</v>
      </c>
      <c r="G148" s="80">
        <v>7871975.8788282592</v>
      </c>
      <c r="H148" s="80">
        <v>630785.5425317788</v>
      </c>
      <c r="I148" s="80">
        <v>0</v>
      </c>
      <c r="J148" s="80">
        <v>6998604.4763550889</v>
      </c>
      <c r="K148" s="80">
        <v>0</v>
      </c>
      <c r="L148" s="80">
        <v>8099.0745232501331</v>
      </c>
      <c r="M148" s="80">
        <v>8099.0745232501331</v>
      </c>
      <c r="N148" s="80">
        <v>0</v>
      </c>
      <c r="O148" s="80">
        <v>0</v>
      </c>
      <c r="P148" s="80">
        <v>122930.27138262172</v>
      </c>
      <c r="Q148" s="80">
        <v>0</v>
      </c>
      <c r="R148" s="80">
        <v>111556.51403551913</v>
      </c>
      <c r="S148" s="80">
        <v>0</v>
      </c>
      <c r="T148" s="80">
        <v>0</v>
      </c>
      <c r="U148" s="80">
        <v>0</v>
      </c>
      <c r="V148" s="80">
        <v>29106.15642835831</v>
      </c>
      <c r="W148" s="80">
        <v>0</v>
      </c>
      <c r="X148" s="80">
        <v>0</v>
      </c>
      <c r="Y148" s="80">
        <v>0</v>
      </c>
      <c r="Z148" s="80">
        <v>0</v>
      </c>
      <c r="AA148" s="80">
        <v>0</v>
      </c>
      <c r="AB148" s="80">
        <v>0</v>
      </c>
      <c r="AC148" s="80">
        <v>0</v>
      </c>
      <c r="AD148" s="80">
        <v>0</v>
      </c>
      <c r="AE148" s="80">
        <v>0</v>
      </c>
      <c r="AF148" s="80">
        <v>0</v>
      </c>
      <c r="AG148" s="80">
        <v>0</v>
      </c>
      <c r="AH148" s="80">
        <v>0</v>
      </c>
      <c r="AI148" s="79">
        <v>46230.719895833332</v>
      </c>
    </row>
    <row r="149" spans="1:35" x14ac:dyDescent="0.3">
      <c r="A149" t="s">
        <v>762</v>
      </c>
      <c r="B149">
        <v>140</v>
      </c>
      <c r="C149">
        <v>140</v>
      </c>
      <c r="D149">
        <v>1</v>
      </c>
      <c r="E149" s="80">
        <v>1296185.3976</v>
      </c>
      <c r="F149" s="80">
        <v>1296185.3976206405</v>
      </c>
      <c r="G149" s="80">
        <v>1291185.3976206405</v>
      </c>
      <c r="H149" s="80">
        <v>1291185.3976206405</v>
      </c>
      <c r="I149" s="80">
        <v>0</v>
      </c>
      <c r="J149" s="80">
        <v>0</v>
      </c>
      <c r="K149" s="80">
        <v>0</v>
      </c>
      <c r="L149" s="80">
        <v>0</v>
      </c>
      <c r="M149" s="80">
        <v>0</v>
      </c>
      <c r="N149" s="80">
        <v>0</v>
      </c>
      <c r="O149" s="80">
        <v>0</v>
      </c>
      <c r="P149" s="80">
        <v>0</v>
      </c>
      <c r="Q149" s="80">
        <v>0</v>
      </c>
      <c r="R149" s="80">
        <v>0</v>
      </c>
      <c r="S149" s="80">
        <v>0</v>
      </c>
      <c r="T149" s="80">
        <v>0</v>
      </c>
      <c r="U149" s="80">
        <v>0</v>
      </c>
      <c r="V149" s="80">
        <v>0</v>
      </c>
      <c r="W149" s="80">
        <v>0</v>
      </c>
      <c r="X149" s="80">
        <v>0</v>
      </c>
      <c r="Y149" s="80">
        <v>0</v>
      </c>
      <c r="Z149" s="80">
        <v>0</v>
      </c>
      <c r="AA149" s="80">
        <v>4999.9999999999982</v>
      </c>
      <c r="AB149" s="80">
        <v>0</v>
      </c>
      <c r="AC149" s="80">
        <v>0</v>
      </c>
      <c r="AD149" s="80">
        <v>0</v>
      </c>
      <c r="AE149" s="80">
        <v>0</v>
      </c>
      <c r="AF149" s="80">
        <v>0</v>
      </c>
      <c r="AG149" s="80">
        <v>0</v>
      </c>
      <c r="AH149" s="80">
        <v>0</v>
      </c>
      <c r="AI149" s="79">
        <v>46230.719942129632</v>
      </c>
    </row>
    <row r="150" spans="1:35" x14ac:dyDescent="0.3">
      <c r="A150" t="s">
        <v>763</v>
      </c>
      <c r="B150">
        <v>141</v>
      </c>
      <c r="C150">
        <v>141</v>
      </c>
      <c r="D150">
        <v>1</v>
      </c>
      <c r="E150" s="80">
        <v>30416660.5889</v>
      </c>
      <c r="F150" s="80">
        <v>30416660.588807501</v>
      </c>
      <c r="G150" s="80">
        <v>30233193.202777844</v>
      </c>
      <c r="H150" s="80">
        <v>3126207.1830468928</v>
      </c>
      <c r="I150" s="80">
        <v>0</v>
      </c>
      <c r="J150" s="80">
        <v>24366224.183224402</v>
      </c>
      <c r="K150" s="80">
        <v>0</v>
      </c>
      <c r="L150" s="80">
        <v>0</v>
      </c>
      <c r="M150" s="80">
        <v>0</v>
      </c>
      <c r="N150" s="80">
        <v>0</v>
      </c>
      <c r="O150" s="80">
        <v>0</v>
      </c>
      <c r="P150" s="80">
        <v>874166.37013124768</v>
      </c>
      <c r="Q150" s="80">
        <v>0</v>
      </c>
      <c r="R150" s="80">
        <v>1866595.4663752948</v>
      </c>
      <c r="S150" s="80">
        <v>0</v>
      </c>
      <c r="T150" s="80">
        <v>0</v>
      </c>
      <c r="U150" s="80">
        <v>0</v>
      </c>
      <c r="V150" s="80">
        <v>123467.386029655</v>
      </c>
      <c r="W150" s="80">
        <v>0</v>
      </c>
      <c r="X150" s="80">
        <v>0</v>
      </c>
      <c r="Y150" s="80">
        <v>0</v>
      </c>
      <c r="Z150" s="80">
        <v>0</v>
      </c>
      <c r="AA150" s="80">
        <v>59999.999999999985</v>
      </c>
      <c r="AB150" s="80">
        <v>0</v>
      </c>
      <c r="AC150" s="80">
        <v>0</v>
      </c>
      <c r="AD150" s="80">
        <v>0</v>
      </c>
      <c r="AE150" s="80">
        <v>0</v>
      </c>
      <c r="AF150" s="80">
        <v>0</v>
      </c>
      <c r="AG150" s="80">
        <v>0</v>
      </c>
      <c r="AH150" s="80">
        <v>0</v>
      </c>
      <c r="AI150" s="79">
        <v>46230.719988425924</v>
      </c>
    </row>
    <row r="151" spans="1:35" x14ac:dyDescent="0.3">
      <c r="A151" t="s">
        <v>524</v>
      </c>
      <c r="B151">
        <v>142</v>
      </c>
      <c r="C151">
        <v>142</v>
      </c>
      <c r="D151">
        <v>1</v>
      </c>
      <c r="E151" s="80">
        <v>2955588.9035</v>
      </c>
      <c r="F151" s="80">
        <v>2955588.9030567934</v>
      </c>
      <c r="G151" s="80">
        <v>2955588.9030567934</v>
      </c>
      <c r="H151" s="80">
        <v>116055.21991500849</v>
      </c>
      <c r="I151" s="80">
        <v>0</v>
      </c>
      <c r="J151" s="80">
        <v>0</v>
      </c>
      <c r="K151" s="80">
        <v>18180.42930321888</v>
      </c>
      <c r="L151" s="80">
        <v>2821353.2538385666</v>
      </c>
      <c r="M151" s="80">
        <v>2607414.3002955876</v>
      </c>
      <c r="N151" s="80">
        <v>0</v>
      </c>
      <c r="O151" s="80">
        <v>0</v>
      </c>
      <c r="P151" s="80">
        <v>0</v>
      </c>
      <c r="Q151" s="80">
        <v>0</v>
      </c>
      <c r="R151" s="80">
        <v>0</v>
      </c>
      <c r="S151" s="80">
        <v>0</v>
      </c>
      <c r="T151" s="80">
        <v>0</v>
      </c>
      <c r="U151" s="80">
        <v>0</v>
      </c>
      <c r="V151" s="80">
        <v>0</v>
      </c>
      <c r="W151" s="80">
        <v>0</v>
      </c>
      <c r="X151" s="80">
        <v>0</v>
      </c>
      <c r="Y151" s="80">
        <v>0</v>
      </c>
      <c r="Z151" s="80">
        <v>0</v>
      </c>
      <c r="AA151" s="80">
        <v>0</v>
      </c>
      <c r="AB151" s="80">
        <v>0</v>
      </c>
      <c r="AC151" s="80">
        <v>0</v>
      </c>
      <c r="AD151" s="80">
        <v>0</v>
      </c>
      <c r="AE151" s="80">
        <v>0</v>
      </c>
      <c r="AF151" s="80">
        <v>0</v>
      </c>
      <c r="AG151" s="80">
        <v>0</v>
      </c>
      <c r="AH151" s="80">
        <v>0</v>
      </c>
      <c r="AI151" s="79">
        <v>46230.720023148147</v>
      </c>
    </row>
    <row r="152" spans="1:35" x14ac:dyDescent="0.3">
      <c r="A152" t="s">
        <v>557</v>
      </c>
      <c r="B152">
        <v>143</v>
      </c>
      <c r="C152">
        <v>143</v>
      </c>
      <c r="D152">
        <v>1</v>
      </c>
      <c r="E152" s="80">
        <v>2681419.1549999998</v>
      </c>
      <c r="F152" s="80">
        <v>2681419.1488353056</v>
      </c>
      <c r="G152" s="80">
        <v>2680615.2393504721</v>
      </c>
      <c r="H152" s="80">
        <v>120109.43029111445</v>
      </c>
      <c r="I152" s="80">
        <v>0</v>
      </c>
      <c r="J152" s="80">
        <v>0</v>
      </c>
      <c r="K152" s="80">
        <v>17964.611185161222</v>
      </c>
      <c r="L152" s="80">
        <v>2542541.1978741987</v>
      </c>
      <c r="M152" s="80">
        <v>2346072.7686818987</v>
      </c>
      <c r="N152" s="80">
        <v>0</v>
      </c>
      <c r="O152" s="80">
        <v>0</v>
      </c>
      <c r="P152" s="80">
        <v>0</v>
      </c>
      <c r="Q152" s="80">
        <v>0</v>
      </c>
      <c r="R152" s="80">
        <v>0</v>
      </c>
      <c r="S152" s="80">
        <v>0</v>
      </c>
      <c r="T152" s="80">
        <v>0</v>
      </c>
      <c r="U152" s="80">
        <v>0</v>
      </c>
      <c r="V152" s="80">
        <v>670.97067026613377</v>
      </c>
      <c r="W152" s="80">
        <v>0</v>
      </c>
      <c r="X152" s="80">
        <v>0</v>
      </c>
      <c r="Y152" s="80">
        <v>0</v>
      </c>
      <c r="Z152" s="80">
        <v>0</v>
      </c>
      <c r="AA152" s="80">
        <v>132.93881456724725</v>
      </c>
      <c r="AB152" s="80">
        <v>0</v>
      </c>
      <c r="AC152" s="80">
        <v>0</v>
      </c>
      <c r="AD152" s="80">
        <v>0</v>
      </c>
      <c r="AE152" s="80">
        <v>0</v>
      </c>
      <c r="AF152" s="80">
        <v>0</v>
      </c>
      <c r="AG152" s="80">
        <v>0</v>
      </c>
      <c r="AH152" s="80">
        <v>0</v>
      </c>
      <c r="AI152" s="79">
        <v>46230.720081018517</v>
      </c>
    </row>
    <row r="153" spans="1:35" x14ac:dyDescent="0.3">
      <c r="A153" t="s">
        <v>764</v>
      </c>
      <c r="B153">
        <v>144</v>
      </c>
      <c r="C153">
        <v>144</v>
      </c>
      <c r="D153">
        <v>1</v>
      </c>
      <c r="E153" s="80">
        <v>1465567.656</v>
      </c>
      <c r="F153" s="80">
        <v>1465567.658359796</v>
      </c>
      <c r="G153" s="80">
        <v>1465567.658359796</v>
      </c>
      <c r="H153" s="80">
        <v>1465567.658359796</v>
      </c>
      <c r="I153" s="80">
        <v>0</v>
      </c>
      <c r="J153" s="80">
        <v>0</v>
      </c>
      <c r="K153" s="80">
        <v>0</v>
      </c>
      <c r="L153" s="80">
        <v>0</v>
      </c>
      <c r="M153" s="80">
        <v>0</v>
      </c>
      <c r="N153" s="80">
        <v>0</v>
      </c>
      <c r="O153" s="80">
        <v>0</v>
      </c>
      <c r="P153" s="80">
        <v>0</v>
      </c>
      <c r="Q153" s="80">
        <v>0</v>
      </c>
      <c r="R153" s="80">
        <v>0</v>
      </c>
      <c r="S153" s="80">
        <v>0</v>
      </c>
      <c r="T153" s="80">
        <v>0</v>
      </c>
      <c r="U153" s="80">
        <v>0</v>
      </c>
      <c r="V153" s="80">
        <v>0</v>
      </c>
      <c r="W153" s="80">
        <v>0</v>
      </c>
      <c r="X153" s="80">
        <v>0</v>
      </c>
      <c r="Y153" s="80">
        <v>0</v>
      </c>
      <c r="Z153" s="80">
        <v>0</v>
      </c>
      <c r="AA153" s="80">
        <v>0</v>
      </c>
      <c r="AB153" s="80">
        <v>0</v>
      </c>
      <c r="AC153" s="80">
        <v>0</v>
      </c>
      <c r="AD153" s="80">
        <v>0</v>
      </c>
      <c r="AE153" s="80">
        <v>0</v>
      </c>
      <c r="AF153" s="80">
        <v>0</v>
      </c>
      <c r="AG153" s="80">
        <v>0</v>
      </c>
      <c r="AH153" s="80">
        <v>0</v>
      </c>
      <c r="AI153" s="79">
        <v>46230.720127314817</v>
      </c>
    </row>
    <row r="154" spans="1:35" x14ac:dyDescent="0.3">
      <c r="A154" t="s">
        <v>765</v>
      </c>
      <c r="B154">
        <v>145</v>
      </c>
      <c r="C154">
        <v>145</v>
      </c>
      <c r="D154">
        <v>1</v>
      </c>
      <c r="E154" s="80">
        <v>1735717.6181000001</v>
      </c>
      <c r="F154" s="80">
        <v>1735717.6179075169</v>
      </c>
      <c r="G154" s="80">
        <v>1735717.6179075169</v>
      </c>
      <c r="H154" s="80">
        <v>1735717.6179075169</v>
      </c>
      <c r="I154" s="80">
        <v>0</v>
      </c>
      <c r="J154" s="80">
        <v>0</v>
      </c>
      <c r="K154" s="80">
        <v>0</v>
      </c>
      <c r="L154" s="80">
        <v>0</v>
      </c>
      <c r="M154" s="80">
        <v>0</v>
      </c>
      <c r="N154" s="80">
        <v>0</v>
      </c>
      <c r="O154" s="80">
        <v>0</v>
      </c>
      <c r="P154" s="80">
        <v>0</v>
      </c>
      <c r="Q154" s="80">
        <v>0</v>
      </c>
      <c r="R154" s="80">
        <v>0</v>
      </c>
      <c r="S154" s="80">
        <v>0</v>
      </c>
      <c r="T154" s="80">
        <v>0</v>
      </c>
      <c r="U154" s="80">
        <v>0</v>
      </c>
      <c r="V154" s="80">
        <v>0</v>
      </c>
      <c r="W154" s="80">
        <v>0</v>
      </c>
      <c r="X154" s="80">
        <v>0</v>
      </c>
      <c r="Y154" s="80">
        <v>0</v>
      </c>
      <c r="Z154" s="80">
        <v>0</v>
      </c>
      <c r="AA154" s="80">
        <v>0</v>
      </c>
      <c r="AB154" s="80">
        <v>0</v>
      </c>
      <c r="AC154" s="80">
        <v>0</v>
      </c>
      <c r="AD154" s="80">
        <v>0</v>
      </c>
      <c r="AE154" s="80">
        <v>0</v>
      </c>
      <c r="AF154" s="80">
        <v>0</v>
      </c>
      <c r="AG154" s="80">
        <v>0</v>
      </c>
      <c r="AH154" s="80">
        <v>0</v>
      </c>
      <c r="AI154" s="79">
        <v>46230.720185185186</v>
      </c>
    </row>
    <row r="155" spans="1:35" x14ac:dyDescent="0.3">
      <c r="A155" t="s">
        <v>515</v>
      </c>
      <c r="B155">
        <v>146</v>
      </c>
      <c r="C155">
        <v>146</v>
      </c>
      <c r="D155">
        <v>1</v>
      </c>
      <c r="E155" s="80">
        <v>3634375.3572999998</v>
      </c>
      <c r="F155" s="80">
        <v>3634375.3572914675</v>
      </c>
      <c r="G155" s="80">
        <v>3634375.3572914675</v>
      </c>
      <c r="H155" s="80">
        <v>3634375.3572914675</v>
      </c>
      <c r="I155" s="80">
        <v>0</v>
      </c>
      <c r="J155" s="80">
        <v>0</v>
      </c>
      <c r="K155" s="80">
        <v>0</v>
      </c>
      <c r="L155" s="80">
        <v>0</v>
      </c>
      <c r="M155" s="80">
        <v>0</v>
      </c>
      <c r="N155" s="80">
        <v>0</v>
      </c>
      <c r="O155" s="80">
        <v>0</v>
      </c>
      <c r="P155" s="80">
        <v>0</v>
      </c>
      <c r="Q155" s="80">
        <v>0</v>
      </c>
      <c r="R155" s="80">
        <v>0</v>
      </c>
      <c r="S155" s="80">
        <v>0</v>
      </c>
      <c r="T155" s="80">
        <v>0</v>
      </c>
      <c r="U155" s="80">
        <v>0</v>
      </c>
      <c r="V155" s="80">
        <v>0</v>
      </c>
      <c r="W155" s="80">
        <v>0</v>
      </c>
      <c r="X155" s="80">
        <v>0</v>
      </c>
      <c r="Y155" s="80">
        <v>0</v>
      </c>
      <c r="Z155" s="80">
        <v>0</v>
      </c>
      <c r="AA155" s="80">
        <v>0</v>
      </c>
      <c r="AB155" s="80">
        <v>0</v>
      </c>
      <c r="AC155" s="80">
        <v>0</v>
      </c>
      <c r="AD155" s="80">
        <v>0</v>
      </c>
      <c r="AE155" s="80">
        <v>0</v>
      </c>
      <c r="AF155" s="80">
        <v>0</v>
      </c>
      <c r="AG155" s="80">
        <v>0</v>
      </c>
      <c r="AH155" s="80">
        <v>0</v>
      </c>
      <c r="AI155" s="79">
        <v>46230.720243055555</v>
      </c>
    </row>
    <row r="156" spans="1:35" x14ac:dyDescent="0.3">
      <c r="A156" t="s">
        <v>535</v>
      </c>
      <c r="B156">
        <v>147</v>
      </c>
      <c r="C156">
        <v>147</v>
      </c>
      <c r="D156">
        <v>1</v>
      </c>
      <c r="E156" s="80">
        <v>2092387.5911999999</v>
      </c>
      <c r="F156" s="80">
        <v>2092387.5911506549</v>
      </c>
      <c r="G156" s="80">
        <v>2092387.5911506549</v>
      </c>
      <c r="H156" s="80">
        <v>2092387.5911506549</v>
      </c>
      <c r="I156" s="80">
        <v>0</v>
      </c>
      <c r="J156" s="80">
        <v>0</v>
      </c>
      <c r="K156" s="80">
        <v>0</v>
      </c>
      <c r="L156" s="80">
        <v>0</v>
      </c>
      <c r="M156" s="80">
        <v>0</v>
      </c>
      <c r="N156" s="80">
        <v>0</v>
      </c>
      <c r="O156" s="80">
        <v>0</v>
      </c>
      <c r="P156" s="80">
        <v>0</v>
      </c>
      <c r="Q156" s="80">
        <v>0</v>
      </c>
      <c r="R156" s="80">
        <v>0</v>
      </c>
      <c r="S156" s="80">
        <v>0</v>
      </c>
      <c r="T156" s="80">
        <v>0</v>
      </c>
      <c r="U156" s="80">
        <v>0</v>
      </c>
      <c r="V156" s="80">
        <v>0</v>
      </c>
      <c r="W156" s="80">
        <v>0</v>
      </c>
      <c r="X156" s="80">
        <v>0</v>
      </c>
      <c r="Y156" s="80">
        <v>0</v>
      </c>
      <c r="Z156" s="80">
        <v>0</v>
      </c>
      <c r="AA156" s="80">
        <v>0</v>
      </c>
      <c r="AB156" s="80">
        <v>0</v>
      </c>
      <c r="AC156" s="80">
        <v>0</v>
      </c>
      <c r="AD156" s="80">
        <v>0</v>
      </c>
      <c r="AE156" s="80">
        <v>0</v>
      </c>
      <c r="AF156" s="80">
        <v>0</v>
      </c>
      <c r="AG156" s="80">
        <v>0</v>
      </c>
      <c r="AH156" s="80">
        <v>0</v>
      </c>
      <c r="AI156" s="79">
        <v>46230.720300925925</v>
      </c>
    </row>
    <row r="157" spans="1:35" x14ac:dyDescent="0.3">
      <c r="A157" t="s">
        <v>766</v>
      </c>
      <c r="B157">
        <v>148</v>
      </c>
      <c r="C157">
        <v>148</v>
      </c>
      <c r="D157">
        <v>1</v>
      </c>
      <c r="E157" s="80">
        <v>2703511.4026000001</v>
      </c>
      <c r="F157" s="80">
        <v>2703511.4024352715</v>
      </c>
      <c r="G157" s="80">
        <v>2703511.4024352715</v>
      </c>
      <c r="H157" s="80">
        <v>2702107.0645293542</v>
      </c>
      <c r="I157" s="80">
        <v>0</v>
      </c>
      <c r="J157" s="80">
        <v>1404.3379059171318</v>
      </c>
      <c r="K157" s="80">
        <v>0</v>
      </c>
      <c r="L157" s="80">
        <v>0</v>
      </c>
      <c r="M157" s="80">
        <v>0</v>
      </c>
      <c r="N157" s="80">
        <v>0</v>
      </c>
      <c r="O157" s="80">
        <v>0</v>
      </c>
      <c r="P157" s="80">
        <v>0</v>
      </c>
      <c r="Q157" s="80">
        <v>0</v>
      </c>
      <c r="R157" s="80">
        <v>0</v>
      </c>
      <c r="S157" s="80">
        <v>0</v>
      </c>
      <c r="T157" s="80">
        <v>0</v>
      </c>
      <c r="U157" s="80">
        <v>0</v>
      </c>
      <c r="V157" s="80">
        <v>0</v>
      </c>
      <c r="W157" s="80">
        <v>0</v>
      </c>
      <c r="X157" s="80">
        <v>0</v>
      </c>
      <c r="Y157" s="80">
        <v>0</v>
      </c>
      <c r="Z157" s="80">
        <v>0</v>
      </c>
      <c r="AA157" s="80">
        <v>0</v>
      </c>
      <c r="AB157" s="80">
        <v>0</v>
      </c>
      <c r="AC157" s="80">
        <v>0</v>
      </c>
      <c r="AD157" s="80">
        <v>0</v>
      </c>
      <c r="AE157" s="80">
        <v>0</v>
      </c>
      <c r="AF157" s="80">
        <v>0</v>
      </c>
      <c r="AG157" s="80">
        <v>0</v>
      </c>
      <c r="AH157" s="80">
        <v>0</v>
      </c>
      <c r="AI157" s="79">
        <v>46230.720370370371</v>
      </c>
    </row>
    <row r="158" spans="1:35" x14ac:dyDescent="0.3">
      <c r="A158" t="s">
        <v>767</v>
      </c>
      <c r="B158">
        <v>149</v>
      </c>
      <c r="C158">
        <v>149</v>
      </c>
      <c r="D158">
        <v>1</v>
      </c>
      <c r="E158" s="80">
        <v>592510.33979999996</v>
      </c>
      <c r="F158" s="80">
        <v>592510.33974089485</v>
      </c>
      <c r="G158" s="80">
        <v>0</v>
      </c>
      <c r="H158" s="80">
        <v>0</v>
      </c>
      <c r="I158" s="80">
        <v>0</v>
      </c>
      <c r="J158" s="80">
        <v>0</v>
      </c>
      <c r="K158" s="80">
        <v>0</v>
      </c>
      <c r="L158" s="80">
        <v>0</v>
      </c>
      <c r="M158" s="80">
        <v>0</v>
      </c>
      <c r="N158" s="80">
        <v>0</v>
      </c>
      <c r="O158" s="80">
        <v>0</v>
      </c>
      <c r="P158" s="80">
        <v>0</v>
      </c>
      <c r="Q158" s="80">
        <v>0</v>
      </c>
      <c r="R158" s="80">
        <v>0</v>
      </c>
      <c r="S158" s="80">
        <v>0</v>
      </c>
      <c r="T158" s="80">
        <v>0</v>
      </c>
      <c r="U158" s="80">
        <v>0</v>
      </c>
      <c r="V158" s="80">
        <v>0</v>
      </c>
      <c r="W158" s="80">
        <v>592510.33974089485</v>
      </c>
      <c r="X158" s="80">
        <v>0</v>
      </c>
      <c r="Y158" s="80">
        <v>0</v>
      </c>
      <c r="Z158" s="80">
        <v>0</v>
      </c>
      <c r="AA158" s="80">
        <v>0</v>
      </c>
      <c r="AB158" s="80">
        <v>0</v>
      </c>
      <c r="AC158" s="80">
        <v>0</v>
      </c>
      <c r="AD158" s="80">
        <v>0</v>
      </c>
      <c r="AE158" s="80">
        <v>0</v>
      </c>
      <c r="AF158" s="80">
        <v>0</v>
      </c>
      <c r="AG158" s="80">
        <v>0</v>
      </c>
      <c r="AH158" s="80">
        <v>0</v>
      </c>
      <c r="AI158" s="79">
        <v>46230.72042824074</v>
      </c>
    </row>
    <row r="159" spans="1:35" x14ac:dyDescent="0.3">
      <c r="A159" t="s">
        <v>537</v>
      </c>
      <c r="B159">
        <v>150</v>
      </c>
      <c r="C159">
        <v>150</v>
      </c>
      <c r="D159">
        <v>1</v>
      </c>
      <c r="E159" s="80">
        <v>2309835.8533000001</v>
      </c>
      <c r="F159" s="80">
        <v>2309835.8532599979</v>
      </c>
      <c r="G159" s="80">
        <v>0</v>
      </c>
      <c r="H159" s="80">
        <v>0</v>
      </c>
      <c r="I159" s="80">
        <v>0</v>
      </c>
      <c r="J159" s="80">
        <v>0</v>
      </c>
      <c r="K159" s="80">
        <v>0</v>
      </c>
      <c r="L159" s="80">
        <v>0</v>
      </c>
      <c r="M159" s="80">
        <v>0</v>
      </c>
      <c r="N159" s="80">
        <v>0</v>
      </c>
      <c r="O159" s="80">
        <v>0</v>
      </c>
      <c r="P159" s="80">
        <v>0</v>
      </c>
      <c r="Q159" s="80">
        <v>0</v>
      </c>
      <c r="R159" s="80">
        <v>0</v>
      </c>
      <c r="S159" s="80">
        <v>0</v>
      </c>
      <c r="T159" s="80">
        <v>0</v>
      </c>
      <c r="U159" s="80">
        <v>0</v>
      </c>
      <c r="V159" s="80">
        <v>0</v>
      </c>
      <c r="W159" s="80">
        <v>2309835.8532599979</v>
      </c>
      <c r="X159" s="80">
        <v>0</v>
      </c>
      <c r="Y159" s="80">
        <v>0</v>
      </c>
      <c r="Z159" s="80">
        <v>0</v>
      </c>
      <c r="AA159" s="80">
        <v>0</v>
      </c>
      <c r="AB159" s="80">
        <v>0</v>
      </c>
      <c r="AC159" s="80">
        <v>0</v>
      </c>
      <c r="AD159" s="80">
        <v>0</v>
      </c>
      <c r="AE159" s="80">
        <v>0</v>
      </c>
      <c r="AF159" s="80">
        <v>0</v>
      </c>
      <c r="AG159" s="80">
        <v>0</v>
      </c>
      <c r="AH159" s="80">
        <v>0</v>
      </c>
      <c r="AI159" s="79">
        <v>46230.720486111109</v>
      </c>
    </row>
    <row r="160" spans="1:35" x14ac:dyDescent="0.3">
      <c r="A160" t="s">
        <v>505</v>
      </c>
      <c r="B160">
        <v>151</v>
      </c>
      <c r="C160">
        <v>151</v>
      </c>
      <c r="D160">
        <v>1</v>
      </c>
      <c r="E160" s="80">
        <v>1182903.2023</v>
      </c>
      <c r="F160" s="80">
        <v>1182903.2023744159</v>
      </c>
      <c r="G160" s="80">
        <v>0</v>
      </c>
      <c r="H160" s="80">
        <v>0</v>
      </c>
      <c r="I160" s="80">
        <v>0</v>
      </c>
      <c r="J160" s="80">
        <v>0</v>
      </c>
      <c r="K160" s="80">
        <v>0</v>
      </c>
      <c r="L160" s="80">
        <v>0</v>
      </c>
      <c r="M160" s="80">
        <v>0</v>
      </c>
      <c r="N160" s="80">
        <v>0</v>
      </c>
      <c r="O160" s="80">
        <v>0</v>
      </c>
      <c r="P160" s="80">
        <v>0</v>
      </c>
      <c r="Q160" s="80">
        <v>0</v>
      </c>
      <c r="R160" s="80">
        <v>0</v>
      </c>
      <c r="S160" s="80">
        <v>0</v>
      </c>
      <c r="T160" s="80">
        <v>0</v>
      </c>
      <c r="U160" s="80">
        <v>0</v>
      </c>
      <c r="V160" s="80">
        <v>0</v>
      </c>
      <c r="W160" s="80">
        <v>1182903.2023744159</v>
      </c>
      <c r="X160" s="80">
        <v>0</v>
      </c>
      <c r="Y160" s="80">
        <v>0</v>
      </c>
      <c r="Z160" s="80">
        <v>0</v>
      </c>
      <c r="AA160" s="80">
        <v>0</v>
      </c>
      <c r="AB160" s="80">
        <v>0</v>
      </c>
      <c r="AC160" s="80">
        <v>0</v>
      </c>
      <c r="AD160" s="80">
        <v>0</v>
      </c>
      <c r="AE160" s="80">
        <v>0</v>
      </c>
      <c r="AF160" s="80">
        <v>0</v>
      </c>
      <c r="AG160" s="80">
        <v>0</v>
      </c>
      <c r="AH160" s="80">
        <v>0</v>
      </c>
      <c r="AI160" s="79">
        <v>46230.720532407409</v>
      </c>
    </row>
    <row r="161" spans="1:35" x14ac:dyDescent="0.3">
      <c r="A161" t="s">
        <v>768</v>
      </c>
      <c r="B161">
        <v>152</v>
      </c>
      <c r="C161">
        <v>152</v>
      </c>
      <c r="D161">
        <v>1</v>
      </c>
      <c r="E161" s="80">
        <v>734927.08530000004</v>
      </c>
      <c r="F161" s="80">
        <v>734927.08527041157</v>
      </c>
      <c r="G161" s="80">
        <v>0</v>
      </c>
      <c r="H161" s="80">
        <v>0</v>
      </c>
      <c r="I161" s="80">
        <v>0</v>
      </c>
      <c r="J161" s="80">
        <v>0</v>
      </c>
      <c r="K161" s="80">
        <v>0</v>
      </c>
      <c r="L161" s="80">
        <v>0</v>
      </c>
      <c r="M161" s="80">
        <v>0</v>
      </c>
      <c r="N161" s="80">
        <v>0</v>
      </c>
      <c r="O161" s="80">
        <v>0</v>
      </c>
      <c r="P161" s="80">
        <v>0</v>
      </c>
      <c r="Q161" s="80">
        <v>0</v>
      </c>
      <c r="R161" s="80">
        <v>0</v>
      </c>
      <c r="S161" s="80">
        <v>0</v>
      </c>
      <c r="T161" s="80">
        <v>0</v>
      </c>
      <c r="U161" s="80">
        <v>0</v>
      </c>
      <c r="V161" s="80">
        <v>0</v>
      </c>
      <c r="W161" s="80">
        <v>734927.08527041157</v>
      </c>
      <c r="X161" s="80">
        <v>0</v>
      </c>
      <c r="Y161" s="80">
        <v>0</v>
      </c>
      <c r="Z161" s="80">
        <v>0</v>
      </c>
      <c r="AA161" s="80">
        <v>0</v>
      </c>
      <c r="AB161" s="80">
        <v>0</v>
      </c>
      <c r="AC161" s="80">
        <v>0</v>
      </c>
      <c r="AD161" s="80">
        <v>0</v>
      </c>
      <c r="AE161" s="80">
        <v>0</v>
      </c>
      <c r="AF161" s="80">
        <v>0</v>
      </c>
      <c r="AG161" s="80">
        <v>0</v>
      </c>
      <c r="AH161" s="80">
        <v>0</v>
      </c>
      <c r="AI161" s="79">
        <v>46230.720578703702</v>
      </c>
    </row>
    <row r="162" spans="1:35" x14ac:dyDescent="0.3">
      <c r="A162" t="s">
        <v>564</v>
      </c>
      <c r="B162">
        <v>153</v>
      </c>
      <c r="C162">
        <v>153</v>
      </c>
      <c r="D162">
        <v>1</v>
      </c>
      <c r="E162" s="80">
        <v>4014683.1589000002</v>
      </c>
      <c r="F162" s="80">
        <v>4014683.159001457</v>
      </c>
      <c r="G162" s="80">
        <v>0</v>
      </c>
      <c r="H162" s="80">
        <v>0</v>
      </c>
      <c r="I162" s="80">
        <v>0</v>
      </c>
      <c r="J162" s="80">
        <v>0</v>
      </c>
      <c r="K162" s="80">
        <v>0</v>
      </c>
      <c r="L162" s="80">
        <v>0</v>
      </c>
      <c r="M162" s="80">
        <v>0</v>
      </c>
      <c r="N162" s="80">
        <v>0</v>
      </c>
      <c r="O162" s="80">
        <v>0</v>
      </c>
      <c r="P162" s="80">
        <v>0</v>
      </c>
      <c r="Q162" s="80">
        <v>0</v>
      </c>
      <c r="R162" s="80">
        <v>0</v>
      </c>
      <c r="S162" s="80">
        <v>0</v>
      </c>
      <c r="T162" s="80">
        <v>0</v>
      </c>
      <c r="U162" s="80">
        <v>0</v>
      </c>
      <c r="V162" s="80">
        <v>0</v>
      </c>
      <c r="W162" s="80">
        <v>4014683.159001457</v>
      </c>
      <c r="X162" s="80">
        <v>0</v>
      </c>
      <c r="Y162" s="80">
        <v>0</v>
      </c>
      <c r="Z162" s="80">
        <v>0</v>
      </c>
      <c r="AA162" s="80">
        <v>0</v>
      </c>
      <c r="AB162" s="80">
        <v>0</v>
      </c>
      <c r="AC162" s="80">
        <v>0</v>
      </c>
      <c r="AD162" s="80">
        <v>0</v>
      </c>
      <c r="AE162" s="80">
        <v>0</v>
      </c>
      <c r="AF162" s="80">
        <v>0</v>
      </c>
      <c r="AG162" s="80">
        <v>0</v>
      </c>
      <c r="AH162" s="80">
        <v>0</v>
      </c>
      <c r="AI162" s="79">
        <v>46230.720625000002</v>
      </c>
    </row>
    <row r="163" spans="1:35" x14ac:dyDescent="0.3">
      <c r="A163" t="s">
        <v>565</v>
      </c>
      <c r="B163">
        <v>154</v>
      </c>
      <c r="C163">
        <v>154</v>
      </c>
      <c r="D163">
        <v>1</v>
      </c>
      <c r="E163" s="80">
        <v>2778589.1804</v>
      </c>
      <c r="F163" s="80">
        <v>2778589.1805980788</v>
      </c>
      <c r="G163" s="80">
        <v>0</v>
      </c>
      <c r="H163" s="80">
        <v>0</v>
      </c>
      <c r="I163" s="80">
        <v>0</v>
      </c>
      <c r="J163" s="80">
        <v>0</v>
      </c>
      <c r="K163" s="80">
        <v>0</v>
      </c>
      <c r="L163" s="80">
        <v>0</v>
      </c>
      <c r="M163" s="80">
        <v>0</v>
      </c>
      <c r="N163" s="80">
        <v>0</v>
      </c>
      <c r="O163" s="80">
        <v>0</v>
      </c>
      <c r="P163" s="80">
        <v>0</v>
      </c>
      <c r="Q163" s="80">
        <v>0</v>
      </c>
      <c r="R163" s="80">
        <v>0</v>
      </c>
      <c r="S163" s="80">
        <v>0</v>
      </c>
      <c r="T163" s="80">
        <v>0</v>
      </c>
      <c r="U163" s="80">
        <v>0</v>
      </c>
      <c r="V163" s="80">
        <v>0</v>
      </c>
      <c r="W163" s="80">
        <v>2778589.1805980788</v>
      </c>
      <c r="X163" s="80">
        <v>0</v>
      </c>
      <c r="Y163" s="80">
        <v>0</v>
      </c>
      <c r="Z163" s="80">
        <v>0</v>
      </c>
      <c r="AA163" s="80">
        <v>0</v>
      </c>
      <c r="AB163" s="80">
        <v>0</v>
      </c>
      <c r="AC163" s="80">
        <v>0</v>
      </c>
      <c r="AD163" s="80">
        <v>0</v>
      </c>
      <c r="AE163" s="80">
        <v>0</v>
      </c>
      <c r="AF163" s="80">
        <v>0</v>
      </c>
      <c r="AG163" s="80">
        <v>0</v>
      </c>
      <c r="AH163" s="80">
        <v>0</v>
      </c>
      <c r="AI163" s="79">
        <v>46230.720671296294</v>
      </c>
    </row>
    <row r="164" spans="1:35" x14ac:dyDescent="0.3">
      <c r="A164" t="s">
        <v>769</v>
      </c>
      <c r="B164">
        <v>155</v>
      </c>
      <c r="C164">
        <v>155</v>
      </c>
      <c r="D164">
        <v>1</v>
      </c>
      <c r="E164" s="80">
        <v>5881965.4759</v>
      </c>
      <c r="F164" s="80">
        <v>5881965.4758987483</v>
      </c>
      <c r="G164" s="80">
        <v>3990365.2103544273</v>
      </c>
      <c r="H164" s="80">
        <v>2658447.8506139093</v>
      </c>
      <c r="I164" s="80">
        <v>0</v>
      </c>
      <c r="J164" s="80">
        <v>165154.21835010996</v>
      </c>
      <c r="K164" s="80">
        <v>413044.2389153348</v>
      </c>
      <c r="L164" s="80">
        <v>85630.183805160763</v>
      </c>
      <c r="M164" s="80">
        <v>71456.059274504689</v>
      </c>
      <c r="N164" s="80">
        <v>0</v>
      </c>
      <c r="O164" s="80">
        <v>0</v>
      </c>
      <c r="P164" s="80">
        <v>564457.07737585017</v>
      </c>
      <c r="Q164" s="80">
        <v>0</v>
      </c>
      <c r="R164" s="80">
        <v>103631.64129406134</v>
      </c>
      <c r="S164" s="80">
        <v>1116440.373111214</v>
      </c>
      <c r="T164" s="80">
        <v>430402.28649735299</v>
      </c>
      <c r="U164" s="80">
        <v>0</v>
      </c>
      <c r="V164" s="80">
        <v>92018.002155663271</v>
      </c>
      <c r="W164" s="80">
        <v>0</v>
      </c>
      <c r="X164" s="80">
        <v>250785.74403939047</v>
      </c>
      <c r="Y164" s="80">
        <v>0</v>
      </c>
      <c r="Z164" s="80">
        <v>0</v>
      </c>
      <c r="AA164" s="80">
        <v>1953.8597407011691</v>
      </c>
      <c r="AB164" s="80">
        <v>0</v>
      </c>
      <c r="AC164" s="80">
        <v>0</v>
      </c>
      <c r="AD164" s="80">
        <v>0</v>
      </c>
      <c r="AE164" s="80">
        <v>0</v>
      </c>
      <c r="AF164" s="80">
        <v>0</v>
      </c>
      <c r="AG164" s="80">
        <v>0</v>
      </c>
      <c r="AH164" s="80">
        <v>0</v>
      </c>
      <c r="AI164" s="79">
        <v>46230.720717592594</v>
      </c>
    </row>
    <row r="165" spans="1:35" x14ac:dyDescent="0.3">
      <c r="A165" t="s">
        <v>770</v>
      </c>
      <c r="B165">
        <v>156</v>
      </c>
      <c r="C165">
        <v>156</v>
      </c>
      <c r="D165">
        <v>1</v>
      </c>
      <c r="E165" s="80">
        <v>2161106.9841999998</v>
      </c>
      <c r="F165" s="80">
        <v>2161106.9900124045</v>
      </c>
      <c r="G165" s="80">
        <v>0</v>
      </c>
      <c r="H165" s="80">
        <v>0</v>
      </c>
      <c r="I165" s="80">
        <v>2069004.7046071654</v>
      </c>
      <c r="J165" s="80">
        <v>0</v>
      </c>
      <c r="K165" s="80">
        <v>0</v>
      </c>
      <c r="L165" s="80">
        <v>0</v>
      </c>
      <c r="M165" s="80">
        <v>0</v>
      </c>
      <c r="N165" s="80">
        <v>92102.285405239207</v>
      </c>
      <c r="O165" s="80">
        <v>0</v>
      </c>
      <c r="P165" s="80">
        <v>0</v>
      </c>
      <c r="Q165" s="80">
        <v>0</v>
      </c>
      <c r="R165" s="80">
        <v>0</v>
      </c>
      <c r="S165" s="80">
        <v>0</v>
      </c>
      <c r="T165" s="80">
        <v>0</v>
      </c>
      <c r="U165" s="80">
        <v>0</v>
      </c>
      <c r="V165" s="80">
        <v>0</v>
      </c>
      <c r="W165" s="80">
        <v>0</v>
      </c>
      <c r="X165" s="80">
        <v>0</v>
      </c>
      <c r="Y165" s="80">
        <v>0</v>
      </c>
      <c r="Z165" s="80">
        <v>0</v>
      </c>
      <c r="AA165" s="80">
        <v>0</v>
      </c>
      <c r="AB165" s="80">
        <v>0</v>
      </c>
      <c r="AC165" s="80">
        <v>0</v>
      </c>
      <c r="AD165" s="80">
        <v>0</v>
      </c>
      <c r="AE165" s="80">
        <v>0</v>
      </c>
      <c r="AF165" s="80">
        <v>0</v>
      </c>
      <c r="AG165" s="80">
        <v>0</v>
      </c>
      <c r="AH165" s="80">
        <v>0</v>
      </c>
      <c r="AI165" s="79">
        <v>46230.720763888887</v>
      </c>
    </row>
    <row r="166" spans="1:35" x14ac:dyDescent="0.3">
      <c r="A166" t="s">
        <v>771</v>
      </c>
      <c r="B166">
        <v>157</v>
      </c>
      <c r="C166">
        <v>157</v>
      </c>
      <c r="D166">
        <v>1</v>
      </c>
      <c r="E166" s="80">
        <v>3875643.0454000002</v>
      </c>
      <c r="F166" s="80">
        <v>3875643.0255076415</v>
      </c>
      <c r="G166" s="80">
        <v>0</v>
      </c>
      <c r="H166" s="80">
        <v>0</v>
      </c>
      <c r="I166" s="80">
        <v>3875643.0255076415</v>
      </c>
      <c r="J166" s="80">
        <v>0</v>
      </c>
      <c r="K166" s="80">
        <v>0</v>
      </c>
      <c r="L166" s="80">
        <v>0</v>
      </c>
      <c r="M166" s="80">
        <v>0</v>
      </c>
      <c r="N166" s="80">
        <v>0</v>
      </c>
      <c r="O166" s="80">
        <v>0</v>
      </c>
      <c r="P166" s="80">
        <v>0</v>
      </c>
      <c r="Q166" s="80">
        <v>0</v>
      </c>
      <c r="R166" s="80">
        <v>0</v>
      </c>
      <c r="S166" s="80">
        <v>0</v>
      </c>
      <c r="T166" s="80">
        <v>0</v>
      </c>
      <c r="U166" s="80">
        <v>0</v>
      </c>
      <c r="V166" s="80">
        <v>0</v>
      </c>
      <c r="W166" s="80">
        <v>0</v>
      </c>
      <c r="X166" s="80">
        <v>0</v>
      </c>
      <c r="Y166" s="80">
        <v>0</v>
      </c>
      <c r="Z166" s="80">
        <v>0</v>
      </c>
      <c r="AA166" s="80">
        <v>0</v>
      </c>
      <c r="AB166" s="80">
        <v>0</v>
      </c>
      <c r="AC166" s="80">
        <v>0</v>
      </c>
      <c r="AD166" s="80">
        <v>0</v>
      </c>
      <c r="AE166" s="80">
        <v>0</v>
      </c>
      <c r="AF166" s="80">
        <v>0</v>
      </c>
      <c r="AG166" s="80">
        <v>0</v>
      </c>
      <c r="AH166" s="80">
        <v>0</v>
      </c>
      <c r="AI166" s="79">
        <v>46230.720810185187</v>
      </c>
    </row>
    <row r="167" spans="1:35" x14ac:dyDescent="0.3">
      <c r="A167" t="s">
        <v>772</v>
      </c>
      <c r="B167">
        <v>158</v>
      </c>
      <c r="C167">
        <v>158</v>
      </c>
      <c r="D167">
        <v>1</v>
      </c>
      <c r="E167" s="80">
        <v>5402722.9908999996</v>
      </c>
      <c r="F167" s="80">
        <v>5402722.9841755172</v>
      </c>
      <c r="G167" s="80">
        <v>0</v>
      </c>
      <c r="H167" s="80">
        <v>0</v>
      </c>
      <c r="I167" s="80">
        <v>5402722.9841755172</v>
      </c>
      <c r="J167" s="80">
        <v>0</v>
      </c>
      <c r="K167" s="80">
        <v>0</v>
      </c>
      <c r="L167" s="80">
        <v>0</v>
      </c>
      <c r="M167" s="80">
        <v>0</v>
      </c>
      <c r="N167" s="80">
        <v>0</v>
      </c>
      <c r="O167" s="80">
        <v>0</v>
      </c>
      <c r="P167" s="80">
        <v>0</v>
      </c>
      <c r="Q167" s="80">
        <v>0</v>
      </c>
      <c r="R167" s="80">
        <v>0</v>
      </c>
      <c r="S167" s="80">
        <v>0</v>
      </c>
      <c r="T167" s="80">
        <v>0</v>
      </c>
      <c r="U167" s="80">
        <v>0</v>
      </c>
      <c r="V167" s="80">
        <v>0</v>
      </c>
      <c r="W167" s="80">
        <v>0</v>
      </c>
      <c r="X167" s="80">
        <v>0</v>
      </c>
      <c r="Y167" s="80">
        <v>0</v>
      </c>
      <c r="Z167" s="80">
        <v>0</v>
      </c>
      <c r="AA167" s="80">
        <v>0</v>
      </c>
      <c r="AB167" s="80">
        <v>0</v>
      </c>
      <c r="AC167" s="80">
        <v>0</v>
      </c>
      <c r="AD167" s="80">
        <v>0</v>
      </c>
      <c r="AE167" s="80">
        <v>0</v>
      </c>
      <c r="AF167" s="80">
        <v>0</v>
      </c>
      <c r="AG167" s="80">
        <v>0</v>
      </c>
      <c r="AH167" s="80">
        <v>0</v>
      </c>
      <c r="AI167" s="79">
        <v>46230.720856481479</v>
      </c>
    </row>
    <row r="168" spans="1:35" x14ac:dyDescent="0.3">
      <c r="A168" t="s">
        <v>773</v>
      </c>
      <c r="B168">
        <v>159</v>
      </c>
      <c r="C168">
        <v>159</v>
      </c>
      <c r="D168">
        <v>1</v>
      </c>
      <c r="E168" s="80">
        <v>2251379.5784999998</v>
      </c>
      <c r="F168" s="80">
        <v>2251379.5783956293</v>
      </c>
      <c r="G168" s="80">
        <v>0</v>
      </c>
      <c r="H168" s="80">
        <v>0</v>
      </c>
      <c r="I168" s="80">
        <v>2251379.5783956293</v>
      </c>
      <c r="J168" s="80">
        <v>0</v>
      </c>
      <c r="K168" s="80">
        <v>0</v>
      </c>
      <c r="L168" s="80">
        <v>0</v>
      </c>
      <c r="M168" s="80">
        <v>0</v>
      </c>
      <c r="N168" s="80">
        <v>0</v>
      </c>
      <c r="O168" s="80">
        <v>0</v>
      </c>
      <c r="P168" s="80">
        <v>0</v>
      </c>
      <c r="Q168" s="80">
        <v>0</v>
      </c>
      <c r="R168" s="80">
        <v>0</v>
      </c>
      <c r="S168" s="80">
        <v>0</v>
      </c>
      <c r="T168" s="80">
        <v>0</v>
      </c>
      <c r="U168" s="80">
        <v>0</v>
      </c>
      <c r="V168" s="80">
        <v>0</v>
      </c>
      <c r="W168" s="80">
        <v>0</v>
      </c>
      <c r="X168" s="80">
        <v>0</v>
      </c>
      <c r="Y168" s="80">
        <v>0</v>
      </c>
      <c r="Z168" s="80">
        <v>0</v>
      </c>
      <c r="AA168" s="80">
        <v>0</v>
      </c>
      <c r="AB168" s="80">
        <v>0</v>
      </c>
      <c r="AC168" s="80">
        <v>0</v>
      </c>
      <c r="AD168" s="80">
        <v>0</v>
      </c>
      <c r="AE168" s="80">
        <v>0</v>
      </c>
      <c r="AF168" s="80">
        <v>0</v>
      </c>
      <c r="AG168" s="80">
        <v>0</v>
      </c>
      <c r="AH168" s="80">
        <v>0</v>
      </c>
      <c r="AI168" s="79">
        <v>46230.720902777779</v>
      </c>
    </row>
    <row r="169" spans="1:35" x14ac:dyDescent="0.3">
      <c r="A169" t="s">
        <v>774</v>
      </c>
      <c r="B169">
        <v>160</v>
      </c>
      <c r="C169">
        <v>160</v>
      </c>
      <c r="D169">
        <v>1</v>
      </c>
      <c r="E169" s="80">
        <v>5081917.1063000001</v>
      </c>
      <c r="F169" s="80">
        <v>5081917.1091265129</v>
      </c>
      <c r="G169" s="80">
        <v>5057790.7796302773</v>
      </c>
      <c r="H169" s="80">
        <v>27557.532701694894</v>
      </c>
      <c r="I169" s="80">
        <v>0</v>
      </c>
      <c r="J169" s="80">
        <v>0</v>
      </c>
      <c r="K169" s="80">
        <v>5027231.4555107011</v>
      </c>
      <c r="L169" s="80">
        <v>3001.7914178820515</v>
      </c>
      <c r="M169" s="80">
        <v>3001.7914178820515</v>
      </c>
      <c r="N169" s="80">
        <v>23555.577381081755</v>
      </c>
      <c r="O169" s="80">
        <v>23555.577381081755</v>
      </c>
      <c r="P169" s="80">
        <v>0</v>
      </c>
      <c r="Q169" s="80">
        <v>0</v>
      </c>
      <c r="R169" s="80">
        <v>0</v>
      </c>
      <c r="S169" s="80">
        <v>0</v>
      </c>
      <c r="T169" s="80">
        <v>0</v>
      </c>
      <c r="U169" s="80">
        <v>0</v>
      </c>
      <c r="V169" s="80">
        <v>0</v>
      </c>
      <c r="W169" s="80">
        <v>0</v>
      </c>
      <c r="X169" s="80">
        <v>0</v>
      </c>
      <c r="Y169" s="80">
        <v>0</v>
      </c>
      <c r="Z169" s="80">
        <v>0</v>
      </c>
      <c r="AA169" s="80">
        <v>570.75211515486342</v>
      </c>
      <c r="AB169" s="80">
        <v>0</v>
      </c>
      <c r="AC169" s="80">
        <v>0</v>
      </c>
      <c r="AD169" s="80">
        <v>0</v>
      </c>
      <c r="AE169" s="80">
        <v>0</v>
      </c>
      <c r="AF169" s="80">
        <v>0</v>
      </c>
      <c r="AG169" s="80">
        <v>0</v>
      </c>
      <c r="AH169" s="80">
        <v>0</v>
      </c>
      <c r="AI169" s="79">
        <v>46230.720949074072</v>
      </c>
    </row>
    <row r="170" spans="1:35" x14ac:dyDescent="0.3">
      <c r="A170" t="s">
        <v>775</v>
      </c>
      <c r="B170">
        <v>161</v>
      </c>
      <c r="C170">
        <v>161</v>
      </c>
      <c r="D170">
        <v>1</v>
      </c>
      <c r="E170" s="80">
        <v>7023680.0717000002</v>
      </c>
      <c r="F170" s="80">
        <v>7023680.0718957065</v>
      </c>
      <c r="G170" s="80">
        <v>6978957.7795461118</v>
      </c>
      <c r="H170" s="80">
        <v>100000</v>
      </c>
      <c r="I170" s="80">
        <v>0</v>
      </c>
      <c r="J170" s="80">
        <v>0</v>
      </c>
      <c r="K170" s="80">
        <v>6840506.7547170632</v>
      </c>
      <c r="L170" s="80">
        <v>38451.024829049129</v>
      </c>
      <c r="M170" s="80">
        <v>38451.024829049129</v>
      </c>
      <c r="N170" s="80">
        <v>4722.2923495956984</v>
      </c>
      <c r="O170" s="80">
        <v>4722.2923495956984</v>
      </c>
      <c r="P170" s="80">
        <v>0</v>
      </c>
      <c r="Q170" s="80">
        <v>0</v>
      </c>
      <c r="R170" s="80">
        <v>0</v>
      </c>
      <c r="S170" s="80">
        <v>0</v>
      </c>
      <c r="T170" s="80">
        <v>0</v>
      </c>
      <c r="U170" s="80">
        <v>0</v>
      </c>
      <c r="V170" s="80">
        <v>20000</v>
      </c>
      <c r="W170" s="80">
        <v>0</v>
      </c>
      <c r="X170" s="80">
        <v>0</v>
      </c>
      <c r="Y170" s="80">
        <v>0</v>
      </c>
      <c r="Z170" s="80">
        <v>0</v>
      </c>
      <c r="AA170" s="80">
        <v>20000</v>
      </c>
      <c r="AB170" s="80">
        <v>0</v>
      </c>
      <c r="AC170" s="80">
        <v>0</v>
      </c>
      <c r="AD170" s="80">
        <v>0</v>
      </c>
      <c r="AE170" s="80">
        <v>0</v>
      </c>
      <c r="AF170" s="80">
        <v>0</v>
      </c>
      <c r="AG170" s="80">
        <v>0</v>
      </c>
      <c r="AH170" s="80">
        <v>0</v>
      </c>
      <c r="AI170" s="79">
        <v>46230.720995370371</v>
      </c>
    </row>
    <row r="171" spans="1:35" x14ac:dyDescent="0.3">
      <c r="A171" t="s">
        <v>776</v>
      </c>
      <c r="B171">
        <v>162</v>
      </c>
      <c r="C171">
        <v>162</v>
      </c>
      <c r="D171">
        <v>1</v>
      </c>
      <c r="E171" s="80">
        <v>4900798.0595000004</v>
      </c>
      <c r="F171" s="80">
        <v>4900798.059502691</v>
      </c>
      <c r="G171" s="80">
        <v>4820581.6781635024</v>
      </c>
      <c r="H171" s="80">
        <v>64608.779869628765</v>
      </c>
      <c r="I171" s="80">
        <v>0</v>
      </c>
      <c r="J171" s="80">
        <v>0</v>
      </c>
      <c r="K171" s="80">
        <v>4741441.5186413238</v>
      </c>
      <c r="L171" s="80">
        <v>14531.379652549542</v>
      </c>
      <c r="M171" s="80">
        <v>14531.379652549542</v>
      </c>
      <c r="N171" s="80">
        <v>37844.52828512952</v>
      </c>
      <c r="O171" s="80">
        <v>37844.52828512952</v>
      </c>
      <c r="P171" s="80">
        <v>0</v>
      </c>
      <c r="Q171" s="80">
        <v>0</v>
      </c>
      <c r="R171" s="80">
        <v>0</v>
      </c>
      <c r="S171" s="80">
        <v>0</v>
      </c>
      <c r="T171" s="80">
        <v>0</v>
      </c>
      <c r="U171" s="80">
        <v>0</v>
      </c>
      <c r="V171" s="80">
        <v>23141.816178038916</v>
      </c>
      <c r="W171" s="80">
        <v>0</v>
      </c>
      <c r="X171" s="80">
        <v>0</v>
      </c>
      <c r="Y171" s="80">
        <v>0</v>
      </c>
      <c r="Z171" s="80">
        <v>0</v>
      </c>
      <c r="AA171" s="80">
        <v>19230.036876020647</v>
      </c>
      <c r="AB171" s="80">
        <v>0</v>
      </c>
      <c r="AC171" s="80">
        <v>0</v>
      </c>
      <c r="AD171" s="80">
        <v>0</v>
      </c>
      <c r="AE171" s="80">
        <v>0</v>
      </c>
      <c r="AF171" s="80">
        <v>0</v>
      </c>
      <c r="AG171" s="80">
        <v>0</v>
      </c>
      <c r="AH171" s="80">
        <v>0</v>
      </c>
      <c r="AI171" s="79">
        <v>46230.721041666664</v>
      </c>
    </row>
    <row r="172" spans="1:35" x14ac:dyDescent="0.3">
      <c r="A172" t="s">
        <v>777</v>
      </c>
      <c r="B172">
        <v>163</v>
      </c>
      <c r="C172">
        <v>163</v>
      </c>
      <c r="D172">
        <v>1</v>
      </c>
      <c r="E172" s="80">
        <v>10170624.859300001</v>
      </c>
      <c r="F172" s="80">
        <v>10170624.859649384</v>
      </c>
      <c r="G172" s="80">
        <v>7865661.8069329318</v>
      </c>
      <c r="H172" s="80">
        <v>73542.238796741105</v>
      </c>
      <c r="I172" s="80">
        <v>0</v>
      </c>
      <c r="J172" s="80">
        <v>0</v>
      </c>
      <c r="K172" s="80">
        <v>7777024.3795839297</v>
      </c>
      <c r="L172" s="80">
        <v>15095.188552261969</v>
      </c>
      <c r="M172" s="80">
        <v>15095.188552261969</v>
      </c>
      <c r="N172" s="80">
        <v>2259411.5497908834</v>
      </c>
      <c r="O172" s="80">
        <v>2259411.5497908834</v>
      </c>
      <c r="P172" s="80">
        <v>0</v>
      </c>
      <c r="Q172" s="80">
        <v>0</v>
      </c>
      <c r="R172" s="80">
        <v>0</v>
      </c>
      <c r="S172" s="80">
        <v>0</v>
      </c>
      <c r="T172" s="80">
        <v>0</v>
      </c>
      <c r="U172" s="80">
        <v>0</v>
      </c>
      <c r="V172" s="80">
        <v>43115.53327988855</v>
      </c>
      <c r="W172" s="80">
        <v>0</v>
      </c>
      <c r="X172" s="80">
        <v>0</v>
      </c>
      <c r="Y172" s="80">
        <v>0</v>
      </c>
      <c r="Z172" s="80">
        <v>0</v>
      </c>
      <c r="AA172" s="80">
        <v>2435.9696456784122</v>
      </c>
      <c r="AB172" s="80">
        <v>0</v>
      </c>
      <c r="AC172" s="80">
        <v>0</v>
      </c>
      <c r="AD172" s="80">
        <v>0</v>
      </c>
      <c r="AE172" s="80">
        <v>0</v>
      </c>
      <c r="AF172" s="80">
        <v>0</v>
      </c>
      <c r="AG172" s="80">
        <v>0</v>
      </c>
      <c r="AH172" s="80">
        <v>0</v>
      </c>
      <c r="AI172" s="79">
        <v>46230.721087962964</v>
      </c>
    </row>
    <row r="173" spans="1:35" x14ac:dyDescent="0.3">
      <c r="A173" t="s">
        <v>778</v>
      </c>
      <c r="B173">
        <v>164</v>
      </c>
      <c r="C173">
        <v>164</v>
      </c>
      <c r="D173">
        <v>1</v>
      </c>
      <c r="E173" s="80">
        <v>3381077.9794000001</v>
      </c>
      <c r="F173" s="80">
        <v>3381077.9795582811</v>
      </c>
      <c r="G173" s="80">
        <v>3381077.9795582811</v>
      </c>
      <c r="H173" s="80">
        <v>3381077.9795582811</v>
      </c>
      <c r="I173" s="80">
        <v>0</v>
      </c>
      <c r="J173" s="80">
        <v>0</v>
      </c>
      <c r="K173" s="80">
        <v>0</v>
      </c>
      <c r="L173" s="80">
        <v>0</v>
      </c>
      <c r="M173" s="80">
        <v>0</v>
      </c>
      <c r="N173" s="80">
        <v>0</v>
      </c>
      <c r="O173" s="80">
        <v>0</v>
      </c>
      <c r="P173" s="80">
        <v>0</v>
      </c>
      <c r="Q173" s="80">
        <v>0</v>
      </c>
      <c r="R173" s="80">
        <v>0</v>
      </c>
      <c r="S173" s="80">
        <v>0</v>
      </c>
      <c r="T173" s="80">
        <v>0</v>
      </c>
      <c r="U173" s="80">
        <v>0</v>
      </c>
      <c r="V173" s="80">
        <v>0</v>
      </c>
      <c r="W173" s="80">
        <v>0</v>
      </c>
      <c r="X173" s="80">
        <v>0</v>
      </c>
      <c r="Y173" s="80">
        <v>0</v>
      </c>
      <c r="Z173" s="80">
        <v>0</v>
      </c>
      <c r="AA173" s="80">
        <v>0</v>
      </c>
      <c r="AB173" s="80">
        <v>0</v>
      </c>
      <c r="AC173" s="80">
        <v>0</v>
      </c>
      <c r="AD173" s="80">
        <v>0</v>
      </c>
      <c r="AE173" s="80">
        <v>0</v>
      </c>
      <c r="AF173" s="80">
        <v>0</v>
      </c>
      <c r="AG173" s="80">
        <v>0</v>
      </c>
      <c r="AH173" s="80">
        <v>0</v>
      </c>
      <c r="AI173" s="79">
        <v>46230.721145833333</v>
      </c>
    </row>
    <row r="174" spans="1:35" x14ac:dyDescent="0.3">
      <c r="A174" t="s">
        <v>779</v>
      </c>
      <c r="B174">
        <v>165</v>
      </c>
      <c r="C174">
        <v>165</v>
      </c>
      <c r="D174">
        <v>1</v>
      </c>
      <c r="E174" s="80">
        <v>2290647.4487000001</v>
      </c>
      <c r="F174" s="80">
        <v>2290647.4480329831</v>
      </c>
      <c r="G174" s="80">
        <v>2290647.4480329831</v>
      </c>
      <c r="H174" s="80">
        <v>2290647.4480329831</v>
      </c>
      <c r="I174" s="80">
        <v>0</v>
      </c>
      <c r="J174" s="80">
        <v>0</v>
      </c>
      <c r="K174" s="80">
        <v>0</v>
      </c>
      <c r="L174" s="80">
        <v>0</v>
      </c>
      <c r="M174" s="80">
        <v>0</v>
      </c>
      <c r="N174" s="80">
        <v>0</v>
      </c>
      <c r="O174" s="80">
        <v>0</v>
      </c>
      <c r="P174" s="80">
        <v>0</v>
      </c>
      <c r="Q174" s="80">
        <v>0</v>
      </c>
      <c r="R174" s="80">
        <v>0</v>
      </c>
      <c r="S174" s="80">
        <v>0</v>
      </c>
      <c r="T174" s="80">
        <v>0</v>
      </c>
      <c r="U174" s="80">
        <v>0</v>
      </c>
      <c r="V174" s="80">
        <v>0</v>
      </c>
      <c r="W174" s="80">
        <v>0</v>
      </c>
      <c r="X174" s="80">
        <v>0</v>
      </c>
      <c r="Y174" s="80">
        <v>0</v>
      </c>
      <c r="Z174" s="80">
        <v>0</v>
      </c>
      <c r="AA174" s="80">
        <v>0</v>
      </c>
      <c r="AB174" s="80">
        <v>0</v>
      </c>
      <c r="AC174" s="80">
        <v>0</v>
      </c>
      <c r="AD174" s="80">
        <v>0</v>
      </c>
      <c r="AE174" s="80">
        <v>0</v>
      </c>
      <c r="AF174" s="80">
        <v>0</v>
      </c>
      <c r="AG174" s="80">
        <v>0</v>
      </c>
      <c r="AH174" s="80">
        <v>0</v>
      </c>
      <c r="AI174" s="79">
        <v>46230.721192129633</v>
      </c>
    </row>
    <row r="175" spans="1:35" x14ac:dyDescent="0.3">
      <c r="A175" t="s">
        <v>780</v>
      </c>
      <c r="B175">
        <v>166</v>
      </c>
      <c r="C175">
        <v>166</v>
      </c>
      <c r="D175">
        <v>1</v>
      </c>
      <c r="E175" s="80">
        <v>2290647.5957999998</v>
      </c>
      <c r="F175" s="80">
        <v>2290647.5950930254</v>
      </c>
      <c r="G175" s="80">
        <v>2290647.5950930254</v>
      </c>
      <c r="H175" s="80">
        <v>2290647.5950930254</v>
      </c>
      <c r="I175" s="80">
        <v>0</v>
      </c>
      <c r="J175" s="80">
        <v>0</v>
      </c>
      <c r="K175" s="80">
        <v>0</v>
      </c>
      <c r="L175" s="80">
        <v>0</v>
      </c>
      <c r="M175" s="80">
        <v>0</v>
      </c>
      <c r="N175" s="80">
        <v>0</v>
      </c>
      <c r="O175" s="80">
        <v>0</v>
      </c>
      <c r="P175" s="80">
        <v>0</v>
      </c>
      <c r="Q175" s="80">
        <v>0</v>
      </c>
      <c r="R175" s="80">
        <v>0</v>
      </c>
      <c r="S175" s="80">
        <v>0</v>
      </c>
      <c r="T175" s="80">
        <v>0</v>
      </c>
      <c r="U175" s="80">
        <v>0</v>
      </c>
      <c r="V175" s="80">
        <v>0</v>
      </c>
      <c r="W175" s="80">
        <v>0</v>
      </c>
      <c r="X175" s="80">
        <v>0</v>
      </c>
      <c r="Y175" s="80">
        <v>0</v>
      </c>
      <c r="Z175" s="80">
        <v>0</v>
      </c>
      <c r="AA175" s="80">
        <v>0</v>
      </c>
      <c r="AB175" s="80">
        <v>0</v>
      </c>
      <c r="AC175" s="80">
        <v>0</v>
      </c>
      <c r="AD175" s="80">
        <v>0</v>
      </c>
      <c r="AE175" s="80">
        <v>0</v>
      </c>
      <c r="AF175" s="80">
        <v>0</v>
      </c>
      <c r="AG175" s="80">
        <v>0</v>
      </c>
      <c r="AH175" s="80">
        <v>0</v>
      </c>
      <c r="AI175" s="79">
        <v>46230.721250000002</v>
      </c>
    </row>
    <row r="176" spans="1:35" x14ac:dyDescent="0.3">
      <c r="A176" t="s">
        <v>781</v>
      </c>
      <c r="B176">
        <v>167</v>
      </c>
      <c r="C176">
        <v>167</v>
      </c>
      <c r="D176">
        <v>1</v>
      </c>
      <c r="E176" s="80">
        <v>8405484.9702000003</v>
      </c>
      <c r="F176" s="80">
        <v>8405484.970273193</v>
      </c>
      <c r="G176" s="80">
        <v>6534974.6888965918</v>
      </c>
      <c r="H176" s="80">
        <v>1808620.3216751202</v>
      </c>
      <c r="I176" s="80">
        <v>0</v>
      </c>
      <c r="J176" s="80">
        <v>950801.07761783409</v>
      </c>
      <c r="K176" s="80">
        <v>1393358.5857011848</v>
      </c>
      <c r="L176" s="80">
        <v>645735.71880011517</v>
      </c>
      <c r="M176" s="80">
        <v>541070.35241239262</v>
      </c>
      <c r="N176" s="80">
        <v>0</v>
      </c>
      <c r="O176" s="80">
        <v>0</v>
      </c>
      <c r="P176" s="80">
        <v>1347720.0226263637</v>
      </c>
      <c r="Q176" s="80">
        <v>0</v>
      </c>
      <c r="R176" s="80">
        <v>388738.96247597353</v>
      </c>
      <c r="S176" s="80">
        <v>952010.84765610483</v>
      </c>
      <c r="T176" s="80">
        <v>187090.46874264555</v>
      </c>
      <c r="U176" s="80">
        <v>0</v>
      </c>
      <c r="V176" s="80">
        <v>169955.14471730162</v>
      </c>
      <c r="W176" s="80">
        <v>0</v>
      </c>
      <c r="X176" s="80">
        <v>561453.82026055036</v>
      </c>
      <c r="Y176" s="80">
        <v>0</v>
      </c>
      <c r="Z176" s="80">
        <v>0</v>
      </c>
      <c r="AA176" s="80">
        <v>0</v>
      </c>
      <c r="AB176" s="80">
        <v>0</v>
      </c>
      <c r="AC176" s="80">
        <v>0</v>
      </c>
      <c r="AD176" s="80">
        <v>0</v>
      </c>
      <c r="AE176" s="80">
        <v>0</v>
      </c>
      <c r="AF176" s="80">
        <v>0</v>
      </c>
      <c r="AG176" s="80">
        <v>0</v>
      </c>
      <c r="AH176" s="80">
        <v>0</v>
      </c>
      <c r="AI176" s="79">
        <v>46230.721284722225</v>
      </c>
    </row>
    <row r="177" spans="1:35" x14ac:dyDescent="0.3">
      <c r="A177" t="s">
        <v>782</v>
      </c>
      <c r="B177">
        <v>168</v>
      </c>
      <c r="C177">
        <v>168</v>
      </c>
      <c r="D177">
        <v>1</v>
      </c>
      <c r="E177" s="80">
        <v>1961984.9341</v>
      </c>
      <c r="F177" s="80">
        <v>1961984.9336621186</v>
      </c>
      <c r="G177" s="80">
        <v>1961984.9336621186</v>
      </c>
      <c r="H177" s="80">
        <v>35988.158642429138</v>
      </c>
      <c r="I177" s="80">
        <v>0</v>
      </c>
      <c r="J177" s="80">
        <v>0</v>
      </c>
      <c r="K177" s="80">
        <v>892621.41059462354</v>
      </c>
      <c r="L177" s="80">
        <v>1033375.3644250687</v>
      </c>
      <c r="M177" s="80">
        <v>989855.1823103748</v>
      </c>
      <c r="N177" s="80">
        <v>0</v>
      </c>
      <c r="O177" s="80">
        <v>0</v>
      </c>
      <c r="P177" s="80">
        <v>0</v>
      </c>
      <c r="Q177" s="80">
        <v>0</v>
      </c>
      <c r="R177" s="80">
        <v>0</v>
      </c>
      <c r="S177" s="80">
        <v>0</v>
      </c>
      <c r="T177" s="80">
        <v>0</v>
      </c>
      <c r="U177" s="80">
        <v>0</v>
      </c>
      <c r="V177" s="80">
        <v>0</v>
      </c>
      <c r="W177" s="80">
        <v>0</v>
      </c>
      <c r="X177" s="80">
        <v>0</v>
      </c>
      <c r="Y177" s="80">
        <v>0</v>
      </c>
      <c r="Z177" s="80">
        <v>0</v>
      </c>
      <c r="AA177" s="80">
        <v>0</v>
      </c>
      <c r="AB177" s="80">
        <v>0</v>
      </c>
      <c r="AC177" s="80">
        <v>0</v>
      </c>
      <c r="AD177" s="80">
        <v>0</v>
      </c>
      <c r="AE177" s="80">
        <v>0</v>
      </c>
      <c r="AF177" s="80">
        <v>0</v>
      </c>
      <c r="AG177" s="80">
        <v>0</v>
      </c>
      <c r="AH177" s="80">
        <v>0</v>
      </c>
      <c r="AI177" s="79">
        <v>46230.721342592595</v>
      </c>
    </row>
    <row r="178" spans="1:35" x14ac:dyDescent="0.3">
      <c r="A178" t="s">
        <v>783</v>
      </c>
      <c r="B178">
        <v>169</v>
      </c>
      <c r="C178">
        <v>169</v>
      </c>
      <c r="D178">
        <v>1</v>
      </c>
      <c r="E178" s="80">
        <v>854111.01320000004</v>
      </c>
      <c r="F178" s="80">
        <v>854111.00886239239</v>
      </c>
      <c r="G178" s="80">
        <v>854111.00886239239</v>
      </c>
      <c r="H178" s="80">
        <v>854111.00886239239</v>
      </c>
      <c r="I178" s="80">
        <v>0</v>
      </c>
      <c r="J178" s="80">
        <v>0</v>
      </c>
      <c r="K178" s="80">
        <v>0</v>
      </c>
      <c r="L178" s="80">
        <v>0</v>
      </c>
      <c r="M178" s="80">
        <v>0</v>
      </c>
      <c r="N178" s="80">
        <v>0</v>
      </c>
      <c r="O178" s="80">
        <v>0</v>
      </c>
      <c r="P178" s="80">
        <v>0</v>
      </c>
      <c r="Q178" s="80">
        <v>0</v>
      </c>
      <c r="R178" s="80">
        <v>0</v>
      </c>
      <c r="S178" s="80">
        <v>0</v>
      </c>
      <c r="T178" s="80">
        <v>0</v>
      </c>
      <c r="U178" s="80">
        <v>0</v>
      </c>
      <c r="V178" s="80">
        <v>0</v>
      </c>
      <c r="W178" s="80">
        <v>0</v>
      </c>
      <c r="X178" s="80">
        <v>0</v>
      </c>
      <c r="Y178" s="80">
        <v>0</v>
      </c>
      <c r="Z178" s="80">
        <v>0</v>
      </c>
      <c r="AA178" s="80">
        <v>0</v>
      </c>
      <c r="AB178" s="80">
        <v>0</v>
      </c>
      <c r="AC178" s="80">
        <v>0</v>
      </c>
      <c r="AD178" s="80">
        <v>0</v>
      </c>
      <c r="AE178" s="80">
        <v>0</v>
      </c>
      <c r="AF178" s="80">
        <v>0</v>
      </c>
      <c r="AG178" s="80">
        <v>0</v>
      </c>
      <c r="AH178" s="80">
        <v>0</v>
      </c>
      <c r="AI178" s="79">
        <v>46230.721412037034</v>
      </c>
    </row>
    <row r="179" spans="1:35" x14ac:dyDescent="0.3">
      <c r="A179" t="s">
        <v>784</v>
      </c>
      <c r="B179">
        <v>170</v>
      </c>
      <c r="C179">
        <v>170</v>
      </c>
      <c r="D179">
        <v>1</v>
      </c>
      <c r="E179" s="80">
        <v>1125274.1949</v>
      </c>
      <c r="F179" s="80">
        <v>1125274.1920555071</v>
      </c>
      <c r="G179" s="80">
        <v>1125274.1920555071</v>
      </c>
      <c r="H179" s="80">
        <v>1123044.2313951536</v>
      </c>
      <c r="I179" s="80">
        <v>0</v>
      </c>
      <c r="J179" s="80">
        <v>2229.9606603533402</v>
      </c>
      <c r="K179" s="80">
        <v>0</v>
      </c>
      <c r="L179" s="80">
        <v>0</v>
      </c>
      <c r="M179" s="80">
        <v>0</v>
      </c>
      <c r="N179" s="80">
        <v>0</v>
      </c>
      <c r="O179" s="80">
        <v>0</v>
      </c>
      <c r="P179" s="80">
        <v>0</v>
      </c>
      <c r="Q179" s="80">
        <v>0</v>
      </c>
      <c r="R179" s="80">
        <v>0</v>
      </c>
      <c r="S179" s="80">
        <v>0</v>
      </c>
      <c r="T179" s="80">
        <v>0</v>
      </c>
      <c r="U179" s="80">
        <v>0</v>
      </c>
      <c r="V179" s="80">
        <v>0</v>
      </c>
      <c r="W179" s="80">
        <v>0</v>
      </c>
      <c r="X179" s="80">
        <v>0</v>
      </c>
      <c r="Y179" s="80">
        <v>0</v>
      </c>
      <c r="Z179" s="80">
        <v>0</v>
      </c>
      <c r="AA179" s="80">
        <v>0</v>
      </c>
      <c r="AB179" s="80">
        <v>0</v>
      </c>
      <c r="AC179" s="80">
        <v>0</v>
      </c>
      <c r="AD179" s="80">
        <v>0</v>
      </c>
      <c r="AE179" s="80">
        <v>0</v>
      </c>
      <c r="AF179" s="80">
        <v>0</v>
      </c>
      <c r="AG179" s="80">
        <v>0</v>
      </c>
      <c r="AH179" s="80">
        <v>0</v>
      </c>
      <c r="AI179" s="79">
        <v>46230.721446759257</v>
      </c>
    </row>
    <row r="180" spans="1:35" x14ac:dyDescent="0.3">
      <c r="A180" t="s">
        <v>785</v>
      </c>
      <c r="B180">
        <v>171</v>
      </c>
      <c r="C180">
        <v>171</v>
      </c>
      <c r="D180">
        <v>1</v>
      </c>
      <c r="E180" s="80">
        <v>4777619.5267000003</v>
      </c>
      <c r="F180" s="80">
        <v>4777619.5195486499</v>
      </c>
      <c r="G180" s="80">
        <v>4777619.5195486499</v>
      </c>
      <c r="H180" s="80">
        <v>4761119.5195759488</v>
      </c>
      <c r="I180" s="80">
        <v>0</v>
      </c>
      <c r="J180" s="80">
        <v>16499.999972699999</v>
      </c>
      <c r="K180" s="80">
        <v>0</v>
      </c>
      <c r="L180" s="80">
        <v>0</v>
      </c>
      <c r="M180" s="80">
        <v>0</v>
      </c>
      <c r="N180" s="80">
        <v>0</v>
      </c>
      <c r="O180" s="80">
        <v>0</v>
      </c>
      <c r="P180" s="80">
        <v>0</v>
      </c>
      <c r="Q180" s="80">
        <v>0</v>
      </c>
      <c r="R180" s="80">
        <v>0</v>
      </c>
      <c r="S180" s="80">
        <v>0</v>
      </c>
      <c r="T180" s="80">
        <v>0</v>
      </c>
      <c r="U180" s="80">
        <v>0</v>
      </c>
      <c r="V180" s="80">
        <v>0</v>
      </c>
      <c r="W180" s="80">
        <v>0</v>
      </c>
      <c r="X180" s="80">
        <v>0</v>
      </c>
      <c r="Y180" s="80">
        <v>0</v>
      </c>
      <c r="Z180" s="80">
        <v>0</v>
      </c>
      <c r="AA180" s="80">
        <v>0</v>
      </c>
      <c r="AB180" s="80">
        <v>0</v>
      </c>
      <c r="AC180" s="80">
        <v>0</v>
      </c>
      <c r="AD180" s="80">
        <v>0</v>
      </c>
      <c r="AE180" s="80">
        <v>0</v>
      </c>
      <c r="AF180" s="80">
        <v>0</v>
      </c>
      <c r="AG180" s="80">
        <v>0</v>
      </c>
      <c r="AH180" s="80">
        <v>0</v>
      </c>
      <c r="AI180" s="79">
        <v>46230.721516203703</v>
      </c>
    </row>
    <row r="181" spans="1:35" x14ac:dyDescent="0.3">
      <c r="A181" t="s">
        <v>786</v>
      </c>
      <c r="B181">
        <v>172</v>
      </c>
      <c r="C181">
        <v>172</v>
      </c>
      <c r="D181">
        <v>1</v>
      </c>
      <c r="E181" s="80">
        <v>5014537.3788999999</v>
      </c>
      <c r="F181" s="80">
        <v>5014537.3603356928</v>
      </c>
      <c r="G181" s="80">
        <v>5014317.339750465</v>
      </c>
      <c r="H181" s="80">
        <v>4977223.9078741446</v>
      </c>
      <c r="I181" s="80">
        <v>0</v>
      </c>
      <c r="J181" s="80">
        <v>31755.0508419082</v>
      </c>
      <c r="K181" s="80">
        <v>0</v>
      </c>
      <c r="L181" s="80">
        <v>5338.381034411238</v>
      </c>
      <c r="M181" s="80">
        <v>875.77867018075381</v>
      </c>
      <c r="N181" s="80">
        <v>0</v>
      </c>
      <c r="O181" s="80">
        <v>0</v>
      </c>
      <c r="P181" s="80">
        <v>0</v>
      </c>
      <c r="Q181" s="80">
        <v>0</v>
      </c>
      <c r="R181" s="80">
        <v>0</v>
      </c>
      <c r="S181" s="80">
        <v>0</v>
      </c>
      <c r="T181" s="80">
        <v>0</v>
      </c>
      <c r="U181" s="80">
        <v>0</v>
      </c>
      <c r="V181" s="80">
        <v>220.02058522783378</v>
      </c>
      <c r="W181" s="80">
        <v>0</v>
      </c>
      <c r="X181" s="80">
        <v>0</v>
      </c>
      <c r="Y181" s="80">
        <v>0</v>
      </c>
      <c r="Z181" s="80">
        <v>0</v>
      </c>
      <c r="AA181" s="80">
        <v>0</v>
      </c>
      <c r="AB181" s="80">
        <v>0</v>
      </c>
      <c r="AC181" s="80">
        <v>0</v>
      </c>
      <c r="AD181" s="80">
        <v>0</v>
      </c>
      <c r="AE181" s="80">
        <v>0</v>
      </c>
      <c r="AF181" s="80">
        <v>0</v>
      </c>
      <c r="AG181" s="80">
        <v>0</v>
      </c>
      <c r="AH181" s="80">
        <v>0</v>
      </c>
      <c r="AI181" s="79">
        <v>46230.721562500003</v>
      </c>
    </row>
    <row r="182" spans="1:35" x14ac:dyDescent="0.3">
      <c r="A182" t="s">
        <v>787</v>
      </c>
      <c r="B182">
        <v>173</v>
      </c>
      <c r="C182">
        <v>173</v>
      </c>
      <c r="D182">
        <v>1</v>
      </c>
      <c r="E182" s="80">
        <v>1708222.0618</v>
      </c>
      <c r="F182" s="80">
        <v>1708222.0636417943</v>
      </c>
      <c r="G182" s="80">
        <v>1708222.0636417943</v>
      </c>
      <c r="H182" s="80">
        <v>1708222.0636417943</v>
      </c>
      <c r="I182" s="80">
        <v>0</v>
      </c>
      <c r="J182" s="80">
        <v>0</v>
      </c>
      <c r="K182" s="80">
        <v>0</v>
      </c>
      <c r="L182" s="80">
        <v>0</v>
      </c>
      <c r="M182" s="80">
        <v>0</v>
      </c>
      <c r="N182" s="80">
        <v>0</v>
      </c>
      <c r="O182" s="80">
        <v>0</v>
      </c>
      <c r="P182" s="80">
        <v>0</v>
      </c>
      <c r="Q182" s="80">
        <v>0</v>
      </c>
      <c r="R182" s="80">
        <v>0</v>
      </c>
      <c r="S182" s="80">
        <v>0</v>
      </c>
      <c r="T182" s="80">
        <v>0</v>
      </c>
      <c r="U182" s="80">
        <v>0</v>
      </c>
      <c r="V182" s="80">
        <v>0</v>
      </c>
      <c r="W182" s="80">
        <v>0</v>
      </c>
      <c r="X182" s="80">
        <v>0</v>
      </c>
      <c r="Y182" s="80">
        <v>0</v>
      </c>
      <c r="Z182" s="80">
        <v>0</v>
      </c>
      <c r="AA182" s="80">
        <v>0</v>
      </c>
      <c r="AB182" s="80">
        <v>0</v>
      </c>
      <c r="AC182" s="80">
        <v>0</v>
      </c>
      <c r="AD182" s="80">
        <v>0</v>
      </c>
      <c r="AE182" s="80">
        <v>0</v>
      </c>
      <c r="AF182" s="80">
        <v>0</v>
      </c>
      <c r="AG182" s="80">
        <v>0</v>
      </c>
      <c r="AH182" s="80">
        <v>0</v>
      </c>
      <c r="AI182" s="79">
        <v>46230.721620370372</v>
      </c>
    </row>
    <row r="183" spans="1:35" x14ac:dyDescent="0.3">
      <c r="A183" t="s">
        <v>788</v>
      </c>
      <c r="B183">
        <v>174</v>
      </c>
      <c r="C183">
        <v>174</v>
      </c>
      <c r="D183">
        <v>1</v>
      </c>
      <c r="E183" s="80">
        <v>2250548.3903000001</v>
      </c>
      <c r="F183" s="80">
        <v>2250548.3841110142</v>
      </c>
      <c r="G183" s="80">
        <v>2250548.3841110142</v>
      </c>
      <c r="H183" s="80">
        <v>2246088.4627903071</v>
      </c>
      <c r="I183" s="80">
        <v>0</v>
      </c>
      <c r="J183" s="80">
        <v>4459.9213207066805</v>
      </c>
      <c r="K183" s="80">
        <v>0</v>
      </c>
      <c r="L183" s="80">
        <v>0</v>
      </c>
      <c r="M183" s="80">
        <v>0</v>
      </c>
      <c r="N183" s="80">
        <v>0</v>
      </c>
      <c r="O183" s="80">
        <v>0</v>
      </c>
      <c r="P183" s="80">
        <v>0</v>
      </c>
      <c r="Q183" s="80">
        <v>0</v>
      </c>
      <c r="R183" s="80">
        <v>0</v>
      </c>
      <c r="S183" s="80">
        <v>0</v>
      </c>
      <c r="T183" s="80">
        <v>0</v>
      </c>
      <c r="U183" s="80">
        <v>0</v>
      </c>
      <c r="V183" s="80">
        <v>0</v>
      </c>
      <c r="W183" s="80">
        <v>0</v>
      </c>
      <c r="X183" s="80">
        <v>0</v>
      </c>
      <c r="Y183" s="80">
        <v>0</v>
      </c>
      <c r="Z183" s="80">
        <v>0</v>
      </c>
      <c r="AA183" s="80">
        <v>0</v>
      </c>
      <c r="AB183" s="80">
        <v>0</v>
      </c>
      <c r="AC183" s="80">
        <v>0</v>
      </c>
      <c r="AD183" s="80">
        <v>0</v>
      </c>
      <c r="AE183" s="80">
        <v>0</v>
      </c>
      <c r="AF183" s="80">
        <v>0</v>
      </c>
      <c r="AG183" s="80">
        <v>0</v>
      </c>
      <c r="AH183" s="80">
        <v>0</v>
      </c>
      <c r="AI183" s="79">
        <v>46230.721655092595</v>
      </c>
    </row>
    <row r="184" spans="1:35" x14ac:dyDescent="0.3">
      <c r="A184" t="s">
        <v>789</v>
      </c>
      <c r="B184">
        <v>175</v>
      </c>
      <c r="C184">
        <v>175</v>
      </c>
      <c r="D184">
        <v>1</v>
      </c>
      <c r="E184" s="80">
        <v>463687.72090000001</v>
      </c>
      <c r="F184" s="80">
        <v>463687.7207747614</v>
      </c>
      <c r="G184" s="80">
        <v>455938.64910956926</v>
      </c>
      <c r="H184" s="80">
        <v>437662.79224714253</v>
      </c>
      <c r="I184" s="80">
        <v>0</v>
      </c>
      <c r="J184" s="80">
        <v>11301.74387700594</v>
      </c>
      <c r="K184" s="80">
        <v>0</v>
      </c>
      <c r="L184" s="80">
        <v>6974.1129854209958</v>
      </c>
      <c r="M184" s="80">
        <v>6000</v>
      </c>
      <c r="N184" s="80">
        <v>0</v>
      </c>
      <c r="O184" s="80">
        <v>0</v>
      </c>
      <c r="P184" s="80">
        <v>0</v>
      </c>
      <c r="Q184" s="80">
        <v>0</v>
      </c>
      <c r="R184" s="80">
        <v>0</v>
      </c>
      <c r="S184" s="80">
        <v>0</v>
      </c>
      <c r="T184" s="80">
        <v>0</v>
      </c>
      <c r="U184" s="80">
        <v>0</v>
      </c>
      <c r="V184" s="80">
        <v>1749.0716651920141</v>
      </c>
      <c r="W184" s="80">
        <v>0</v>
      </c>
      <c r="X184" s="80">
        <v>0</v>
      </c>
      <c r="Y184" s="80">
        <v>0</v>
      </c>
      <c r="Z184" s="80">
        <v>0</v>
      </c>
      <c r="AA184" s="80">
        <v>6000</v>
      </c>
      <c r="AB184" s="80">
        <v>0</v>
      </c>
      <c r="AC184" s="80">
        <v>0</v>
      </c>
      <c r="AD184" s="80">
        <v>0</v>
      </c>
      <c r="AE184" s="80">
        <v>0</v>
      </c>
      <c r="AF184" s="80">
        <v>0</v>
      </c>
      <c r="AG184" s="80">
        <v>0</v>
      </c>
      <c r="AH184" s="80">
        <v>0</v>
      </c>
      <c r="AI184" s="79">
        <v>46230.721701388888</v>
      </c>
    </row>
    <row r="185" spans="1:35" x14ac:dyDescent="0.3">
      <c r="A185" t="s">
        <v>790</v>
      </c>
      <c r="B185">
        <v>176</v>
      </c>
      <c r="C185">
        <v>176</v>
      </c>
      <c r="D185">
        <v>1</v>
      </c>
      <c r="E185" s="80">
        <v>1796425.0271999999</v>
      </c>
      <c r="F185" s="80">
        <v>1796425.0337691014</v>
      </c>
      <c r="G185" s="80">
        <v>1796425.0337691014</v>
      </c>
      <c r="H185" s="80">
        <v>1791425.0337489014</v>
      </c>
      <c r="I185" s="80">
        <v>0</v>
      </c>
      <c r="J185" s="80">
        <v>5000.0000202000001</v>
      </c>
      <c r="K185" s="80">
        <v>0</v>
      </c>
      <c r="L185" s="80">
        <v>0</v>
      </c>
      <c r="M185" s="80">
        <v>0</v>
      </c>
      <c r="N185" s="80">
        <v>0</v>
      </c>
      <c r="O185" s="80">
        <v>0</v>
      </c>
      <c r="P185" s="80">
        <v>0</v>
      </c>
      <c r="Q185" s="80">
        <v>0</v>
      </c>
      <c r="R185" s="80">
        <v>0</v>
      </c>
      <c r="S185" s="80">
        <v>0</v>
      </c>
      <c r="T185" s="80">
        <v>0</v>
      </c>
      <c r="U185" s="80">
        <v>0</v>
      </c>
      <c r="V185" s="80">
        <v>0</v>
      </c>
      <c r="W185" s="80">
        <v>0</v>
      </c>
      <c r="X185" s="80">
        <v>0</v>
      </c>
      <c r="Y185" s="80">
        <v>0</v>
      </c>
      <c r="Z185" s="80">
        <v>0</v>
      </c>
      <c r="AA185" s="80">
        <v>0</v>
      </c>
      <c r="AB185" s="80">
        <v>0</v>
      </c>
      <c r="AC185" s="80">
        <v>0</v>
      </c>
      <c r="AD185" s="80">
        <v>0</v>
      </c>
      <c r="AE185" s="80">
        <v>0</v>
      </c>
      <c r="AF185" s="80">
        <v>0</v>
      </c>
      <c r="AG185" s="80">
        <v>0</v>
      </c>
      <c r="AH185" s="80">
        <v>0</v>
      </c>
      <c r="AI185" s="79">
        <v>46230.721770833334</v>
      </c>
    </row>
    <row r="186" spans="1:35" x14ac:dyDescent="0.3">
      <c r="A186" t="s">
        <v>791</v>
      </c>
      <c r="B186">
        <v>177</v>
      </c>
      <c r="C186">
        <v>177</v>
      </c>
      <c r="D186">
        <v>1</v>
      </c>
      <c r="E186" s="80">
        <v>2265743.9345</v>
      </c>
      <c r="F186" s="80">
        <v>2265743.9335203567</v>
      </c>
      <c r="G186" s="80">
        <v>2265743.9335203567</v>
      </c>
      <c r="H186" s="80">
        <v>2257562.0338951997</v>
      </c>
      <c r="I186" s="80">
        <v>0</v>
      </c>
      <c r="J186" s="80">
        <v>6968.9883482159239</v>
      </c>
      <c r="K186" s="80">
        <v>0</v>
      </c>
      <c r="L186" s="80">
        <v>1212.911276940906</v>
      </c>
      <c r="M186" s="80">
        <v>1212.911276940906</v>
      </c>
      <c r="N186" s="80">
        <v>0</v>
      </c>
      <c r="O186" s="80">
        <v>0</v>
      </c>
      <c r="P186" s="80">
        <v>0</v>
      </c>
      <c r="Q186" s="80">
        <v>0</v>
      </c>
      <c r="R186" s="80">
        <v>0</v>
      </c>
      <c r="S186" s="80">
        <v>0</v>
      </c>
      <c r="T186" s="80">
        <v>0</v>
      </c>
      <c r="U186" s="80">
        <v>0</v>
      </c>
      <c r="V186" s="80">
        <v>0</v>
      </c>
      <c r="W186" s="80">
        <v>0</v>
      </c>
      <c r="X186" s="80">
        <v>0</v>
      </c>
      <c r="Y186" s="80">
        <v>0</v>
      </c>
      <c r="Z186" s="80">
        <v>0</v>
      </c>
      <c r="AA186" s="80">
        <v>0</v>
      </c>
      <c r="AB186" s="80">
        <v>0</v>
      </c>
      <c r="AC186" s="80">
        <v>0</v>
      </c>
      <c r="AD186" s="80">
        <v>0</v>
      </c>
      <c r="AE186" s="80">
        <v>0</v>
      </c>
      <c r="AF186" s="80">
        <v>0</v>
      </c>
      <c r="AG186" s="80">
        <v>0</v>
      </c>
      <c r="AH186" s="80">
        <v>0</v>
      </c>
      <c r="AI186" s="79">
        <v>46230.721828703703</v>
      </c>
    </row>
    <row r="187" spans="1:35" x14ac:dyDescent="0.3">
      <c r="A187" t="s">
        <v>792</v>
      </c>
      <c r="B187">
        <v>178</v>
      </c>
      <c r="C187">
        <v>178</v>
      </c>
      <c r="D187">
        <v>1</v>
      </c>
      <c r="E187" s="80">
        <v>3647133.6017999998</v>
      </c>
      <c r="F187" s="80">
        <v>3647133.604651629</v>
      </c>
      <c r="G187" s="80">
        <v>3646992.1128634703</v>
      </c>
      <c r="H187" s="80">
        <v>3621301.497657341</v>
      </c>
      <c r="I187" s="80">
        <v>0</v>
      </c>
      <c r="J187" s="80">
        <v>22276.226201190664</v>
      </c>
      <c r="K187" s="80">
        <v>0</v>
      </c>
      <c r="L187" s="80">
        <v>3414.3890049382044</v>
      </c>
      <c r="M187" s="80">
        <v>560.45780802818422</v>
      </c>
      <c r="N187" s="80">
        <v>0</v>
      </c>
      <c r="O187" s="80">
        <v>0</v>
      </c>
      <c r="P187" s="80">
        <v>0</v>
      </c>
      <c r="Q187" s="80">
        <v>0</v>
      </c>
      <c r="R187" s="80">
        <v>0</v>
      </c>
      <c r="S187" s="80">
        <v>0</v>
      </c>
      <c r="T187" s="80">
        <v>0</v>
      </c>
      <c r="U187" s="80">
        <v>0</v>
      </c>
      <c r="V187" s="80">
        <v>141.49178815894487</v>
      </c>
      <c r="W187" s="80">
        <v>0</v>
      </c>
      <c r="X187" s="80">
        <v>0</v>
      </c>
      <c r="Y187" s="80">
        <v>0</v>
      </c>
      <c r="Z187" s="80">
        <v>0</v>
      </c>
      <c r="AA187" s="80">
        <v>0</v>
      </c>
      <c r="AB187" s="80">
        <v>0</v>
      </c>
      <c r="AC187" s="80">
        <v>0</v>
      </c>
      <c r="AD187" s="80">
        <v>0</v>
      </c>
      <c r="AE187" s="80">
        <v>0</v>
      </c>
      <c r="AF187" s="80">
        <v>0</v>
      </c>
      <c r="AG187" s="80">
        <v>0</v>
      </c>
      <c r="AH187" s="80">
        <v>0</v>
      </c>
      <c r="AI187" s="79">
        <v>46230.721875000003</v>
      </c>
    </row>
    <row r="188" spans="1:35" x14ac:dyDescent="0.3">
      <c r="A188" t="s">
        <v>793</v>
      </c>
      <c r="B188">
        <v>179</v>
      </c>
      <c r="C188">
        <v>179</v>
      </c>
      <c r="D188">
        <v>1</v>
      </c>
      <c r="E188" s="80">
        <v>3883512.858</v>
      </c>
      <c r="F188" s="80">
        <v>3883512.8584747138</v>
      </c>
      <c r="G188" s="80">
        <v>2853385.1297940989</v>
      </c>
      <c r="H188" s="80">
        <v>1409082.0541717054</v>
      </c>
      <c r="I188" s="80">
        <v>0</v>
      </c>
      <c r="J188" s="80">
        <v>262189.4138967669</v>
      </c>
      <c r="K188" s="80">
        <v>423822.70097749494</v>
      </c>
      <c r="L188" s="80">
        <v>107663.588413989</v>
      </c>
      <c r="M188" s="80">
        <v>77554.962055814627</v>
      </c>
      <c r="N188" s="80">
        <v>0</v>
      </c>
      <c r="O188" s="80">
        <v>0</v>
      </c>
      <c r="P188" s="80">
        <v>494260.44330881862</v>
      </c>
      <c r="Q188" s="80">
        <v>0</v>
      </c>
      <c r="R188" s="80">
        <v>156366.92902532293</v>
      </c>
      <c r="S188" s="80">
        <v>616216.91110450262</v>
      </c>
      <c r="T188" s="80">
        <v>125917.42376559679</v>
      </c>
      <c r="U188" s="80">
        <v>0</v>
      </c>
      <c r="V188" s="80">
        <v>45788.041571920679</v>
      </c>
      <c r="W188" s="80">
        <v>0</v>
      </c>
      <c r="X188" s="80">
        <v>242205.35223859578</v>
      </c>
      <c r="Y188" s="80">
        <v>0</v>
      </c>
      <c r="Z188" s="80">
        <v>0</v>
      </c>
      <c r="AA188" s="80">
        <v>0</v>
      </c>
      <c r="AB188" s="80">
        <v>0</v>
      </c>
      <c r="AC188" s="80">
        <v>0</v>
      </c>
      <c r="AD188" s="80">
        <v>0</v>
      </c>
      <c r="AE188" s="80">
        <v>0</v>
      </c>
      <c r="AF188" s="80">
        <v>0</v>
      </c>
      <c r="AG188" s="80">
        <v>0</v>
      </c>
      <c r="AH188" s="80">
        <v>0</v>
      </c>
      <c r="AI188" s="79">
        <v>46230.721921296295</v>
      </c>
    </row>
    <row r="189" spans="1:35" x14ac:dyDescent="0.3">
      <c r="A189" t="s">
        <v>794</v>
      </c>
      <c r="B189">
        <v>180</v>
      </c>
      <c r="C189">
        <v>180</v>
      </c>
      <c r="D189">
        <v>1</v>
      </c>
      <c r="E189" s="80">
        <v>2538429.3755000001</v>
      </c>
      <c r="F189" s="80">
        <v>2538429.3748660507</v>
      </c>
      <c r="G189" s="80">
        <v>1793707.4998250415</v>
      </c>
      <c r="H189" s="80">
        <v>615816.48445799469</v>
      </c>
      <c r="I189" s="80">
        <v>0</v>
      </c>
      <c r="J189" s="80">
        <v>206767.35836318642</v>
      </c>
      <c r="K189" s="80">
        <v>346824.45850604068</v>
      </c>
      <c r="L189" s="80">
        <v>76004.755974386149</v>
      </c>
      <c r="M189" s="80">
        <v>49746.170017075667</v>
      </c>
      <c r="N189" s="80">
        <v>0</v>
      </c>
      <c r="O189" s="80">
        <v>0</v>
      </c>
      <c r="P189" s="80">
        <v>425645.12884370744</v>
      </c>
      <c r="Q189" s="80">
        <v>0</v>
      </c>
      <c r="R189" s="80">
        <v>122649.31367972627</v>
      </c>
      <c r="S189" s="80">
        <v>391087.12743990007</v>
      </c>
      <c r="T189" s="80">
        <v>116704.79643516739</v>
      </c>
      <c r="U189" s="80">
        <v>0</v>
      </c>
      <c r="V189" s="80">
        <v>21122.201916076061</v>
      </c>
      <c r="W189" s="80">
        <v>0</v>
      </c>
      <c r="X189" s="80">
        <v>211464.50474151707</v>
      </c>
      <c r="Y189" s="80">
        <v>0</v>
      </c>
      <c r="Z189" s="80">
        <v>0</v>
      </c>
      <c r="AA189" s="80">
        <v>4343.2445083480743</v>
      </c>
      <c r="AB189" s="80">
        <v>0</v>
      </c>
      <c r="AC189" s="80">
        <v>0</v>
      </c>
      <c r="AD189" s="80">
        <v>0</v>
      </c>
      <c r="AE189" s="80">
        <v>0</v>
      </c>
      <c r="AF189" s="80">
        <v>0</v>
      </c>
      <c r="AG189" s="80">
        <v>0</v>
      </c>
      <c r="AH189" s="80">
        <v>0</v>
      </c>
      <c r="AI189" s="79">
        <v>46230.721979166665</v>
      </c>
    </row>
    <row r="190" spans="1:35" x14ac:dyDescent="0.3">
      <c r="A190" t="s">
        <v>795</v>
      </c>
      <c r="B190">
        <v>181</v>
      </c>
      <c r="C190">
        <v>181</v>
      </c>
      <c r="D190">
        <v>1</v>
      </c>
      <c r="E190" s="80">
        <v>1273520.7275</v>
      </c>
      <c r="F190" s="80">
        <v>1273520.7279875516</v>
      </c>
      <c r="G190" s="80">
        <v>1050279.182651784</v>
      </c>
      <c r="H190" s="80">
        <v>402421.03157370363</v>
      </c>
      <c r="I190" s="80">
        <v>0</v>
      </c>
      <c r="J190" s="80">
        <v>188405.29986330675</v>
      </c>
      <c r="K190" s="80">
        <v>105730.61991889086</v>
      </c>
      <c r="L190" s="80">
        <v>102604.80306666534</v>
      </c>
      <c r="M190" s="80">
        <v>85613.330065079921</v>
      </c>
      <c r="N190" s="80">
        <v>0</v>
      </c>
      <c r="O190" s="80">
        <v>0</v>
      </c>
      <c r="P190" s="80">
        <v>127909.28796324425</v>
      </c>
      <c r="Q190" s="80">
        <v>0</v>
      </c>
      <c r="R190" s="80">
        <v>123208.14026597381</v>
      </c>
      <c r="S190" s="80">
        <v>101522.74676364507</v>
      </c>
      <c r="T190" s="80">
        <v>10000</v>
      </c>
      <c r="U190" s="80">
        <v>0</v>
      </c>
      <c r="V190" s="80">
        <v>48474.99972544609</v>
      </c>
      <c r="W190" s="80">
        <v>0</v>
      </c>
      <c r="X190" s="80">
        <v>62418.873199218346</v>
      </c>
      <c r="Y190" s="80">
        <v>0</v>
      </c>
      <c r="Z190" s="80">
        <v>0</v>
      </c>
      <c r="AA190" s="80">
        <v>824.92564745732841</v>
      </c>
      <c r="AB190" s="80">
        <v>0</v>
      </c>
      <c r="AC190" s="80">
        <v>0</v>
      </c>
      <c r="AD190" s="80">
        <v>0</v>
      </c>
      <c r="AE190" s="80">
        <v>0</v>
      </c>
      <c r="AF190" s="80">
        <v>0</v>
      </c>
      <c r="AG190" s="80">
        <v>0</v>
      </c>
      <c r="AH190" s="80">
        <v>0</v>
      </c>
      <c r="AI190" s="79">
        <v>46230.722048611111</v>
      </c>
    </row>
    <row r="191" spans="1:35" x14ac:dyDescent="0.3">
      <c r="A191" t="s">
        <v>558</v>
      </c>
      <c r="B191">
        <v>182</v>
      </c>
      <c r="C191">
        <v>182</v>
      </c>
      <c r="D191">
        <v>1</v>
      </c>
      <c r="E191" s="80">
        <v>2540614.9268</v>
      </c>
      <c r="F191" s="80">
        <v>2540614.9270080281</v>
      </c>
      <c r="G191" s="80">
        <v>2540614.9270080281</v>
      </c>
      <c r="H191" s="80">
        <v>68236.562653867062</v>
      </c>
      <c r="I191" s="80">
        <v>0</v>
      </c>
      <c r="J191" s="80">
        <v>0</v>
      </c>
      <c r="K191" s="80">
        <v>7773.7532173744139</v>
      </c>
      <c r="L191" s="80">
        <v>2464604.6111367866</v>
      </c>
      <c r="M191" s="80">
        <v>2316819.7742938083</v>
      </c>
      <c r="N191" s="80">
        <v>0</v>
      </c>
      <c r="O191" s="80">
        <v>0</v>
      </c>
      <c r="P191" s="80">
        <v>0</v>
      </c>
      <c r="Q191" s="80">
        <v>0</v>
      </c>
      <c r="R191" s="80">
        <v>0</v>
      </c>
      <c r="S191" s="80">
        <v>0</v>
      </c>
      <c r="T191" s="80">
        <v>0</v>
      </c>
      <c r="U191" s="80">
        <v>0</v>
      </c>
      <c r="V191" s="80">
        <v>0</v>
      </c>
      <c r="W191" s="80">
        <v>0</v>
      </c>
      <c r="X191" s="80">
        <v>0</v>
      </c>
      <c r="Y191" s="80">
        <v>0</v>
      </c>
      <c r="Z191" s="80">
        <v>0</v>
      </c>
      <c r="AA191" s="80">
        <v>0</v>
      </c>
      <c r="AB191" s="80">
        <v>0</v>
      </c>
      <c r="AC191" s="80">
        <v>0</v>
      </c>
      <c r="AD191" s="80">
        <v>0</v>
      </c>
      <c r="AE191" s="80">
        <v>0</v>
      </c>
      <c r="AF191" s="80">
        <v>0</v>
      </c>
      <c r="AG191" s="80">
        <v>0</v>
      </c>
      <c r="AH191" s="80">
        <v>0</v>
      </c>
      <c r="AI191" s="79">
        <v>46230.72210648148</v>
      </c>
    </row>
    <row r="192" spans="1:35" x14ac:dyDescent="0.3">
      <c r="A192" t="s">
        <v>559</v>
      </c>
      <c r="B192">
        <v>183</v>
      </c>
      <c r="C192">
        <v>183</v>
      </c>
      <c r="D192">
        <v>1</v>
      </c>
      <c r="E192" s="80">
        <v>2681419.1549999998</v>
      </c>
      <c r="F192" s="80">
        <v>2681419.1488353056</v>
      </c>
      <c r="G192" s="80">
        <v>2680615.2393504721</v>
      </c>
      <c r="H192" s="80">
        <v>120109.43029111445</v>
      </c>
      <c r="I192" s="80">
        <v>0</v>
      </c>
      <c r="J192" s="80">
        <v>0</v>
      </c>
      <c r="K192" s="80">
        <v>17964.611185161222</v>
      </c>
      <c r="L192" s="80">
        <v>2542541.1978741987</v>
      </c>
      <c r="M192" s="80">
        <v>2346072.7686818987</v>
      </c>
      <c r="N192" s="80">
        <v>0</v>
      </c>
      <c r="O192" s="80">
        <v>0</v>
      </c>
      <c r="P192" s="80">
        <v>0</v>
      </c>
      <c r="Q192" s="80">
        <v>0</v>
      </c>
      <c r="R192" s="80">
        <v>0</v>
      </c>
      <c r="S192" s="80">
        <v>0</v>
      </c>
      <c r="T192" s="80">
        <v>0</v>
      </c>
      <c r="U192" s="80">
        <v>0</v>
      </c>
      <c r="V192" s="80">
        <v>670.97067026613377</v>
      </c>
      <c r="W192" s="80">
        <v>0</v>
      </c>
      <c r="X192" s="80">
        <v>0</v>
      </c>
      <c r="Y192" s="80">
        <v>0</v>
      </c>
      <c r="Z192" s="80">
        <v>0</v>
      </c>
      <c r="AA192" s="80">
        <v>132.93881456724725</v>
      </c>
      <c r="AB192" s="80">
        <v>0</v>
      </c>
      <c r="AC192" s="80">
        <v>0</v>
      </c>
      <c r="AD192" s="80">
        <v>0</v>
      </c>
      <c r="AE192" s="80">
        <v>0</v>
      </c>
      <c r="AF192" s="80">
        <v>0</v>
      </c>
      <c r="AG192" s="80">
        <v>0</v>
      </c>
      <c r="AH192" s="80">
        <v>0</v>
      </c>
      <c r="AI192" s="79">
        <v>46230.72215277778</v>
      </c>
    </row>
    <row r="193" spans="1:35" x14ac:dyDescent="0.3">
      <c r="A193" t="s">
        <v>560</v>
      </c>
      <c r="B193">
        <v>184</v>
      </c>
      <c r="C193">
        <v>184</v>
      </c>
      <c r="D193">
        <v>1</v>
      </c>
      <c r="E193" s="80">
        <v>5123110.5581999999</v>
      </c>
      <c r="F193" s="80">
        <v>5123110.5582190342</v>
      </c>
      <c r="G193" s="80">
        <v>5123110.5582190342</v>
      </c>
      <c r="H193" s="80">
        <v>170329.30284214352</v>
      </c>
      <c r="I193" s="80">
        <v>0</v>
      </c>
      <c r="J193" s="80">
        <v>0</v>
      </c>
      <c r="K193" s="80">
        <v>28000</v>
      </c>
      <c r="L193" s="80">
        <v>4924781.2553768903</v>
      </c>
      <c r="M193" s="80">
        <v>4589698.4433691306</v>
      </c>
      <c r="N193" s="80">
        <v>0</v>
      </c>
      <c r="O193" s="80">
        <v>0</v>
      </c>
      <c r="P193" s="80">
        <v>0</v>
      </c>
      <c r="Q193" s="80">
        <v>0</v>
      </c>
      <c r="R193" s="80">
        <v>0</v>
      </c>
      <c r="S193" s="80">
        <v>0</v>
      </c>
      <c r="T193" s="80">
        <v>0</v>
      </c>
      <c r="U193" s="80">
        <v>0</v>
      </c>
      <c r="V193" s="80">
        <v>0</v>
      </c>
      <c r="W193" s="80">
        <v>0</v>
      </c>
      <c r="X193" s="80">
        <v>0</v>
      </c>
      <c r="Y193" s="80">
        <v>0</v>
      </c>
      <c r="Z193" s="80">
        <v>0</v>
      </c>
      <c r="AA193" s="80">
        <v>0</v>
      </c>
      <c r="AB193" s="80">
        <v>0</v>
      </c>
      <c r="AC193" s="80">
        <v>0</v>
      </c>
      <c r="AD193" s="80">
        <v>0</v>
      </c>
      <c r="AE193" s="80">
        <v>0</v>
      </c>
      <c r="AF193" s="80">
        <v>0</v>
      </c>
      <c r="AG193" s="80">
        <v>0</v>
      </c>
      <c r="AH193" s="80">
        <v>0</v>
      </c>
      <c r="AI193" s="79">
        <v>46230.722210648149</v>
      </c>
    </row>
    <row r="194" spans="1:35" x14ac:dyDescent="0.3">
      <c r="A194" t="s">
        <v>527</v>
      </c>
      <c r="B194">
        <v>185</v>
      </c>
      <c r="C194">
        <v>185</v>
      </c>
      <c r="D194">
        <v>1</v>
      </c>
      <c r="E194" s="80">
        <v>2390715.8133</v>
      </c>
      <c r="F194" s="80">
        <v>2390715.8135597412</v>
      </c>
      <c r="G194" s="80">
        <v>0</v>
      </c>
      <c r="H194" s="80">
        <v>0</v>
      </c>
      <c r="I194" s="80">
        <v>0</v>
      </c>
      <c r="J194" s="80">
        <v>0</v>
      </c>
      <c r="K194" s="80">
        <v>0</v>
      </c>
      <c r="L194" s="80">
        <v>0</v>
      </c>
      <c r="M194" s="80">
        <v>0</v>
      </c>
      <c r="N194" s="80">
        <v>0</v>
      </c>
      <c r="O194" s="80">
        <v>0</v>
      </c>
      <c r="P194" s="80">
        <v>0</v>
      </c>
      <c r="Q194" s="80">
        <v>0</v>
      </c>
      <c r="R194" s="80">
        <v>0</v>
      </c>
      <c r="S194" s="80">
        <v>2302839.5787644926</v>
      </c>
      <c r="T194" s="80">
        <v>27829.79121518106</v>
      </c>
      <c r="U194" s="80">
        <v>0</v>
      </c>
      <c r="V194" s="80">
        <v>0</v>
      </c>
      <c r="W194" s="80">
        <v>0</v>
      </c>
      <c r="X194" s="80">
        <v>60046.443580067848</v>
      </c>
      <c r="Y194" s="80">
        <v>0</v>
      </c>
      <c r="Z194" s="80">
        <v>0</v>
      </c>
      <c r="AA194" s="80">
        <v>0</v>
      </c>
      <c r="AB194" s="80">
        <v>0</v>
      </c>
      <c r="AC194" s="80">
        <v>0</v>
      </c>
      <c r="AD194" s="80">
        <v>0</v>
      </c>
      <c r="AE194" s="80">
        <v>0</v>
      </c>
      <c r="AF194" s="80">
        <v>0</v>
      </c>
      <c r="AG194" s="80">
        <v>0</v>
      </c>
      <c r="AH194" s="80">
        <v>0</v>
      </c>
      <c r="AI194" s="79">
        <v>46230.722268518519</v>
      </c>
    </row>
    <row r="195" spans="1:35" x14ac:dyDescent="0.3">
      <c r="A195" t="s">
        <v>796</v>
      </c>
      <c r="B195">
        <v>186</v>
      </c>
      <c r="C195">
        <v>186</v>
      </c>
      <c r="D195">
        <v>1</v>
      </c>
      <c r="E195" s="80">
        <v>768815.13179999997</v>
      </c>
      <c r="F195" s="80">
        <v>768815.13211234426</v>
      </c>
      <c r="G195" s="80">
        <v>762315.13211234426</v>
      </c>
      <c r="H195" s="80">
        <v>39203.561858296554</v>
      </c>
      <c r="I195" s="80">
        <v>0</v>
      </c>
      <c r="J195" s="80">
        <v>13000</v>
      </c>
      <c r="K195" s="80">
        <v>0</v>
      </c>
      <c r="L195" s="80">
        <v>0</v>
      </c>
      <c r="M195" s="80">
        <v>0</v>
      </c>
      <c r="N195" s="80">
        <v>0</v>
      </c>
      <c r="O195" s="80">
        <v>0</v>
      </c>
      <c r="P195" s="80">
        <v>568909.87325992004</v>
      </c>
      <c r="Q195" s="80">
        <v>0</v>
      </c>
      <c r="R195" s="80">
        <v>141201.69699412771</v>
      </c>
      <c r="S195" s="80">
        <v>0</v>
      </c>
      <c r="T195" s="80">
        <v>0</v>
      </c>
      <c r="U195" s="80">
        <v>0</v>
      </c>
      <c r="V195" s="80">
        <v>6500</v>
      </c>
      <c r="W195" s="80">
        <v>0</v>
      </c>
      <c r="X195" s="80">
        <v>0</v>
      </c>
      <c r="Y195" s="80">
        <v>0</v>
      </c>
      <c r="Z195" s="80">
        <v>0</v>
      </c>
      <c r="AA195" s="80">
        <v>0</v>
      </c>
      <c r="AB195" s="80">
        <v>0</v>
      </c>
      <c r="AC195" s="80">
        <v>0</v>
      </c>
      <c r="AD195" s="80">
        <v>0</v>
      </c>
      <c r="AE195" s="80">
        <v>0</v>
      </c>
      <c r="AF195" s="80">
        <v>0</v>
      </c>
      <c r="AG195" s="80">
        <v>0</v>
      </c>
      <c r="AH195" s="80">
        <v>0</v>
      </c>
      <c r="AI195" s="79">
        <v>46230.722326388888</v>
      </c>
    </row>
    <row r="196" spans="1:35" x14ac:dyDescent="0.3">
      <c r="A196" t="s">
        <v>797</v>
      </c>
      <c r="B196">
        <v>187</v>
      </c>
      <c r="C196">
        <v>187</v>
      </c>
      <c r="D196">
        <v>1</v>
      </c>
      <c r="E196" s="80">
        <v>2179406.2932000002</v>
      </c>
      <c r="F196" s="80">
        <v>2179406.2927311882</v>
      </c>
      <c r="G196" s="80">
        <v>2160696.2122826772</v>
      </c>
      <c r="H196" s="80">
        <v>125885.59402786677</v>
      </c>
      <c r="I196" s="80">
        <v>0</v>
      </c>
      <c r="J196" s="80">
        <v>51325.054602838973</v>
      </c>
      <c r="K196" s="80">
        <v>0</v>
      </c>
      <c r="L196" s="80">
        <v>0</v>
      </c>
      <c r="M196" s="80">
        <v>0</v>
      </c>
      <c r="N196" s="80">
        <v>0</v>
      </c>
      <c r="O196" s="80">
        <v>0</v>
      </c>
      <c r="P196" s="80">
        <v>1551588.0655809969</v>
      </c>
      <c r="Q196" s="80">
        <v>0</v>
      </c>
      <c r="R196" s="80">
        <v>431897.49807097454</v>
      </c>
      <c r="S196" s="80">
        <v>0</v>
      </c>
      <c r="T196" s="80">
        <v>0</v>
      </c>
      <c r="U196" s="80">
        <v>0</v>
      </c>
      <c r="V196" s="80">
        <v>18710.080448511108</v>
      </c>
      <c r="W196" s="80">
        <v>0</v>
      </c>
      <c r="X196" s="80">
        <v>0</v>
      </c>
      <c r="Y196" s="80">
        <v>0</v>
      </c>
      <c r="Z196" s="80">
        <v>0</v>
      </c>
      <c r="AA196" s="80">
        <v>0</v>
      </c>
      <c r="AB196" s="80">
        <v>0</v>
      </c>
      <c r="AC196" s="80">
        <v>0</v>
      </c>
      <c r="AD196" s="80">
        <v>0</v>
      </c>
      <c r="AE196" s="80">
        <v>0</v>
      </c>
      <c r="AF196" s="80">
        <v>0</v>
      </c>
      <c r="AG196" s="80">
        <v>0</v>
      </c>
      <c r="AH196" s="80">
        <v>0</v>
      </c>
      <c r="AI196" s="79">
        <v>46230.722395833334</v>
      </c>
    </row>
    <row r="197" spans="1:35" x14ac:dyDescent="0.3">
      <c r="A197" t="s">
        <v>798</v>
      </c>
      <c r="B197">
        <v>188</v>
      </c>
      <c r="C197">
        <v>188</v>
      </c>
      <c r="D197">
        <v>1</v>
      </c>
      <c r="E197" s="80">
        <v>1626282.3295</v>
      </c>
      <c r="F197" s="80">
        <v>1626282.3293557733</v>
      </c>
      <c r="G197" s="80">
        <v>0</v>
      </c>
      <c r="H197" s="80">
        <v>0</v>
      </c>
      <c r="I197" s="80">
        <v>0</v>
      </c>
      <c r="J197" s="80">
        <v>0</v>
      </c>
      <c r="K197" s="80">
        <v>0</v>
      </c>
      <c r="L197" s="80">
        <v>0</v>
      </c>
      <c r="M197" s="80">
        <v>0</v>
      </c>
      <c r="N197" s="80">
        <v>0</v>
      </c>
      <c r="O197" s="80">
        <v>0</v>
      </c>
      <c r="P197" s="80">
        <v>0</v>
      </c>
      <c r="Q197" s="80">
        <v>1391916.3142436168</v>
      </c>
      <c r="R197" s="80">
        <v>0</v>
      </c>
      <c r="S197" s="80">
        <v>234366.0151121564</v>
      </c>
      <c r="T197" s="80">
        <v>0</v>
      </c>
      <c r="U197" s="80">
        <v>0</v>
      </c>
      <c r="V197" s="80">
        <v>0</v>
      </c>
      <c r="W197" s="80">
        <v>0</v>
      </c>
      <c r="X197" s="80">
        <v>0</v>
      </c>
      <c r="Y197" s="80">
        <v>0</v>
      </c>
      <c r="Z197" s="80">
        <v>0</v>
      </c>
      <c r="AA197" s="80">
        <v>0</v>
      </c>
      <c r="AB197" s="80">
        <v>0</v>
      </c>
      <c r="AC197" s="80">
        <v>0</v>
      </c>
      <c r="AD197" s="80">
        <v>0</v>
      </c>
      <c r="AE197" s="80">
        <v>0</v>
      </c>
      <c r="AF197" s="80">
        <v>0</v>
      </c>
      <c r="AG197" s="80">
        <v>0</v>
      </c>
      <c r="AH197" s="80">
        <v>0</v>
      </c>
      <c r="AI197" s="79">
        <v>46230.722453703704</v>
      </c>
    </row>
    <row r="198" spans="1:35" x14ac:dyDescent="0.3">
      <c r="A198" t="s">
        <v>799</v>
      </c>
      <c r="B198">
        <v>189</v>
      </c>
      <c r="C198">
        <v>189</v>
      </c>
      <c r="D198">
        <v>1</v>
      </c>
      <c r="E198" s="80">
        <v>5795112.8558</v>
      </c>
      <c r="F198" s="80">
        <v>5795112.8557823086</v>
      </c>
      <c r="G198" s="80">
        <v>3453855.0172111001</v>
      </c>
      <c r="H198" s="80">
        <v>1917403.3706732807</v>
      </c>
      <c r="I198" s="80">
        <v>0</v>
      </c>
      <c r="J198" s="80">
        <v>404346.74158247461</v>
      </c>
      <c r="K198" s="80">
        <v>298189.20018660388</v>
      </c>
      <c r="L198" s="80">
        <v>421862.52481737657</v>
      </c>
      <c r="M198" s="80">
        <v>352389.94925105985</v>
      </c>
      <c r="N198" s="80">
        <v>0</v>
      </c>
      <c r="O198" s="80">
        <v>0</v>
      </c>
      <c r="P198" s="80">
        <v>222534.99566256528</v>
      </c>
      <c r="Q198" s="80">
        <v>0</v>
      </c>
      <c r="R198" s="80">
        <v>189518.18428879938</v>
      </c>
      <c r="S198" s="80">
        <v>1410065.876376736</v>
      </c>
      <c r="T198" s="80">
        <v>269933.55043923442</v>
      </c>
      <c r="U198" s="80">
        <v>0</v>
      </c>
      <c r="V198" s="80">
        <v>76177.314635713701</v>
      </c>
      <c r="W198" s="80">
        <v>0</v>
      </c>
      <c r="X198" s="80">
        <v>571550.71130302735</v>
      </c>
      <c r="Y198" s="80">
        <v>0</v>
      </c>
      <c r="Z198" s="80">
        <v>0</v>
      </c>
      <c r="AA198" s="80">
        <v>13530.385816493661</v>
      </c>
      <c r="AB198" s="80">
        <v>0</v>
      </c>
      <c r="AC198" s="80">
        <v>0</v>
      </c>
      <c r="AD198" s="80">
        <v>0</v>
      </c>
      <c r="AE198" s="80">
        <v>0</v>
      </c>
      <c r="AF198" s="80">
        <v>0</v>
      </c>
      <c r="AG198" s="80">
        <v>0</v>
      </c>
      <c r="AH198" s="80">
        <v>0</v>
      </c>
      <c r="AI198" s="79">
        <v>46230.722500000003</v>
      </c>
    </row>
    <row r="199" spans="1:35" x14ac:dyDescent="0.3">
      <c r="A199" t="s">
        <v>800</v>
      </c>
      <c r="B199">
        <v>190</v>
      </c>
      <c r="C199">
        <v>190</v>
      </c>
      <c r="D199">
        <v>1</v>
      </c>
      <c r="E199" s="80">
        <v>3636919.6911999998</v>
      </c>
      <c r="F199" s="80">
        <v>3636919.6908095442</v>
      </c>
      <c r="G199" s="80">
        <v>1827724.0407436802</v>
      </c>
      <c r="H199" s="80">
        <v>68277.246024772947</v>
      </c>
      <c r="I199" s="80">
        <v>0</v>
      </c>
      <c r="J199" s="80">
        <v>76228.977731704625</v>
      </c>
      <c r="K199" s="80">
        <v>0</v>
      </c>
      <c r="L199" s="80">
        <v>0</v>
      </c>
      <c r="M199" s="80">
        <v>0</v>
      </c>
      <c r="N199" s="80">
        <v>0</v>
      </c>
      <c r="O199" s="80">
        <v>0</v>
      </c>
      <c r="P199" s="80">
        <v>1030137.1829762044</v>
      </c>
      <c r="Q199" s="80">
        <v>0</v>
      </c>
      <c r="R199" s="80">
        <v>653080.63401099865</v>
      </c>
      <c r="S199" s="80">
        <v>1118850.9299754277</v>
      </c>
      <c r="T199" s="80">
        <v>210727.48356149459</v>
      </c>
      <c r="U199" s="80">
        <v>0</v>
      </c>
      <c r="V199" s="80">
        <v>3859.9229570722082</v>
      </c>
      <c r="W199" s="80">
        <v>0</v>
      </c>
      <c r="X199" s="80">
        <v>475757.31357186567</v>
      </c>
      <c r="Y199" s="80">
        <v>0</v>
      </c>
      <c r="Z199" s="80">
        <v>0</v>
      </c>
      <c r="AA199" s="80">
        <v>0</v>
      </c>
      <c r="AB199" s="80">
        <v>0</v>
      </c>
      <c r="AC199" s="80">
        <v>0</v>
      </c>
      <c r="AD199" s="80">
        <v>0</v>
      </c>
      <c r="AE199" s="80">
        <v>0</v>
      </c>
      <c r="AF199" s="80">
        <v>0</v>
      </c>
      <c r="AG199" s="80">
        <v>0</v>
      </c>
      <c r="AH199" s="80">
        <v>0</v>
      </c>
      <c r="AI199" s="79">
        <v>46230.722546296296</v>
      </c>
    </row>
    <row r="200" spans="1:35" x14ac:dyDescent="0.3">
      <c r="A200" t="s">
        <v>801</v>
      </c>
      <c r="B200">
        <v>191</v>
      </c>
      <c r="C200">
        <v>191</v>
      </c>
      <c r="D200">
        <v>1</v>
      </c>
      <c r="E200" s="80">
        <v>9215520.9277999997</v>
      </c>
      <c r="F200" s="80">
        <v>9215520.9276498221</v>
      </c>
      <c r="G200" s="80">
        <v>8320989.8562053544</v>
      </c>
      <c r="H200" s="80">
        <v>4758668.9319739873</v>
      </c>
      <c r="I200" s="80">
        <v>0</v>
      </c>
      <c r="J200" s="80">
        <v>696141.50547385484</v>
      </c>
      <c r="K200" s="80">
        <v>1014074.8907800531</v>
      </c>
      <c r="L200" s="80">
        <v>586533.45024786878</v>
      </c>
      <c r="M200" s="80">
        <v>484878.3714545265</v>
      </c>
      <c r="N200" s="80">
        <v>0</v>
      </c>
      <c r="O200" s="80">
        <v>0</v>
      </c>
      <c r="P200" s="80">
        <v>971986.8574700735</v>
      </c>
      <c r="Q200" s="80">
        <v>0</v>
      </c>
      <c r="R200" s="80">
        <v>293584.22025952599</v>
      </c>
      <c r="S200" s="80">
        <v>525151.63000322157</v>
      </c>
      <c r="T200" s="80">
        <v>107434.40440194122</v>
      </c>
      <c r="U200" s="80">
        <v>0</v>
      </c>
      <c r="V200" s="80">
        <v>14385.815322966415</v>
      </c>
      <c r="W200" s="80">
        <v>0</v>
      </c>
      <c r="X200" s="80">
        <v>232247.76244145268</v>
      </c>
      <c r="Y200" s="80">
        <v>0</v>
      </c>
      <c r="Z200" s="80">
        <v>0</v>
      </c>
      <c r="AA200" s="80">
        <v>15311.45927488563</v>
      </c>
      <c r="AB200" s="80">
        <v>0</v>
      </c>
      <c r="AC200" s="80">
        <v>0</v>
      </c>
      <c r="AD200" s="80">
        <v>0</v>
      </c>
      <c r="AE200" s="80">
        <v>0</v>
      </c>
      <c r="AF200" s="80">
        <v>0</v>
      </c>
      <c r="AG200" s="80">
        <v>0</v>
      </c>
      <c r="AH200" s="80">
        <v>0</v>
      </c>
      <c r="AI200" s="79">
        <v>46230.722604166665</v>
      </c>
    </row>
    <row r="201" spans="1:35" x14ac:dyDescent="0.3">
      <c r="A201" t="s">
        <v>802</v>
      </c>
      <c r="B201">
        <v>192</v>
      </c>
      <c r="C201">
        <v>192</v>
      </c>
      <c r="D201">
        <v>1</v>
      </c>
      <c r="E201" s="80">
        <v>5325297.0125000002</v>
      </c>
      <c r="F201" s="80">
        <v>5325297.0128522394</v>
      </c>
      <c r="G201" s="80">
        <v>4795872.3199333083</v>
      </c>
      <c r="H201" s="80">
        <v>2719048.5585410716</v>
      </c>
      <c r="I201" s="80">
        <v>0</v>
      </c>
      <c r="J201" s="80">
        <v>420040.0549176216</v>
      </c>
      <c r="K201" s="80">
        <v>590515.30153216282</v>
      </c>
      <c r="L201" s="80">
        <v>340221.5584721709</v>
      </c>
      <c r="M201" s="80">
        <v>278594.89640453376</v>
      </c>
      <c r="N201" s="80">
        <v>0</v>
      </c>
      <c r="O201" s="80">
        <v>0</v>
      </c>
      <c r="P201" s="80">
        <v>554711.3334665962</v>
      </c>
      <c r="Q201" s="80">
        <v>0</v>
      </c>
      <c r="R201" s="80">
        <v>171335.51300368112</v>
      </c>
      <c r="S201" s="80">
        <v>310691.80527874921</v>
      </c>
      <c r="T201" s="80">
        <v>60449.152221574819</v>
      </c>
      <c r="U201" s="80">
        <v>0</v>
      </c>
      <c r="V201" s="80">
        <v>6388.1567917919501</v>
      </c>
      <c r="W201" s="80">
        <v>0</v>
      </c>
      <c r="X201" s="80">
        <v>141792.76779978978</v>
      </c>
      <c r="Y201" s="80">
        <v>0</v>
      </c>
      <c r="Z201" s="80">
        <v>0</v>
      </c>
      <c r="AA201" s="80">
        <v>10102.810827024472</v>
      </c>
      <c r="AB201" s="80">
        <v>0</v>
      </c>
      <c r="AC201" s="80">
        <v>0</v>
      </c>
      <c r="AD201" s="80">
        <v>0</v>
      </c>
      <c r="AE201" s="80">
        <v>0</v>
      </c>
      <c r="AF201" s="80">
        <v>0</v>
      </c>
      <c r="AG201" s="80">
        <v>0</v>
      </c>
      <c r="AH201" s="80">
        <v>0</v>
      </c>
      <c r="AI201" s="79">
        <v>46230.722662037035</v>
      </c>
    </row>
    <row r="202" spans="1:35" x14ac:dyDescent="0.3">
      <c r="A202" t="s">
        <v>803</v>
      </c>
      <c r="B202">
        <v>193</v>
      </c>
      <c r="C202">
        <v>193</v>
      </c>
      <c r="D202">
        <v>1</v>
      </c>
      <c r="E202" s="80">
        <v>418700.81780000002</v>
      </c>
      <c r="F202" s="80">
        <v>418700.81787389168</v>
      </c>
      <c r="G202" s="80">
        <v>0</v>
      </c>
      <c r="H202" s="80">
        <v>0</v>
      </c>
      <c r="I202" s="80">
        <v>0</v>
      </c>
      <c r="J202" s="80">
        <v>0</v>
      </c>
      <c r="K202" s="80">
        <v>0</v>
      </c>
      <c r="L202" s="80">
        <v>0</v>
      </c>
      <c r="M202" s="80">
        <v>0</v>
      </c>
      <c r="N202" s="80">
        <v>0</v>
      </c>
      <c r="O202" s="80">
        <v>0</v>
      </c>
      <c r="P202" s="80">
        <v>0</v>
      </c>
      <c r="Q202" s="80">
        <v>0</v>
      </c>
      <c r="R202" s="80">
        <v>0</v>
      </c>
      <c r="S202" s="80">
        <v>0</v>
      </c>
      <c r="T202" s="80">
        <v>0</v>
      </c>
      <c r="U202" s="80">
        <v>0</v>
      </c>
      <c r="V202" s="80">
        <v>0</v>
      </c>
      <c r="W202" s="80">
        <v>418700.81787389168</v>
      </c>
      <c r="X202" s="80">
        <v>0</v>
      </c>
      <c r="Y202" s="80">
        <v>0</v>
      </c>
      <c r="Z202" s="80">
        <v>0</v>
      </c>
      <c r="AA202" s="80">
        <v>0</v>
      </c>
      <c r="AB202" s="80">
        <v>0</v>
      </c>
      <c r="AC202" s="80">
        <v>0</v>
      </c>
      <c r="AD202" s="80">
        <v>0</v>
      </c>
      <c r="AE202" s="80">
        <v>0</v>
      </c>
      <c r="AF202" s="80">
        <v>0</v>
      </c>
      <c r="AG202" s="80">
        <v>0</v>
      </c>
      <c r="AH202" s="80">
        <v>0</v>
      </c>
      <c r="AI202" s="79">
        <v>46230.722719907404</v>
      </c>
    </row>
    <row r="203" spans="1:35" x14ac:dyDescent="0.3">
      <c r="A203" t="s">
        <v>804</v>
      </c>
      <c r="B203">
        <v>194</v>
      </c>
      <c r="C203">
        <v>194</v>
      </c>
      <c r="D203">
        <v>1</v>
      </c>
      <c r="E203" s="80">
        <v>922881.20900000003</v>
      </c>
      <c r="F203" s="80">
        <v>922881.20865027525</v>
      </c>
      <c r="G203" s="80">
        <v>0</v>
      </c>
      <c r="H203" s="80">
        <v>0</v>
      </c>
      <c r="I203" s="80">
        <v>0</v>
      </c>
      <c r="J203" s="80">
        <v>0</v>
      </c>
      <c r="K203" s="80">
        <v>0</v>
      </c>
      <c r="L203" s="80">
        <v>0</v>
      </c>
      <c r="M203" s="80">
        <v>0</v>
      </c>
      <c r="N203" s="80">
        <v>0</v>
      </c>
      <c r="O203" s="80">
        <v>0</v>
      </c>
      <c r="P203" s="80">
        <v>0</v>
      </c>
      <c r="Q203" s="80">
        <v>0</v>
      </c>
      <c r="R203" s="80">
        <v>0</v>
      </c>
      <c r="S203" s="80">
        <v>0</v>
      </c>
      <c r="T203" s="80">
        <v>0</v>
      </c>
      <c r="U203" s="80">
        <v>0</v>
      </c>
      <c r="V203" s="80">
        <v>0</v>
      </c>
      <c r="W203" s="80">
        <v>922881.20865027525</v>
      </c>
      <c r="X203" s="80">
        <v>0</v>
      </c>
      <c r="Y203" s="80">
        <v>0</v>
      </c>
      <c r="Z203" s="80">
        <v>0</v>
      </c>
      <c r="AA203" s="80">
        <v>0</v>
      </c>
      <c r="AB203" s="80">
        <v>0</v>
      </c>
      <c r="AC203" s="80">
        <v>0</v>
      </c>
      <c r="AD203" s="80">
        <v>0</v>
      </c>
      <c r="AE203" s="80">
        <v>0</v>
      </c>
      <c r="AF203" s="80">
        <v>0</v>
      </c>
      <c r="AG203" s="80">
        <v>0</v>
      </c>
      <c r="AH203" s="80">
        <v>0</v>
      </c>
      <c r="AI203" s="79">
        <v>46230.722766203704</v>
      </c>
    </row>
    <row r="204" spans="1:35" x14ac:dyDescent="0.3">
      <c r="A204" t="s">
        <v>805</v>
      </c>
      <c r="B204">
        <v>195</v>
      </c>
      <c r="C204">
        <v>195</v>
      </c>
      <c r="D204">
        <v>1</v>
      </c>
      <c r="E204" s="80">
        <v>610216.76560000004</v>
      </c>
      <c r="F204" s="80">
        <v>610216.76569415419</v>
      </c>
      <c r="G204" s="80">
        <v>0</v>
      </c>
      <c r="H204" s="80">
        <v>0</v>
      </c>
      <c r="I204" s="80">
        <v>0</v>
      </c>
      <c r="J204" s="80">
        <v>0</v>
      </c>
      <c r="K204" s="80">
        <v>0</v>
      </c>
      <c r="L204" s="80">
        <v>0</v>
      </c>
      <c r="M204" s="80">
        <v>0</v>
      </c>
      <c r="N204" s="80">
        <v>0</v>
      </c>
      <c r="O204" s="80">
        <v>0</v>
      </c>
      <c r="P204" s="80">
        <v>0</v>
      </c>
      <c r="Q204" s="80">
        <v>0</v>
      </c>
      <c r="R204" s="80">
        <v>0</v>
      </c>
      <c r="S204" s="80">
        <v>0</v>
      </c>
      <c r="T204" s="80">
        <v>0</v>
      </c>
      <c r="U204" s="80">
        <v>600216.76569415419</v>
      </c>
      <c r="V204" s="80">
        <v>0</v>
      </c>
      <c r="W204" s="80">
        <v>0</v>
      </c>
      <c r="X204" s="80">
        <v>0</v>
      </c>
      <c r="Y204" s="80">
        <v>0</v>
      </c>
      <c r="Z204" s="80">
        <v>0</v>
      </c>
      <c r="AA204" s="80">
        <v>0</v>
      </c>
      <c r="AB204" s="80">
        <v>0</v>
      </c>
      <c r="AC204" s="80">
        <v>0</v>
      </c>
      <c r="AD204" s="80">
        <v>0</v>
      </c>
      <c r="AE204" s="80">
        <v>0</v>
      </c>
      <c r="AF204" s="80">
        <v>0</v>
      </c>
      <c r="AG204" s="80">
        <v>10000</v>
      </c>
      <c r="AH204" s="80">
        <v>10000</v>
      </c>
      <c r="AI204" s="79">
        <v>46230.722812499997</v>
      </c>
    </row>
    <row r="205" spans="1:35" x14ac:dyDescent="0.3">
      <c r="A205" t="s">
        <v>507</v>
      </c>
      <c r="B205">
        <v>196</v>
      </c>
      <c r="C205">
        <v>196</v>
      </c>
      <c r="D205">
        <v>1</v>
      </c>
      <c r="E205" s="80">
        <v>1815895.4654000001</v>
      </c>
      <c r="F205" s="80">
        <v>1815895.4654088027</v>
      </c>
      <c r="G205" s="80">
        <v>0</v>
      </c>
      <c r="H205" s="80">
        <v>0</v>
      </c>
      <c r="I205" s="80">
        <v>0</v>
      </c>
      <c r="J205" s="80">
        <v>0</v>
      </c>
      <c r="K205" s="80">
        <v>0</v>
      </c>
      <c r="L205" s="80">
        <v>0</v>
      </c>
      <c r="M205" s="80">
        <v>0</v>
      </c>
      <c r="N205" s="80">
        <v>0</v>
      </c>
      <c r="O205" s="80">
        <v>0</v>
      </c>
      <c r="P205" s="80">
        <v>0</v>
      </c>
      <c r="Q205" s="80">
        <v>0</v>
      </c>
      <c r="R205" s="80">
        <v>0</v>
      </c>
      <c r="S205" s="80">
        <v>0</v>
      </c>
      <c r="T205" s="80">
        <v>0</v>
      </c>
      <c r="U205" s="80">
        <v>1791895.4654088027</v>
      </c>
      <c r="V205" s="80">
        <v>0</v>
      </c>
      <c r="W205" s="80">
        <v>0</v>
      </c>
      <c r="X205" s="80">
        <v>0</v>
      </c>
      <c r="Y205" s="80">
        <v>0</v>
      </c>
      <c r="Z205" s="80">
        <v>0</v>
      </c>
      <c r="AA205" s="80">
        <v>0</v>
      </c>
      <c r="AB205" s="80">
        <v>0</v>
      </c>
      <c r="AC205" s="80">
        <v>0</v>
      </c>
      <c r="AD205" s="80">
        <v>0</v>
      </c>
      <c r="AE205" s="80">
        <v>0</v>
      </c>
      <c r="AF205" s="80">
        <v>0</v>
      </c>
      <c r="AG205" s="80">
        <v>24000</v>
      </c>
      <c r="AH205" s="80">
        <v>24000</v>
      </c>
      <c r="AI205" s="79">
        <v>46230.722870370373</v>
      </c>
    </row>
    <row r="206" spans="1:35" x14ac:dyDescent="0.3">
      <c r="A206" t="s">
        <v>806</v>
      </c>
      <c r="B206">
        <v>197</v>
      </c>
      <c r="C206">
        <v>197</v>
      </c>
      <c r="D206">
        <v>1</v>
      </c>
      <c r="E206" s="80">
        <v>1507844.9169000001</v>
      </c>
      <c r="F206" s="80">
        <v>1507844.9170929415</v>
      </c>
      <c r="G206" s="80">
        <v>0</v>
      </c>
      <c r="H206" s="80">
        <v>0</v>
      </c>
      <c r="I206" s="80">
        <v>0</v>
      </c>
      <c r="J206" s="80">
        <v>0</v>
      </c>
      <c r="K206" s="80">
        <v>0</v>
      </c>
      <c r="L206" s="80">
        <v>0</v>
      </c>
      <c r="M206" s="80">
        <v>0</v>
      </c>
      <c r="N206" s="80">
        <v>0</v>
      </c>
      <c r="O206" s="80">
        <v>0</v>
      </c>
      <c r="P206" s="80">
        <v>0</v>
      </c>
      <c r="Q206" s="80">
        <v>0</v>
      </c>
      <c r="R206" s="80">
        <v>0</v>
      </c>
      <c r="S206" s="80">
        <v>0</v>
      </c>
      <c r="T206" s="80">
        <v>0</v>
      </c>
      <c r="U206" s="80">
        <v>1497844.9170929415</v>
      </c>
      <c r="V206" s="80">
        <v>0</v>
      </c>
      <c r="W206" s="80">
        <v>0</v>
      </c>
      <c r="X206" s="80">
        <v>0</v>
      </c>
      <c r="Y206" s="80">
        <v>0</v>
      </c>
      <c r="Z206" s="80">
        <v>0</v>
      </c>
      <c r="AA206" s="80">
        <v>0</v>
      </c>
      <c r="AB206" s="80">
        <v>0</v>
      </c>
      <c r="AC206" s="80">
        <v>0</v>
      </c>
      <c r="AD206" s="80">
        <v>0</v>
      </c>
      <c r="AE206" s="80">
        <v>0</v>
      </c>
      <c r="AF206" s="80">
        <v>0</v>
      </c>
      <c r="AG206" s="80">
        <v>10000</v>
      </c>
      <c r="AH206" s="80">
        <v>10000</v>
      </c>
      <c r="AI206" s="79">
        <v>46230.722916666666</v>
      </c>
    </row>
    <row r="207" spans="1:35" x14ac:dyDescent="0.3">
      <c r="A207" t="s">
        <v>807</v>
      </c>
      <c r="B207">
        <v>198</v>
      </c>
      <c r="C207">
        <v>198</v>
      </c>
      <c r="D207">
        <v>1</v>
      </c>
      <c r="E207" s="80">
        <v>1693272.9065</v>
      </c>
      <c r="F207" s="80">
        <v>1693272.9065268994</v>
      </c>
      <c r="G207" s="80">
        <v>0</v>
      </c>
      <c r="H207" s="80">
        <v>0</v>
      </c>
      <c r="I207" s="80">
        <v>0</v>
      </c>
      <c r="J207" s="80">
        <v>0</v>
      </c>
      <c r="K207" s="80">
        <v>0</v>
      </c>
      <c r="L207" s="80">
        <v>0</v>
      </c>
      <c r="M207" s="80">
        <v>0</v>
      </c>
      <c r="N207" s="80">
        <v>0</v>
      </c>
      <c r="O207" s="80">
        <v>0</v>
      </c>
      <c r="P207" s="80">
        <v>0</v>
      </c>
      <c r="Q207" s="80">
        <v>0</v>
      </c>
      <c r="R207" s="80">
        <v>0</v>
      </c>
      <c r="S207" s="80">
        <v>0</v>
      </c>
      <c r="T207" s="80">
        <v>0</v>
      </c>
      <c r="U207" s="80">
        <v>1362520.3723468469</v>
      </c>
      <c r="V207" s="80">
        <v>0</v>
      </c>
      <c r="W207" s="80">
        <v>310752.53418005275</v>
      </c>
      <c r="X207" s="80">
        <v>0</v>
      </c>
      <c r="Y207" s="80">
        <v>0</v>
      </c>
      <c r="Z207" s="80">
        <v>0</v>
      </c>
      <c r="AA207" s="80">
        <v>0</v>
      </c>
      <c r="AB207" s="80">
        <v>0</v>
      </c>
      <c r="AC207" s="80">
        <v>0</v>
      </c>
      <c r="AD207" s="80">
        <v>0</v>
      </c>
      <c r="AE207" s="80">
        <v>0</v>
      </c>
      <c r="AF207" s="80">
        <v>0</v>
      </c>
      <c r="AG207" s="80">
        <v>20000</v>
      </c>
      <c r="AH207" s="80">
        <v>20000</v>
      </c>
      <c r="AI207" s="79">
        <v>46230.722974537035</v>
      </c>
    </row>
    <row r="208" spans="1:35" x14ac:dyDescent="0.3">
      <c r="A208" t="s">
        <v>442</v>
      </c>
      <c r="B208">
        <v>199</v>
      </c>
      <c r="C208">
        <v>199</v>
      </c>
      <c r="D208">
        <v>1</v>
      </c>
      <c r="E208" s="80">
        <v>1969421.8907999999</v>
      </c>
      <c r="F208" s="80">
        <v>1969421.8866094451</v>
      </c>
      <c r="G208" s="80">
        <v>1969421.8866094451</v>
      </c>
      <c r="H208" s="80">
        <v>930046.81941326137</v>
      </c>
      <c r="I208" s="80">
        <v>0</v>
      </c>
      <c r="J208" s="80">
        <v>0</v>
      </c>
      <c r="K208" s="80">
        <v>0</v>
      </c>
      <c r="L208" s="80">
        <v>1039375.0671961858</v>
      </c>
      <c r="M208" s="80">
        <v>1039375.0671961858</v>
      </c>
      <c r="N208" s="80">
        <v>0</v>
      </c>
      <c r="O208" s="80">
        <v>0</v>
      </c>
      <c r="P208" s="80">
        <v>0</v>
      </c>
      <c r="Q208" s="80">
        <v>0</v>
      </c>
      <c r="R208" s="80">
        <v>0</v>
      </c>
      <c r="S208" s="80">
        <v>0</v>
      </c>
      <c r="T208" s="80">
        <v>0</v>
      </c>
      <c r="U208" s="80">
        <v>0</v>
      </c>
      <c r="V208" s="80">
        <v>0</v>
      </c>
      <c r="W208" s="80">
        <v>0</v>
      </c>
      <c r="X208" s="80">
        <v>0</v>
      </c>
      <c r="Y208" s="80">
        <v>0</v>
      </c>
      <c r="Z208" s="80">
        <v>0</v>
      </c>
      <c r="AA208" s="80">
        <v>0</v>
      </c>
      <c r="AB208" s="80">
        <v>0</v>
      </c>
      <c r="AC208" s="80">
        <v>0</v>
      </c>
      <c r="AD208" s="80">
        <v>0</v>
      </c>
      <c r="AE208" s="80">
        <v>0</v>
      </c>
      <c r="AF208" s="80">
        <v>0</v>
      </c>
      <c r="AG208" s="80">
        <v>0</v>
      </c>
      <c r="AH208" s="80">
        <v>0</v>
      </c>
      <c r="AI208" s="79">
        <v>46230.723020833335</v>
      </c>
    </row>
    <row r="209" spans="1:35" x14ac:dyDescent="0.3">
      <c r="A209" t="s">
        <v>444</v>
      </c>
      <c r="B209">
        <v>200</v>
      </c>
      <c r="C209">
        <v>200</v>
      </c>
      <c r="D209">
        <v>1</v>
      </c>
      <c r="E209" s="80">
        <v>1053468.9362000001</v>
      </c>
      <c r="F209" s="80">
        <v>1053468.9422644691</v>
      </c>
      <c r="G209" s="80">
        <v>1053468.9422644691</v>
      </c>
      <c r="H209" s="80">
        <v>609168.33617583127</v>
      </c>
      <c r="I209" s="80">
        <v>0</v>
      </c>
      <c r="J209" s="80">
        <v>0</v>
      </c>
      <c r="K209" s="80">
        <v>3128.9751429239495</v>
      </c>
      <c r="L209" s="80">
        <v>441171.6309457114</v>
      </c>
      <c r="M209" s="80">
        <v>433215.55503625423</v>
      </c>
      <c r="N209" s="80">
        <v>0</v>
      </c>
      <c r="O209" s="80">
        <v>0</v>
      </c>
      <c r="P209" s="80">
        <v>0</v>
      </c>
      <c r="Q209" s="80">
        <v>0</v>
      </c>
      <c r="R209" s="80">
        <v>0</v>
      </c>
      <c r="S209" s="80">
        <v>0</v>
      </c>
      <c r="T209" s="80">
        <v>0</v>
      </c>
      <c r="U209" s="80">
        <v>0</v>
      </c>
      <c r="V209" s="80">
        <v>0</v>
      </c>
      <c r="W209" s="80">
        <v>0</v>
      </c>
      <c r="X209" s="80">
        <v>0</v>
      </c>
      <c r="Y209" s="80">
        <v>0</v>
      </c>
      <c r="Z209" s="80">
        <v>0</v>
      </c>
      <c r="AA209" s="80">
        <v>0</v>
      </c>
      <c r="AB209" s="80">
        <v>0</v>
      </c>
      <c r="AC209" s="80">
        <v>0</v>
      </c>
      <c r="AD209" s="80">
        <v>0</v>
      </c>
      <c r="AE209" s="80">
        <v>0</v>
      </c>
      <c r="AF209" s="80">
        <v>0</v>
      </c>
      <c r="AG209" s="80">
        <v>0</v>
      </c>
      <c r="AH209" s="80">
        <v>0</v>
      </c>
      <c r="AI209" s="79">
        <v>46230.723067129627</v>
      </c>
    </row>
    <row r="210" spans="1:35" x14ac:dyDescent="0.3">
      <c r="A210" t="s">
        <v>808</v>
      </c>
      <c r="B210">
        <v>201</v>
      </c>
      <c r="C210">
        <v>201</v>
      </c>
      <c r="D210">
        <v>1</v>
      </c>
      <c r="E210" s="80">
        <v>1258325.2265999999</v>
      </c>
      <c r="F210" s="80">
        <v>1258325.231684102</v>
      </c>
      <c r="G210" s="80">
        <v>1258325.231684102</v>
      </c>
      <c r="H210" s="80">
        <v>745835.17875338567</v>
      </c>
      <c r="I210" s="80">
        <v>0</v>
      </c>
      <c r="J210" s="80">
        <v>0</v>
      </c>
      <c r="K210" s="80">
        <v>10984.115575272141</v>
      </c>
      <c r="L210" s="80">
        <v>501505.93735544826</v>
      </c>
      <c r="M210" s="80">
        <v>489441.77357072494</v>
      </c>
      <c r="N210" s="80">
        <v>0</v>
      </c>
      <c r="O210" s="80">
        <v>0</v>
      </c>
      <c r="P210" s="80">
        <v>0</v>
      </c>
      <c r="Q210" s="80">
        <v>0</v>
      </c>
      <c r="R210" s="80">
        <v>0</v>
      </c>
      <c r="S210" s="80">
        <v>0</v>
      </c>
      <c r="T210" s="80">
        <v>0</v>
      </c>
      <c r="U210" s="80">
        <v>0</v>
      </c>
      <c r="V210" s="80">
        <v>0</v>
      </c>
      <c r="W210" s="80">
        <v>0</v>
      </c>
      <c r="X210" s="80">
        <v>0</v>
      </c>
      <c r="Y210" s="80">
        <v>0</v>
      </c>
      <c r="Z210" s="80">
        <v>0</v>
      </c>
      <c r="AA210" s="80">
        <v>0</v>
      </c>
      <c r="AB210" s="80">
        <v>0</v>
      </c>
      <c r="AC210" s="80">
        <v>0</v>
      </c>
      <c r="AD210" s="80">
        <v>0</v>
      </c>
      <c r="AE210" s="80">
        <v>0</v>
      </c>
      <c r="AF210" s="80">
        <v>0</v>
      </c>
      <c r="AG210" s="80">
        <v>0</v>
      </c>
      <c r="AH210" s="80">
        <v>0</v>
      </c>
      <c r="AI210" s="79">
        <v>46230.723113425927</v>
      </c>
    </row>
    <row r="211" spans="1:35" x14ac:dyDescent="0.3">
      <c r="A211" t="s">
        <v>809</v>
      </c>
      <c r="B211">
        <v>202</v>
      </c>
      <c r="C211">
        <v>202</v>
      </c>
      <c r="D211">
        <v>1</v>
      </c>
      <c r="E211" s="80">
        <v>2646392.3832</v>
      </c>
      <c r="F211" s="80">
        <v>2646392.3825734411</v>
      </c>
      <c r="G211" s="80">
        <v>2646392.3825734411</v>
      </c>
      <c r="H211" s="80">
        <v>1486400.4418511912</v>
      </c>
      <c r="I211" s="80">
        <v>0</v>
      </c>
      <c r="J211" s="80">
        <v>0</v>
      </c>
      <c r="K211" s="80">
        <v>13788.51198357063</v>
      </c>
      <c r="L211" s="80">
        <v>1146203.4287386818</v>
      </c>
      <c r="M211" s="80">
        <v>1120936.014533075</v>
      </c>
      <c r="N211" s="80">
        <v>0</v>
      </c>
      <c r="O211" s="80">
        <v>0</v>
      </c>
      <c r="P211" s="80">
        <v>0</v>
      </c>
      <c r="Q211" s="80">
        <v>0</v>
      </c>
      <c r="R211" s="80">
        <v>0</v>
      </c>
      <c r="S211" s="80">
        <v>0</v>
      </c>
      <c r="T211" s="80">
        <v>0</v>
      </c>
      <c r="U211" s="80">
        <v>0</v>
      </c>
      <c r="V211" s="80">
        <v>0</v>
      </c>
      <c r="W211" s="80">
        <v>0</v>
      </c>
      <c r="X211" s="80">
        <v>0</v>
      </c>
      <c r="Y211" s="80">
        <v>0</v>
      </c>
      <c r="Z211" s="80">
        <v>0</v>
      </c>
      <c r="AA211" s="80">
        <v>0</v>
      </c>
      <c r="AB211" s="80">
        <v>0</v>
      </c>
      <c r="AC211" s="80">
        <v>0</v>
      </c>
      <c r="AD211" s="80">
        <v>0</v>
      </c>
      <c r="AE211" s="80">
        <v>0</v>
      </c>
      <c r="AF211" s="80">
        <v>0</v>
      </c>
      <c r="AG211" s="80">
        <v>0</v>
      </c>
      <c r="AH211" s="80">
        <v>0</v>
      </c>
      <c r="AI211" s="79">
        <v>46230.723171296297</v>
      </c>
    </row>
    <row r="212" spans="1:35" x14ac:dyDescent="0.3">
      <c r="A212" t="s">
        <v>520</v>
      </c>
      <c r="B212">
        <v>203</v>
      </c>
      <c r="C212">
        <v>203</v>
      </c>
      <c r="D212">
        <v>1</v>
      </c>
      <c r="E212" s="80">
        <v>3438424.9898999999</v>
      </c>
      <c r="F212" s="80">
        <v>3438424.9898673319</v>
      </c>
      <c r="G212" s="80">
        <v>3402678.0019832305</v>
      </c>
      <c r="H212" s="80">
        <v>136623.30479459191</v>
      </c>
      <c r="I212" s="80">
        <v>0</v>
      </c>
      <c r="J212" s="80">
        <v>1308038.5650763204</v>
      </c>
      <c r="K212" s="80">
        <v>0</v>
      </c>
      <c r="L212" s="80">
        <v>0</v>
      </c>
      <c r="M212" s="80">
        <v>0</v>
      </c>
      <c r="N212" s="80">
        <v>0</v>
      </c>
      <c r="O212" s="80">
        <v>0</v>
      </c>
      <c r="P212" s="80">
        <v>1075334.7577536344</v>
      </c>
      <c r="Q212" s="80">
        <v>0</v>
      </c>
      <c r="R212" s="80">
        <v>882681.37435868173</v>
      </c>
      <c r="S212" s="80">
        <v>0</v>
      </c>
      <c r="T212" s="80">
        <v>0</v>
      </c>
      <c r="U212" s="80">
        <v>0</v>
      </c>
      <c r="V212" s="80">
        <v>35746.987884101</v>
      </c>
      <c r="W212" s="80">
        <v>0</v>
      </c>
      <c r="X212" s="80">
        <v>0</v>
      </c>
      <c r="Y212" s="80">
        <v>0</v>
      </c>
      <c r="Z212" s="80">
        <v>0</v>
      </c>
      <c r="AA212" s="80">
        <v>0</v>
      </c>
      <c r="AB212" s="80">
        <v>0</v>
      </c>
      <c r="AC212" s="80">
        <v>0</v>
      </c>
      <c r="AD212" s="80">
        <v>0</v>
      </c>
      <c r="AE212" s="80">
        <v>0</v>
      </c>
      <c r="AF212" s="80">
        <v>0</v>
      </c>
      <c r="AG212" s="80">
        <v>0</v>
      </c>
      <c r="AH212" s="80">
        <v>0</v>
      </c>
      <c r="AI212" s="79">
        <v>46230.723229166666</v>
      </c>
    </row>
    <row r="213" spans="1:35" x14ac:dyDescent="0.3">
      <c r="A213" t="s">
        <v>810</v>
      </c>
      <c r="B213">
        <v>204</v>
      </c>
      <c r="C213">
        <v>204</v>
      </c>
      <c r="D213">
        <v>1</v>
      </c>
      <c r="E213" s="80">
        <v>2195686.3511999999</v>
      </c>
      <c r="F213" s="80">
        <v>2195686.3509717388</v>
      </c>
      <c r="G213" s="80">
        <v>2195686.3509717388</v>
      </c>
      <c r="H213" s="80">
        <v>94899.432128919623</v>
      </c>
      <c r="I213" s="80">
        <v>0</v>
      </c>
      <c r="J213" s="80">
        <v>719519.53368907247</v>
      </c>
      <c r="K213" s="80">
        <v>545097.3126400453</v>
      </c>
      <c r="L213" s="80">
        <v>633782.70495934796</v>
      </c>
      <c r="M213" s="80">
        <v>618274.26193530823</v>
      </c>
      <c r="N213" s="80">
        <v>0</v>
      </c>
      <c r="O213" s="80">
        <v>0</v>
      </c>
      <c r="P213" s="80">
        <v>108835.08175496492</v>
      </c>
      <c r="Q213" s="80">
        <v>0</v>
      </c>
      <c r="R213" s="80">
        <v>93552.285799387886</v>
      </c>
      <c r="S213" s="80">
        <v>0</v>
      </c>
      <c r="T213" s="80">
        <v>0</v>
      </c>
      <c r="U213" s="80">
        <v>0</v>
      </c>
      <c r="V213" s="80">
        <v>0</v>
      </c>
      <c r="W213" s="80">
        <v>0</v>
      </c>
      <c r="X213" s="80">
        <v>0</v>
      </c>
      <c r="Y213" s="80">
        <v>0</v>
      </c>
      <c r="Z213" s="80">
        <v>0</v>
      </c>
      <c r="AA213" s="80">
        <v>0</v>
      </c>
      <c r="AB213" s="80">
        <v>0</v>
      </c>
      <c r="AC213" s="80">
        <v>0</v>
      </c>
      <c r="AD213" s="80">
        <v>0</v>
      </c>
      <c r="AE213" s="80">
        <v>0</v>
      </c>
      <c r="AF213" s="80">
        <v>0</v>
      </c>
      <c r="AG213" s="80">
        <v>0</v>
      </c>
      <c r="AH213" s="80">
        <v>0</v>
      </c>
      <c r="AI213" s="79">
        <v>46230.723275462966</v>
      </c>
    </row>
    <row r="214" spans="1:35" x14ac:dyDescent="0.3">
      <c r="A214" t="s">
        <v>561</v>
      </c>
      <c r="B214">
        <v>205</v>
      </c>
      <c r="C214">
        <v>205</v>
      </c>
      <c r="D214">
        <v>1</v>
      </c>
      <c r="E214" s="80">
        <v>9306353.3333000001</v>
      </c>
      <c r="F214" s="80">
        <v>9306353.3331063818</v>
      </c>
      <c r="G214" s="80">
        <v>9306353.3331063818</v>
      </c>
      <c r="H214" s="80">
        <v>302449.00798344938</v>
      </c>
      <c r="I214" s="80">
        <v>0</v>
      </c>
      <c r="J214" s="80">
        <v>1772018.0695503661</v>
      </c>
      <c r="K214" s="80">
        <v>3344610.5283730337</v>
      </c>
      <c r="L214" s="80">
        <v>3887275.7271995307</v>
      </c>
      <c r="M214" s="80">
        <v>3591984.1623963369</v>
      </c>
      <c r="N214" s="80">
        <v>0</v>
      </c>
      <c r="O214" s="80">
        <v>0</v>
      </c>
      <c r="P214" s="80">
        <v>0</v>
      </c>
      <c r="Q214" s="80">
        <v>0</v>
      </c>
      <c r="R214" s="80">
        <v>0</v>
      </c>
      <c r="S214" s="80">
        <v>0</v>
      </c>
      <c r="T214" s="80">
        <v>0</v>
      </c>
      <c r="U214" s="80">
        <v>0</v>
      </c>
      <c r="V214" s="80">
        <v>0</v>
      </c>
      <c r="W214" s="80">
        <v>0</v>
      </c>
      <c r="X214" s="80">
        <v>0</v>
      </c>
      <c r="Y214" s="80">
        <v>0</v>
      </c>
      <c r="Z214" s="80">
        <v>0</v>
      </c>
      <c r="AA214" s="80">
        <v>0</v>
      </c>
      <c r="AB214" s="80">
        <v>0</v>
      </c>
      <c r="AC214" s="80">
        <v>0</v>
      </c>
      <c r="AD214" s="80">
        <v>0</v>
      </c>
      <c r="AE214" s="80">
        <v>0</v>
      </c>
      <c r="AF214" s="80">
        <v>0</v>
      </c>
      <c r="AG214" s="80">
        <v>0</v>
      </c>
      <c r="AH214" s="80">
        <v>0</v>
      </c>
      <c r="AI214" s="79">
        <v>46230.723333333335</v>
      </c>
    </row>
    <row r="215" spans="1:35" x14ac:dyDescent="0.3">
      <c r="A215" t="s">
        <v>562</v>
      </c>
      <c r="B215">
        <v>206</v>
      </c>
      <c r="C215">
        <v>206</v>
      </c>
      <c r="D215">
        <v>1</v>
      </c>
      <c r="E215" s="80">
        <v>3129490.8067000001</v>
      </c>
      <c r="F215" s="80">
        <v>3129490.8225105307</v>
      </c>
      <c r="G215" s="80">
        <v>3129490.8225105307</v>
      </c>
      <c r="H215" s="80">
        <v>111390.34802507181</v>
      </c>
      <c r="I215" s="80">
        <v>0</v>
      </c>
      <c r="J215" s="80">
        <v>632110.58353375515</v>
      </c>
      <c r="K215" s="80">
        <v>1092024.7928936619</v>
      </c>
      <c r="L215" s="80">
        <v>1293965.0980580752</v>
      </c>
      <c r="M215" s="80">
        <v>1146752.1687713675</v>
      </c>
      <c r="N215" s="80">
        <v>0</v>
      </c>
      <c r="O215" s="80">
        <v>0</v>
      </c>
      <c r="P215" s="80">
        <v>0</v>
      </c>
      <c r="Q215" s="80">
        <v>0</v>
      </c>
      <c r="R215" s="80">
        <v>0</v>
      </c>
      <c r="S215" s="80">
        <v>0</v>
      </c>
      <c r="T215" s="80">
        <v>0</v>
      </c>
      <c r="U215" s="80">
        <v>0</v>
      </c>
      <c r="V215" s="80">
        <v>0</v>
      </c>
      <c r="W215" s="80">
        <v>0</v>
      </c>
      <c r="X215" s="80">
        <v>0</v>
      </c>
      <c r="Y215" s="80">
        <v>0</v>
      </c>
      <c r="Z215" s="80">
        <v>0</v>
      </c>
      <c r="AA215" s="80">
        <v>0</v>
      </c>
      <c r="AB215" s="80">
        <v>0</v>
      </c>
      <c r="AC215" s="80">
        <v>0</v>
      </c>
      <c r="AD215" s="80">
        <v>0</v>
      </c>
      <c r="AE215" s="80">
        <v>0</v>
      </c>
      <c r="AF215" s="80">
        <v>0</v>
      </c>
      <c r="AG215" s="80">
        <v>0</v>
      </c>
      <c r="AH215" s="80">
        <v>0</v>
      </c>
      <c r="AI215" s="79">
        <v>46230.723391203705</v>
      </c>
    </row>
    <row r="216" spans="1:35" x14ac:dyDescent="0.3">
      <c r="A216" t="s">
        <v>811</v>
      </c>
      <c r="B216">
        <v>207</v>
      </c>
      <c r="C216">
        <v>207</v>
      </c>
      <c r="D216">
        <v>1</v>
      </c>
      <c r="E216" s="80">
        <v>1938914.6274000001</v>
      </c>
      <c r="F216" s="80">
        <v>1938914.6331126243</v>
      </c>
      <c r="G216" s="80">
        <v>1938914.6331126243</v>
      </c>
      <c r="H216" s="80">
        <v>69424.803372301321</v>
      </c>
      <c r="I216" s="80">
        <v>0</v>
      </c>
      <c r="J216" s="80">
        <v>313091.21520645218</v>
      </c>
      <c r="K216" s="80">
        <v>730253.87112579728</v>
      </c>
      <c r="L216" s="80">
        <v>826144.74340807647</v>
      </c>
      <c r="M216" s="80">
        <v>786144.74328007665</v>
      </c>
      <c r="N216" s="80">
        <v>0</v>
      </c>
      <c r="O216" s="80">
        <v>0</v>
      </c>
      <c r="P216" s="80">
        <v>0</v>
      </c>
      <c r="Q216" s="80">
        <v>0</v>
      </c>
      <c r="R216" s="80">
        <v>0</v>
      </c>
      <c r="S216" s="80">
        <v>0</v>
      </c>
      <c r="T216" s="80">
        <v>0</v>
      </c>
      <c r="U216" s="80">
        <v>0</v>
      </c>
      <c r="V216" s="80">
        <v>0</v>
      </c>
      <c r="W216" s="80">
        <v>0</v>
      </c>
      <c r="X216" s="80">
        <v>0</v>
      </c>
      <c r="Y216" s="80">
        <v>0</v>
      </c>
      <c r="Z216" s="80">
        <v>0</v>
      </c>
      <c r="AA216" s="80">
        <v>0</v>
      </c>
      <c r="AB216" s="80">
        <v>0</v>
      </c>
      <c r="AC216" s="80">
        <v>0</v>
      </c>
      <c r="AD216" s="80">
        <v>0</v>
      </c>
      <c r="AE216" s="80">
        <v>0</v>
      </c>
      <c r="AF216" s="80">
        <v>0</v>
      </c>
      <c r="AG216" s="80">
        <v>0</v>
      </c>
      <c r="AH216" s="80">
        <v>0</v>
      </c>
      <c r="AI216" s="79">
        <v>46230.723449074074</v>
      </c>
    </row>
    <row r="217" spans="1:35" x14ac:dyDescent="0.3">
      <c r="A217" t="s">
        <v>567</v>
      </c>
      <c r="B217">
        <v>208</v>
      </c>
      <c r="C217">
        <v>208</v>
      </c>
      <c r="D217">
        <v>1</v>
      </c>
      <c r="E217" s="80">
        <v>922500</v>
      </c>
      <c r="F217" s="80">
        <v>922500</v>
      </c>
      <c r="G217" s="80">
        <v>0</v>
      </c>
      <c r="H217" s="80">
        <v>0</v>
      </c>
      <c r="I217" s="80">
        <v>0</v>
      </c>
      <c r="J217" s="80">
        <v>0</v>
      </c>
      <c r="K217" s="80">
        <v>0</v>
      </c>
      <c r="L217" s="80">
        <v>0</v>
      </c>
      <c r="M217" s="80">
        <v>0</v>
      </c>
      <c r="N217" s="80">
        <v>0</v>
      </c>
      <c r="O217" s="80">
        <v>0</v>
      </c>
      <c r="P217" s="80">
        <v>0</v>
      </c>
      <c r="Q217" s="80">
        <v>0</v>
      </c>
      <c r="R217" s="80">
        <v>0</v>
      </c>
      <c r="S217" s="80">
        <v>0</v>
      </c>
      <c r="T217" s="80">
        <v>0</v>
      </c>
      <c r="U217" s="80">
        <v>0</v>
      </c>
      <c r="V217" s="80">
        <v>0</v>
      </c>
      <c r="W217" s="80">
        <v>0</v>
      </c>
      <c r="X217" s="80">
        <v>0</v>
      </c>
      <c r="Y217" s="80">
        <v>0</v>
      </c>
      <c r="Z217" s="80">
        <v>0</v>
      </c>
      <c r="AA217" s="80">
        <v>0</v>
      </c>
      <c r="AB217" s="80">
        <v>922500</v>
      </c>
      <c r="AC217" s="80">
        <v>0</v>
      </c>
      <c r="AD217" s="80">
        <v>0</v>
      </c>
      <c r="AE217" s="80">
        <v>0</v>
      </c>
      <c r="AF217" s="80">
        <v>0</v>
      </c>
      <c r="AG217" s="80">
        <v>0</v>
      </c>
      <c r="AH217" s="80">
        <v>0</v>
      </c>
      <c r="AI217" s="79">
        <v>46230.723483796297</v>
      </c>
    </row>
    <row r="218" spans="1:35" x14ac:dyDescent="0.3">
      <c r="A218" t="s">
        <v>812</v>
      </c>
      <c r="B218">
        <v>209</v>
      </c>
      <c r="C218">
        <v>209</v>
      </c>
      <c r="D218">
        <v>1</v>
      </c>
      <c r="E218" s="80">
        <v>2739646.4312999998</v>
      </c>
      <c r="F218" s="80">
        <v>2739646.4311062931</v>
      </c>
      <c r="G218" s="80">
        <v>2267925.5626400113</v>
      </c>
      <c r="H218" s="80">
        <v>229382.48813026704</v>
      </c>
      <c r="I218" s="80">
        <v>0</v>
      </c>
      <c r="J218" s="80">
        <v>364283.66625734814</v>
      </c>
      <c r="K218" s="80">
        <v>408355.92554703722</v>
      </c>
      <c r="L218" s="80">
        <v>94997.378889270694</v>
      </c>
      <c r="M218" s="80">
        <v>94997.378889270694</v>
      </c>
      <c r="N218" s="80">
        <v>0</v>
      </c>
      <c r="O218" s="80">
        <v>0</v>
      </c>
      <c r="P218" s="80">
        <v>775056.45194514573</v>
      </c>
      <c r="Q218" s="80">
        <v>0</v>
      </c>
      <c r="R218" s="80">
        <v>395849.65187094215</v>
      </c>
      <c r="S218" s="80">
        <v>297314.0406529053</v>
      </c>
      <c r="T218" s="80">
        <v>51080.415625726964</v>
      </c>
      <c r="U218" s="80">
        <v>0</v>
      </c>
      <c r="V218" s="80">
        <v>0</v>
      </c>
      <c r="W218" s="80">
        <v>0</v>
      </c>
      <c r="X218" s="80">
        <v>123326.4121876503</v>
      </c>
      <c r="Y218" s="80">
        <v>0</v>
      </c>
      <c r="Z218" s="80">
        <v>0</v>
      </c>
      <c r="AA218" s="80">
        <v>0</v>
      </c>
      <c r="AB218" s="80">
        <v>0</v>
      </c>
      <c r="AC218" s="80">
        <v>0</v>
      </c>
      <c r="AD218" s="80">
        <v>0</v>
      </c>
      <c r="AE218" s="80">
        <v>0</v>
      </c>
      <c r="AF218" s="80">
        <v>0</v>
      </c>
      <c r="AG218" s="80">
        <v>0</v>
      </c>
      <c r="AH218" s="80">
        <v>0</v>
      </c>
      <c r="AI218" s="79">
        <v>46230.723541666666</v>
      </c>
    </row>
    <row r="219" spans="1:35" x14ac:dyDescent="0.3">
      <c r="A219" t="s">
        <v>813</v>
      </c>
      <c r="B219">
        <v>210</v>
      </c>
      <c r="C219">
        <v>210</v>
      </c>
      <c r="D219">
        <v>1</v>
      </c>
      <c r="E219" s="80">
        <v>1442375.6089999999</v>
      </c>
      <c r="F219" s="80">
        <v>1442375.6091060243</v>
      </c>
      <c r="G219" s="80">
        <v>0</v>
      </c>
      <c r="H219" s="80">
        <v>0</v>
      </c>
      <c r="I219" s="80">
        <v>0</v>
      </c>
      <c r="J219" s="80">
        <v>0</v>
      </c>
      <c r="K219" s="80">
        <v>0</v>
      </c>
      <c r="L219" s="80">
        <v>0</v>
      </c>
      <c r="M219" s="80">
        <v>0</v>
      </c>
      <c r="N219" s="80">
        <v>0</v>
      </c>
      <c r="O219" s="80">
        <v>0</v>
      </c>
      <c r="P219" s="80">
        <v>0</v>
      </c>
      <c r="Q219" s="80">
        <v>1080893.707485527</v>
      </c>
      <c r="R219" s="80">
        <v>0</v>
      </c>
      <c r="S219" s="80">
        <v>361481.90162049769</v>
      </c>
      <c r="T219" s="80">
        <v>0</v>
      </c>
      <c r="U219" s="80">
        <v>0</v>
      </c>
      <c r="V219" s="80">
        <v>0</v>
      </c>
      <c r="W219" s="80">
        <v>0</v>
      </c>
      <c r="X219" s="80">
        <v>0</v>
      </c>
      <c r="Y219" s="80">
        <v>0</v>
      </c>
      <c r="Z219" s="80">
        <v>0</v>
      </c>
      <c r="AA219" s="80">
        <v>0</v>
      </c>
      <c r="AB219" s="80">
        <v>0</v>
      </c>
      <c r="AC219" s="80">
        <v>0</v>
      </c>
      <c r="AD219" s="80">
        <v>0</v>
      </c>
      <c r="AE219" s="80">
        <v>0</v>
      </c>
      <c r="AF219" s="80">
        <v>0</v>
      </c>
      <c r="AG219" s="80">
        <v>0</v>
      </c>
      <c r="AH219" s="80">
        <v>0</v>
      </c>
      <c r="AI219" s="79">
        <v>46230.723599537036</v>
      </c>
    </row>
    <row r="220" spans="1:35" x14ac:dyDescent="0.3">
      <c r="A220" t="s">
        <v>814</v>
      </c>
      <c r="B220">
        <v>211</v>
      </c>
      <c r="C220">
        <v>211</v>
      </c>
      <c r="D220">
        <v>1</v>
      </c>
      <c r="E220" s="80">
        <v>3936020.3544999999</v>
      </c>
      <c r="F220" s="80">
        <v>3936020.3543396448</v>
      </c>
      <c r="G220" s="80">
        <v>0</v>
      </c>
      <c r="H220" s="80">
        <v>0</v>
      </c>
      <c r="I220" s="80">
        <v>2218480.0012891912</v>
      </c>
      <c r="J220" s="80">
        <v>0</v>
      </c>
      <c r="K220" s="80">
        <v>0</v>
      </c>
      <c r="L220" s="80">
        <v>0</v>
      </c>
      <c r="M220" s="80">
        <v>0</v>
      </c>
      <c r="N220" s="80">
        <v>0</v>
      </c>
      <c r="O220" s="80">
        <v>0</v>
      </c>
      <c r="P220" s="80">
        <v>0</v>
      </c>
      <c r="Q220" s="80">
        <v>0</v>
      </c>
      <c r="R220" s="80">
        <v>0</v>
      </c>
      <c r="S220" s="80">
        <v>0</v>
      </c>
      <c r="T220" s="80">
        <v>1717540.3530504529</v>
      </c>
      <c r="U220" s="80">
        <v>0</v>
      </c>
      <c r="V220" s="80">
        <v>0</v>
      </c>
      <c r="W220" s="80">
        <v>0</v>
      </c>
      <c r="X220" s="80">
        <v>0</v>
      </c>
      <c r="Y220" s="80">
        <v>1717540.3530504529</v>
      </c>
      <c r="Z220" s="80">
        <v>0</v>
      </c>
      <c r="AA220" s="80">
        <v>0</v>
      </c>
      <c r="AB220" s="80">
        <v>0</v>
      </c>
      <c r="AC220" s="80">
        <v>0</v>
      </c>
      <c r="AD220" s="80">
        <v>0</v>
      </c>
      <c r="AE220" s="80">
        <v>0</v>
      </c>
      <c r="AF220" s="80">
        <v>0</v>
      </c>
      <c r="AG220" s="80">
        <v>0</v>
      </c>
      <c r="AH220" s="80">
        <v>0</v>
      </c>
      <c r="AI220" s="79">
        <v>46230.723645833335</v>
      </c>
    </row>
    <row r="221" spans="1:35" x14ac:dyDescent="0.3">
      <c r="A221" t="s">
        <v>815</v>
      </c>
      <c r="B221">
        <v>212</v>
      </c>
      <c r="C221">
        <v>212</v>
      </c>
      <c r="D221">
        <v>1</v>
      </c>
      <c r="E221" s="80">
        <v>1831346.8902</v>
      </c>
      <c r="F221" s="80">
        <v>1831346.890407135</v>
      </c>
      <c r="G221" s="80">
        <v>0</v>
      </c>
      <c r="H221" s="80">
        <v>0</v>
      </c>
      <c r="I221" s="80">
        <v>0</v>
      </c>
      <c r="J221" s="80">
        <v>0</v>
      </c>
      <c r="K221" s="80">
        <v>0</v>
      </c>
      <c r="L221" s="80">
        <v>0</v>
      </c>
      <c r="M221" s="80">
        <v>0</v>
      </c>
      <c r="N221" s="80">
        <v>0</v>
      </c>
      <c r="O221" s="80">
        <v>0</v>
      </c>
      <c r="P221" s="80">
        <v>0</v>
      </c>
      <c r="Q221" s="80">
        <v>0</v>
      </c>
      <c r="R221" s="80">
        <v>0</v>
      </c>
      <c r="S221" s="80">
        <v>0</v>
      </c>
      <c r="T221" s="80">
        <v>1831346.890407135</v>
      </c>
      <c r="U221" s="80">
        <v>0</v>
      </c>
      <c r="V221" s="80">
        <v>0</v>
      </c>
      <c r="W221" s="80">
        <v>0</v>
      </c>
      <c r="X221" s="80">
        <v>0</v>
      </c>
      <c r="Y221" s="80">
        <v>1831346.890407135</v>
      </c>
      <c r="Z221" s="80">
        <v>0</v>
      </c>
      <c r="AA221" s="80">
        <v>0</v>
      </c>
      <c r="AB221" s="80">
        <v>0</v>
      </c>
      <c r="AC221" s="80">
        <v>0</v>
      </c>
      <c r="AD221" s="80">
        <v>0</v>
      </c>
      <c r="AE221" s="80">
        <v>0</v>
      </c>
      <c r="AF221" s="80">
        <v>0</v>
      </c>
      <c r="AG221" s="80">
        <v>0</v>
      </c>
      <c r="AH221" s="80">
        <v>0</v>
      </c>
      <c r="AI221" s="79">
        <v>46230.723715277774</v>
      </c>
    </row>
    <row r="222" spans="1:35" x14ac:dyDescent="0.3">
      <c r="A222" t="s">
        <v>816</v>
      </c>
      <c r="B222">
        <v>213</v>
      </c>
      <c r="C222">
        <v>213</v>
      </c>
      <c r="D222">
        <v>1</v>
      </c>
      <c r="E222" s="80">
        <v>1145427.0852999999</v>
      </c>
      <c r="F222" s="80">
        <v>1145427.0852704116</v>
      </c>
      <c r="G222" s="80">
        <v>0</v>
      </c>
      <c r="H222" s="80">
        <v>0</v>
      </c>
      <c r="I222" s="80">
        <v>0</v>
      </c>
      <c r="J222" s="80">
        <v>0</v>
      </c>
      <c r="K222" s="80">
        <v>0</v>
      </c>
      <c r="L222" s="80">
        <v>0</v>
      </c>
      <c r="M222" s="80">
        <v>0</v>
      </c>
      <c r="N222" s="80">
        <v>0</v>
      </c>
      <c r="O222" s="80">
        <v>0</v>
      </c>
      <c r="P222" s="80">
        <v>0</v>
      </c>
      <c r="Q222" s="80">
        <v>0</v>
      </c>
      <c r="R222" s="80">
        <v>0</v>
      </c>
      <c r="S222" s="80">
        <v>0</v>
      </c>
      <c r="T222" s="80">
        <v>410500</v>
      </c>
      <c r="U222" s="80">
        <v>0</v>
      </c>
      <c r="V222" s="80">
        <v>0</v>
      </c>
      <c r="W222" s="80">
        <v>734927.08527041157</v>
      </c>
      <c r="X222" s="80">
        <v>0</v>
      </c>
      <c r="Y222" s="80">
        <v>410500</v>
      </c>
      <c r="Z222" s="80">
        <v>0</v>
      </c>
      <c r="AA222" s="80">
        <v>0</v>
      </c>
      <c r="AB222" s="80">
        <v>0</v>
      </c>
      <c r="AC222" s="80">
        <v>0</v>
      </c>
      <c r="AD222" s="80">
        <v>0</v>
      </c>
      <c r="AE222" s="80">
        <v>0</v>
      </c>
      <c r="AF222" s="80">
        <v>0</v>
      </c>
      <c r="AG222" s="80">
        <v>0</v>
      </c>
      <c r="AH222" s="80">
        <v>0</v>
      </c>
      <c r="AI222" s="79">
        <v>46230.72378472222</v>
      </c>
    </row>
    <row r="223" spans="1:35" x14ac:dyDescent="0.3">
      <c r="A223" t="s">
        <v>817</v>
      </c>
      <c r="B223">
        <v>214</v>
      </c>
      <c r="C223">
        <v>214</v>
      </c>
      <c r="D223">
        <v>1</v>
      </c>
      <c r="E223" s="80">
        <v>2316634.6198999998</v>
      </c>
      <c r="F223" s="80">
        <v>2316634.6199935735</v>
      </c>
      <c r="G223" s="80">
        <v>2305507.6243875129</v>
      </c>
      <c r="H223" s="80">
        <v>1070733.2785361083</v>
      </c>
      <c r="I223" s="80">
        <v>0</v>
      </c>
      <c r="J223" s="80">
        <v>53709.90995502453</v>
      </c>
      <c r="K223" s="80">
        <v>0</v>
      </c>
      <c r="L223" s="80">
        <v>0</v>
      </c>
      <c r="M223" s="80">
        <v>0</v>
      </c>
      <c r="N223" s="80">
        <v>0</v>
      </c>
      <c r="O223" s="80">
        <v>0</v>
      </c>
      <c r="P223" s="80">
        <v>832535.71757404099</v>
      </c>
      <c r="Q223" s="80">
        <v>0</v>
      </c>
      <c r="R223" s="80">
        <v>348528.71832233761</v>
      </c>
      <c r="S223" s="80">
        <v>0</v>
      </c>
      <c r="T223" s="80">
        <v>0</v>
      </c>
      <c r="U223" s="80">
        <v>0</v>
      </c>
      <c r="V223" s="80">
        <v>11126.995606060264</v>
      </c>
      <c r="W223" s="80">
        <v>0</v>
      </c>
      <c r="X223" s="80">
        <v>0</v>
      </c>
      <c r="Y223" s="80">
        <v>0</v>
      </c>
      <c r="Z223" s="80">
        <v>0</v>
      </c>
      <c r="AA223" s="80">
        <v>0</v>
      </c>
      <c r="AB223" s="80">
        <v>0</v>
      </c>
      <c r="AC223" s="80">
        <v>0</v>
      </c>
      <c r="AD223" s="80">
        <v>0</v>
      </c>
      <c r="AE223" s="80">
        <v>0</v>
      </c>
      <c r="AF223" s="80">
        <v>0</v>
      </c>
      <c r="AG223" s="80">
        <v>0</v>
      </c>
      <c r="AH223" s="80">
        <v>0</v>
      </c>
      <c r="AI223" s="79">
        <v>46230.72384259259</v>
      </c>
    </row>
    <row r="224" spans="1:35" x14ac:dyDescent="0.3">
      <c r="A224" t="s">
        <v>818</v>
      </c>
      <c r="B224">
        <v>215</v>
      </c>
      <c r="C224">
        <v>215</v>
      </c>
      <c r="D224">
        <v>1</v>
      </c>
      <c r="E224" s="80">
        <v>2532582.8114</v>
      </c>
      <c r="F224" s="80">
        <v>2532582.8112375527</v>
      </c>
      <c r="G224" s="80">
        <v>2522582.8112375527</v>
      </c>
      <c r="H224" s="80">
        <v>1044461.2939184002</v>
      </c>
      <c r="I224" s="80">
        <v>0</v>
      </c>
      <c r="J224" s="80">
        <v>40279.939652765133</v>
      </c>
      <c r="K224" s="80">
        <v>0</v>
      </c>
      <c r="L224" s="80">
        <v>0</v>
      </c>
      <c r="M224" s="80">
        <v>0</v>
      </c>
      <c r="N224" s="80">
        <v>0</v>
      </c>
      <c r="O224" s="80">
        <v>0</v>
      </c>
      <c r="P224" s="80">
        <v>1069102.9780151928</v>
      </c>
      <c r="Q224" s="80">
        <v>0</v>
      </c>
      <c r="R224" s="80">
        <v>368738.59965119447</v>
      </c>
      <c r="S224" s="80">
        <v>0</v>
      </c>
      <c r="T224" s="80">
        <v>0</v>
      </c>
      <c r="U224" s="80">
        <v>0</v>
      </c>
      <c r="V224" s="80">
        <v>10000</v>
      </c>
      <c r="W224" s="80">
        <v>0</v>
      </c>
      <c r="X224" s="80">
        <v>0</v>
      </c>
      <c r="Y224" s="80">
        <v>0</v>
      </c>
      <c r="Z224" s="80">
        <v>0</v>
      </c>
      <c r="AA224" s="80">
        <v>0</v>
      </c>
      <c r="AB224" s="80">
        <v>0</v>
      </c>
      <c r="AC224" s="80">
        <v>0</v>
      </c>
      <c r="AD224" s="80">
        <v>0</v>
      </c>
      <c r="AE224" s="80">
        <v>0</v>
      </c>
      <c r="AF224" s="80">
        <v>0</v>
      </c>
      <c r="AG224" s="80">
        <v>0</v>
      </c>
      <c r="AH224" s="80">
        <v>0</v>
      </c>
      <c r="AI224" s="79">
        <v>46230.723900462966</v>
      </c>
    </row>
    <row r="225" spans="1:35" x14ac:dyDescent="0.3">
      <c r="A225" t="s">
        <v>819</v>
      </c>
      <c r="B225">
        <v>216</v>
      </c>
      <c r="C225">
        <v>216</v>
      </c>
      <c r="D225">
        <v>1</v>
      </c>
      <c r="E225" s="80">
        <v>2687995.4350999999</v>
      </c>
      <c r="F225" s="80">
        <v>2687995.435182197</v>
      </c>
      <c r="G225" s="80">
        <v>2670995.435182197</v>
      </c>
      <c r="H225" s="80">
        <v>960403.71657359297</v>
      </c>
      <c r="I225" s="80">
        <v>0</v>
      </c>
      <c r="J225" s="80">
        <v>51036.312065934704</v>
      </c>
      <c r="K225" s="80">
        <v>0</v>
      </c>
      <c r="L225" s="80">
        <v>0</v>
      </c>
      <c r="M225" s="80">
        <v>0</v>
      </c>
      <c r="N225" s="80">
        <v>0</v>
      </c>
      <c r="O225" s="80">
        <v>0</v>
      </c>
      <c r="P225" s="80">
        <v>1346911.3900389436</v>
      </c>
      <c r="Q225" s="80">
        <v>0</v>
      </c>
      <c r="R225" s="80">
        <v>312644.01650372637</v>
      </c>
      <c r="S225" s="80">
        <v>0</v>
      </c>
      <c r="T225" s="80">
        <v>0</v>
      </c>
      <c r="U225" s="80">
        <v>0</v>
      </c>
      <c r="V225" s="80">
        <v>17000</v>
      </c>
      <c r="W225" s="80">
        <v>0</v>
      </c>
      <c r="X225" s="80">
        <v>0</v>
      </c>
      <c r="Y225" s="80">
        <v>0</v>
      </c>
      <c r="Z225" s="80">
        <v>0</v>
      </c>
      <c r="AA225" s="80">
        <v>0</v>
      </c>
      <c r="AB225" s="80">
        <v>0</v>
      </c>
      <c r="AC225" s="80">
        <v>0</v>
      </c>
      <c r="AD225" s="80">
        <v>0</v>
      </c>
      <c r="AE225" s="80">
        <v>0</v>
      </c>
      <c r="AF225" s="80">
        <v>0</v>
      </c>
      <c r="AG225" s="80">
        <v>0</v>
      </c>
      <c r="AH225" s="80">
        <v>0</v>
      </c>
      <c r="AI225" s="79">
        <v>46230.723946759259</v>
      </c>
    </row>
    <row r="226" spans="1:35" x14ac:dyDescent="0.3">
      <c r="A226" t="s">
        <v>820</v>
      </c>
      <c r="B226">
        <v>217</v>
      </c>
      <c r="C226">
        <v>217</v>
      </c>
      <c r="D226">
        <v>1</v>
      </c>
      <c r="E226" s="80">
        <v>5385330.4836999997</v>
      </c>
      <c r="F226" s="80">
        <v>5385330.4835981196</v>
      </c>
      <c r="G226" s="80">
        <v>3640912.4380991026</v>
      </c>
      <c r="H226" s="80">
        <v>1553781.9161777841</v>
      </c>
      <c r="I226" s="80">
        <v>0</v>
      </c>
      <c r="J226" s="80">
        <v>263954.60203813895</v>
      </c>
      <c r="K226" s="80">
        <v>637906.2287171433</v>
      </c>
      <c r="L226" s="80">
        <v>262557.45948868321</v>
      </c>
      <c r="M226" s="80">
        <v>232557.45948868323</v>
      </c>
      <c r="N226" s="80">
        <v>0</v>
      </c>
      <c r="O226" s="80">
        <v>0</v>
      </c>
      <c r="P226" s="80">
        <v>756146.5589096318</v>
      </c>
      <c r="Q226" s="80">
        <v>0</v>
      </c>
      <c r="R226" s="80">
        <v>166565.67276772237</v>
      </c>
      <c r="S226" s="80">
        <v>1015322.4571303232</v>
      </c>
      <c r="T226" s="80">
        <v>171030.0110030564</v>
      </c>
      <c r="U226" s="80">
        <v>0</v>
      </c>
      <c r="V226" s="80">
        <v>38688.828341024171</v>
      </c>
      <c r="W226" s="80">
        <v>0</v>
      </c>
      <c r="X226" s="80">
        <v>519376.74902461073</v>
      </c>
      <c r="Y226" s="80">
        <v>0</v>
      </c>
      <c r="Z226" s="80">
        <v>0</v>
      </c>
      <c r="AA226" s="80">
        <v>0</v>
      </c>
      <c r="AB226" s="80">
        <v>0</v>
      </c>
      <c r="AC226" s="80">
        <v>0</v>
      </c>
      <c r="AD226" s="80">
        <v>0</v>
      </c>
      <c r="AE226" s="80">
        <v>0</v>
      </c>
      <c r="AF226" s="80">
        <v>0</v>
      </c>
      <c r="AG226" s="80">
        <v>0</v>
      </c>
      <c r="AH226" s="80">
        <v>0</v>
      </c>
      <c r="AI226" s="79">
        <v>46230.724016203705</v>
      </c>
    </row>
    <row r="227" spans="1:35" x14ac:dyDescent="0.3">
      <c r="A227" t="s">
        <v>518</v>
      </c>
      <c r="B227">
        <v>218</v>
      </c>
      <c r="C227">
        <v>218</v>
      </c>
      <c r="D227">
        <v>1</v>
      </c>
      <c r="E227" s="80">
        <v>965994.92619999999</v>
      </c>
      <c r="F227" s="80">
        <v>965994.92599885201</v>
      </c>
      <c r="G227" s="80">
        <v>965994.92599885201</v>
      </c>
      <c r="H227" s="80">
        <v>30000</v>
      </c>
      <c r="I227" s="80">
        <v>0</v>
      </c>
      <c r="J227" s="80">
        <v>19013.141531321096</v>
      </c>
      <c r="K227" s="80">
        <v>0</v>
      </c>
      <c r="L227" s="80">
        <v>0</v>
      </c>
      <c r="M227" s="80">
        <v>0</v>
      </c>
      <c r="N227" s="80">
        <v>0</v>
      </c>
      <c r="O227" s="80">
        <v>0</v>
      </c>
      <c r="P227" s="80">
        <v>623099.96379755891</v>
      </c>
      <c r="Q227" s="80">
        <v>0</v>
      </c>
      <c r="R227" s="80">
        <v>293881.82066997193</v>
      </c>
      <c r="S227" s="80">
        <v>0</v>
      </c>
      <c r="T227" s="80">
        <v>0</v>
      </c>
      <c r="U227" s="80">
        <v>0</v>
      </c>
      <c r="V227" s="80">
        <v>0</v>
      </c>
      <c r="W227" s="80">
        <v>0</v>
      </c>
      <c r="X227" s="80">
        <v>0</v>
      </c>
      <c r="Y227" s="80">
        <v>0</v>
      </c>
      <c r="Z227" s="80">
        <v>0</v>
      </c>
      <c r="AA227" s="80">
        <v>0</v>
      </c>
      <c r="AB227" s="80">
        <v>0</v>
      </c>
      <c r="AC227" s="80">
        <v>0</v>
      </c>
      <c r="AD227" s="80">
        <v>0</v>
      </c>
      <c r="AE227" s="80">
        <v>0</v>
      </c>
      <c r="AF227" s="80">
        <v>0</v>
      </c>
      <c r="AG227" s="80">
        <v>0</v>
      </c>
      <c r="AH227" s="80">
        <v>0</v>
      </c>
      <c r="AI227" s="79">
        <v>46230.724074074074</v>
      </c>
    </row>
    <row r="228" spans="1:35" x14ac:dyDescent="0.3">
      <c r="A228" t="s">
        <v>541</v>
      </c>
      <c r="B228">
        <v>219</v>
      </c>
      <c r="C228">
        <v>219</v>
      </c>
      <c r="D228">
        <v>1</v>
      </c>
      <c r="E228" s="80">
        <v>7580951.4348999998</v>
      </c>
      <c r="F228" s="80">
        <v>7580951.4384428617</v>
      </c>
      <c r="G228" s="80">
        <v>7580951.4384428617</v>
      </c>
      <c r="H228" s="80">
        <v>7577924.7030346394</v>
      </c>
      <c r="I228" s="80">
        <v>0</v>
      </c>
      <c r="J228" s="80">
        <v>114.21181378895739</v>
      </c>
      <c r="K228" s="80">
        <v>530.19253671180047</v>
      </c>
      <c r="L228" s="80">
        <v>2382.3310577233915</v>
      </c>
      <c r="M228" s="80">
        <v>2054.7486240392723</v>
      </c>
      <c r="N228" s="80">
        <v>0</v>
      </c>
      <c r="O228" s="80">
        <v>0</v>
      </c>
      <c r="P228" s="80">
        <v>0</v>
      </c>
      <c r="Q228" s="80">
        <v>0</v>
      </c>
      <c r="R228" s="80">
        <v>0</v>
      </c>
      <c r="S228" s="80">
        <v>0</v>
      </c>
      <c r="T228" s="80">
        <v>0</v>
      </c>
      <c r="U228" s="80">
        <v>0</v>
      </c>
      <c r="V228" s="80">
        <v>0</v>
      </c>
      <c r="W228" s="80">
        <v>0</v>
      </c>
      <c r="X228" s="80">
        <v>0</v>
      </c>
      <c r="Y228" s="80">
        <v>0</v>
      </c>
      <c r="Z228" s="80">
        <v>0</v>
      </c>
      <c r="AA228" s="80">
        <v>0</v>
      </c>
      <c r="AB228" s="80">
        <v>0</v>
      </c>
      <c r="AC228" s="80">
        <v>0</v>
      </c>
      <c r="AD228" s="80">
        <v>0</v>
      </c>
      <c r="AE228" s="80">
        <v>0</v>
      </c>
      <c r="AF228" s="80">
        <v>0</v>
      </c>
      <c r="AG228" s="80">
        <v>0</v>
      </c>
      <c r="AH228" s="80">
        <v>0</v>
      </c>
      <c r="AI228" s="79">
        <v>46230.724143518521</v>
      </c>
    </row>
    <row r="229" spans="1:35" x14ac:dyDescent="0.3">
      <c r="A229" t="s">
        <v>821</v>
      </c>
      <c r="B229">
        <v>220</v>
      </c>
      <c r="C229">
        <v>220</v>
      </c>
      <c r="D229">
        <v>1</v>
      </c>
      <c r="E229" s="80">
        <v>8805238.9263000004</v>
      </c>
      <c r="F229" s="80">
        <v>8805238.9199670479</v>
      </c>
      <c r="G229" s="80">
        <v>8776299.4757455941</v>
      </c>
      <c r="H229" s="80">
        <v>8769173.6473220065</v>
      </c>
      <c r="I229" s="80">
        <v>0</v>
      </c>
      <c r="J229" s="80">
        <v>2.5488899877920521</v>
      </c>
      <c r="K229" s="80">
        <v>0</v>
      </c>
      <c r="L229" s="80">
        <v>7123.279533601436</v>
      </c>
      <c r="M229" s="80">
        <v>298.11120403757388</v>
      </c>
      <c r="N229" s="80">
        <v>0</v>
      </c>
      <c r="O229" s="80">
        <v>0</v>
      </c>
      <c r="P229" s="80">
        <v>0</v>
      </c>
      <c r="Q229" s="80">
        <v>0</v>
      </c>
      <c r="R229" s="80">
        <v>0</v>
      </c>
      <c r="S229" s="80">
        <v>0</v>
      </c>
      <c r="T229" s="80">
        <v>0</v>
      </c>
      <c r="U229" s="80">
        <v>0</v>
      </c>
      <c r="V229" s="80">
        <v>28939.444221451944</v>
      </c>
      <c r="W229" s="80">
        <v>0</v>
      </c>
      <c r="X229" s="80">
        <v>0</v>
      </c>
      <c r="Y229" s="80">
        <v>0</v>
      </c>
      <c r="Z229" s="80">
        <v>0</v>
      </c>
      <c r="AA229" s="80">
        <v>0</v>
      </c>
      <c r="AB229" s="80">
        <v>0</v>
      </c>
      <c r="AC229" s="80">
        <v>0</v>
      </c>
      <c r="AD229" s="80">
        <v>0</v>
      </c>
      <c r="AE229" s="80">
        <v>0</v>
      </c>
      <c r="AF229" s="80">
        <v>0</v>
      </c>
      <c r="AG229" s="80">
        <v>0</v>
      </c>
      <c r="AH229" s="80">
        <v>0</v>
      </c>
      <c r="AI229" s="79">
        <v>46230.72420138889</v>
      </c>
    </row>
    <row r="230" spans="1:35" x14ac:dyDescent="0.3">
      <c r="A230" t="s">
        <v>822</v>
      </c>
      <c r="B230">
        <v>221</v>
      </c>
      <c r="C230">
        <v>221</v>
      </c>
      <c r="D230">
        <v>1</v>
      </c>
      <c r="E230" s="80">
        <v>5816793.7999999998</v>
      </c>
      <c r="F230" s="80">
        <v>5816793.7957507065</v>
      </c>
      <c r="G230" s="80">
        <v>5811710.3286959212</v>
      </c>
      <c r="H230" s="80">
        <v>5803683.139399495</v>
      </c>
      <c r="I230" s="80">
        <v>0</v>
      </c>
      <c r="J230" s="80">
        <v>0</v>
      </c>
      <c r="K230" s="80">
        <v>6572.393334742158</v>
      </c>
      <c r="L230" s="80">
        <v>1454.7959616842002</v>
      </c>
      <c r="M230" s="80">
        <v>12.454954483038383</v>
      </c>
      <c r="N230" s="80">
        <v>0</v>
      </c>
      <c r="O230" s="80">
        <v>0</v>
      </c>
      <c r="P230" s="80">
        <v>0</v>
      </c>
      <c r="Q230" s="80">
        <v>0</v>
      </c>
      <c r="R230" s="80">
        <v>0</v>
      </c>
      <c r="S230" s="80">
        <v>0</v>
      </c>
      <c r="T230" s="80">
        <v>0</v>
      </c>
      <c r="U230" s="80">
        <v>0</v>
      </c>
      <c r="V230" s="80">
        <v>5001.8573613672852</v>
      </c>
      <c r="W230" s="80">
        <v>0</v>
      </c>
      <c r="X230" s="80">
        <v>0</v>
      </c>
      <c r="Y230" s="80">
        <v>0</v>
      </c>
      <c r="Z230" s="80">
        <v>0</v>
      </c>
      <c r="AA230" s="80">
        <v>81.609693417204468</v>
      </c>
      <c r="AB230" s="80">
        <v>0</v>
      </c>
      <c r="AC230" s="80">
        <v>0</v>
      </c>
      <c r="AD230" s="80">
        <v>0</v>
      </c>
      <c r="AE230" s="80">
        <v>0</v>
      </c>
      <c r="AF230" s="80">
        <v>0</v>
      </c>
      <c r="AG230" s="80">
        <v>0</v>
      </c>
      <c r="AH230" s="80">
        <v>0</v>
      </c>
      <c r="AI230" s="79">
        <v>46230.724259259259</v>
      </c>
    </row>
    <row r="231" spans="1:35" x14ac:dyDescent="0.3">
      <c r="A231" t="s">
        <v>823</v>
      </c>
      <c r="B231">
        <v>222</v>
      </c>
      <c r="C231">
        <v>222</v>
      </c>
      <c r="D231">
        <v>1</v>
      </c>
      <c r="E231" s="80">
        <v>7992518.6886999998</v>
      </c>
      <c r="F231" s="80">
        <v>7992518.689169432</v>
      </c>
      <c r="G231" s="80">
        <v>7992518.689169432</v>
      </c>
      <c r="H231" s="80">
        <v>7986300.9601151505</v>
      </c>
      <c r="I231" s="80">
        <v>0</v>
      </c>
      <c r="J231" s="80">
        <v>138.38664732628794</v>
      </c>
      <c r="K231" s="80">
        <v>642.416621878917</v>
      </c>
      <c r="L231" s="80">
        <v>5436.9257850766116</v>
      </c>
      <c r="M231" s="80">
        <v>2489.6704092671598</v>
      </c>
      <c r="N231" s="80">
        <v>0</v>
      </c>
      <c r="O231" s="80">
        <v>0</v>
      </c>
      <c r="P231" s="80">
        <v>0</v>
      </c>
      <c r="Q231" s="80">
        <v>0</v>
      </c>
      <c r="R231" s="80">
        <v>0</v>
      </c>
      <c r="S231" s="80">
        <v>0</v>
      </c>
      <c r="T231" s="80">
        <v>0</v>
      </c>
      <c r="U231" s="80">
        <v>0</v>
      </c>
      <c r="V231" s="80">
        <v>0</v>
      </c>
      <c r="W231" s="80">
        <v>0</v>
      </c>
      <c r="X231" s="80">
        <v>0</v>
      </c>
      <c r="Y231" s="80">
        <v>0</v>
      </c>
      <c r="Z231" s="80">
        <v>0</v>
      </c>
      <c r="AA231" s="80">
        <v>0</v>
      </c>
      <c r="AB231" s="80">
        <v>0</v>
      </c>
      <c r="AC231" s="80">
        <v>0</v>
      </c>
      <c r="AD231" s="80">
        <v>0</v>
      </c>
      <c r="AE231" s="80">
        <v>0</v>
      </c>
      <c r="AF231" s="80">
        <v>0</v>
      </c>
      <c r="AG231" s="80">
        <v>0</v>
      </c>
      <c r="AH231" s="80">
        <v>0</v>
      </c>
      <c r="AI231" s="79">
        <v>46230.724328703705</v>
      </c>
    </row>
    <row r="232" spans="1:35" x14ac:dyDescent="0.3">
      <c r="A232" t="s">
        <v>824</v>
      </c>
      <c r="B232">
        <v>223</v>
      </c>
      <c r="C232">
        <v>223</v>
      </c>
      <c r="D232">
        <v>1</v>
      </c>
      <c r="E232" s="80">
        <v>10241894.7192</v>
      </c>
      <c r="F232" s="80">
        <v>10241894.719289243</v>
      </c>
      <c r="G232" s="80">
        <v>10207854.07719459</v>
      </c>
      <c r="H232" s="80">
        <v>10202469.110319274</v>
      </c>
      <c r="I232" s="80">
        <v>0</v>
      </c>
      <c r="J232" s="80">
        <v>2.8891168147089066</v>
      </c>
      <c r="K232" s="80">
        <v>0</v>
      </c>
      <c r="L232" s="80">
        <v>5382.0777585011965</v>
      </c>
      <c r="M232" s="80">
        <v>337.9032034976704</v>
      </c>
      <c r="N232" s="80">
        <v>0</v>
      </c>
      <c r="O232" s="80">
        <v>0</v>
      </c>
      <c r="P232" s="80">
        <v>0</v>
      </c>
      <c r="Q232" s="80">
        <v>0</v>
      </c>
      <c r="R232" s="80">
        <v>0</v>
      </c>
      <c r="S232" s="80">
        <v>0</v>
      </c>
      <c r="T232" s="80">
        <v>0</v>
      </c>
      <c r="U232" s="80">
        <v>0</v>
      </c>
      <c r="V232" s="80">
        <v>34040.642094653209</v>
      </c>
      <c r="W232" s="80">
        <v>0</v>
      </c>
      <c r="X232" s="80">
        <v>0</v>
      </c>
      <c r="Y232" s="80">
        <v>0</v>
      </c>
      <c r="Z232" s="80">
        <v>0</v>
      </c>
      <c r="AA232" s="80">
        <v>0</v>
      </c>
      <c r="AB232" s="80">
        <v>0</v>
      </c>
      <c r="AC232" s="80">
        <v>0</v>
      </c>
      <c r="AD232" s="80">
        <v>0</v>
      </c>
      <c r="AE232" s="80">
        <v>0</v>
      </c>
      <c r="AF232" s="80">
        <v>0</v>
      </c>
      <c r="AG232" s="80">
        <v>0</v>
      </c>
      <c r="AH232" s="80">
        <v>0</v>
      </c>
      <c r="AI232" s="79">
        <v>46230.724398148152</v>
      </c>
    </row>
    <row r="233" spans="1:35" x14ac:dyDescent="0.3">
      <c r="A233" t="s">
        <v>825</v>
      </c>
      <c r="B233">
        <v>224</v>
      </c>
      <c r="C233">
        <v>224</v>
      </c>
      <c r="D233">
        <v>1</v>
      </c>
      <c r="E233" s="80">
        <v>9882578.6883000005</v>
      </c>
      <c r="F233" s="80">
        <v>9882578.6880827677</v>
      </c>
      <c r="G233" s="80">
        <v>9873460.0022844858</v>
      </c>
      <c r="H233" s="80">
        <v>9857517.1127011199</v>
      </c>
      <c r="I233" s="80">
        <v>0</v>
      </c>
      <c r="J233" s="80">
        <v>0</v>
      </c>
      <c r="K233" s="80">
        <v>13053.503208264843</v>
      </c>
      <c r="L233" s="80">
        <v>2889.386375102039</v>
      </c>
      <c r="M233" s="80">
        <v>24.736923069366537</v>
      </c>
      <c r="N233" s="80">
        <v>0</v>
      </c>
      <c r="O233" s="80">
        <v>0</v>
      </c>
      <c r="P233" s="80">
        <v>0</v>
      </c>
      <c r="Q233" s="80">
        <v>0</v>
      </c>
      <c r="R233" s="80">
        <v>0</v>
      </c>
      <c r="S233" s="80">
        <v>0</v>
      </c>
      <c r="T233" s="80">
        <v>0</v>
      </c>
      <c r="U233" s="80">
        <v>0</v>
      </c>
      <c r="V233" s="80">
        <v>8956.5998821493722</v>
      </c>
      <c r="W233" s="80">
        <v>0</v>
      </c>
      <c r="X233" s="80">
        <v>0</v>
      </c>
      <c r="Y233" s="80">
        <v>0</v>
      </c>
      <c r="Z233" s="80">
        <v>0</v>
      </c>
      <c r="AA233" s="80">
        <v>162.08591613283008</v>
      </c>
      <c r="AB233" s="80">
        <v>0</v>
      </c>
      <c r="AC233" s="80">
        <v>0</v>
      </c>
      <c r="AD233" s="80">
        <v>0</v>
      </c>
      <c r="AE233" s="80">
        <v>0</v>
      </c>
      <c r="AF233" s="80">
        <v>0</v>
      </c>
      <c r="AG233" s="80">
        <v>0</v>
      </c>
      <c r="AH233" s="80">
        <v>0</v>
      </c>
      <c r="AI233" s="79">
        <v>46230.724479166667</v>
      </c>
    </row>
    <row r="234" spans="1:35" x14ac:dyDescent="0.3">
      <c r="A234" t="s">
        <v>826</v>
      </c>
      <c r="B234">
        <v>225</v>
      </c>
      <c r="C234">
        <v>225</v>
      </c>
      <c r="D234">
        <v>1</v>
      </c>
      <c r="E234" s="80">
        <v>7146961.8940000003</v>
      </c>
      <c r="F234" s="80">
        <v>7146961.8854015041</v>
      </c>
      <c r="G234" s="80">
        <v>7126722.803638489</v>
      </c>
      <c r="H234" s="80">
        <v>7110019.6002718518</v>
      </c>
      <c r="I234" s="80">
        <v>0</v>
      </c>
      <c r="J234" s="80">
        <v>239.45859921546136</v>
      </c>
      <c r="K234" s="80">
        <v>0</v>
      </c>
      <c r="L234" s="80">
        <v>16423.542720681304</v>
      </c>
      <c r="M234" s="80">
        <v>14.757606440489754</v>
      </c>
      <c r="N234" s="80">
        <v>0</v>
      </c>
      <c r="O234" s="80">
        <v>0</v>
      </c>
      <c r="P234" s="80">
        <v>0</v>
      </c>
      <c r="Q234" s="80">
        <v>0</v>
      </c>
      <c r="R234" s="80">
        <v>40.202046739058154</v>
      </c>
      <c r="S234" s="80">
        <v>0</v>
      </c>
      <c r="T234" s="80">
        <v>0</v>
      </c>
      <c r="U234" s="80">
        <v>0</v>
      </c>
      <c r="V234" s="80">
        <v>15213.665387060893</v>
      </c>
      <c r="W234" s="80">
        <v>0</v>
      </c>
      <c r="X234" s="80">
        <v>0</v>
      </c>
      <c r="Y234" s="80">
        <v>0</v>
      </c>
      <c r="Z234" s="80">
        <v>0</v>
      </c>
      <c r="AA234" s="80">
        <v>5025.4163759562989</v>
      </c>
      <c r="AB234" s="80">
        <v>0</v>
      </c>
      <c r="AC234" s="80">
        <v>0</v>
      </c>
      <c r="AD234" s="80">
        <v>0</v>
      </c>
      <c r="AE234" s="80">
        <v>0</v>
      </c>
      <c r="AF234" s="80">
        <v>0</v>
      </c>
      <c r="AG234" s="80">
        <v>0</v>
      </c>
      <c r="AH234" s="80">
        <v>0</v>
      </c>
      <c r="AI234" s="79">
        <v>46230.724537037036</v>
      </c>
    </row>
    <row r="235" spans="1:35" x14ac:dyDescent="0.3">
      <c r="A235" t="s">
        <v>511</v>
      </c>
      <c r="B235">
        <v>226</v>
      </c>
      <c r="C235">
        <v>226</v>
      </c>
      <c r="D235">
        <v>1</v>
      </c>
      <c r="E235" s="80">
        <v>415507.71830000001</v>
      </c>
      <c r="F235" s="80">
        <v>415507.71840621374</v>
      </c>
      <c r="G235" s="80">
        <v>415507.71840621374</v>
      </c>
      <c r="H235" s="80">
        <v>18694.107575443515</v>
      </c>
      <c r="I235" s="80">
        <v>0</v>
      </c>
      <c r="J235" s="80">
        <v>0</v>
      </c>
      <c r="K235" s="80">
        <v>396813.61083077028</v>
      </c>
      <c r="L235" s="80">
        <v>0</v>
      </c>
      <c r="M235" s="80">
        <v>0</v>
      </c>
      <c r="N235" s="80">
        <v>0</v>
      </c>
      <c r="O235" s="80">
        <v>0</v>
      </c>
      <c r="P235" s="80">
        <v>0</v>
      </c>
      <c r="Q235" s="80">
        <v>0</v>
      </c>
      <c r="R235" s="80">
        <v>0</v>
      </c>
      <c r="S235" s="80">
        <v>0</v>
      </c>
      <c r="T235" s="80">
        <v>0</v>
      </c>
      <c r="U235" s="80">
        <v>0</v>
      </c>
      <c r="V235" s="80">
        <v>0</v>
      </c>
      <c r="W235" s="80">
        <v>0</v>
      </c>
      <c r="X235" s="80">
        <v>0</v>
      </c>
      <c r="Y235" s="80">
        <v>0</v>
      </c>
      <c r="Z235" s="80">
        <v>0</v>
      </c>
      <c r="AA235" s="80">
        <v>0</v>
      </c>
      <c r="AB235" s="80">
        <v>0</v>
      </c>
      <c r="AC235" s="80">
        <v>0</v>
      </c>
      <c r="AD235" s="80">
        <v>0</v>
      </c>
      <c r="AE235" s="80">
        <v>0</v>
      </c>
      <c r="AF235" s="80">
        <v>0</v>
      </c>
      <c r="AG235" s="80">
        <v>0</v>
      </c>
      <c r="AH235" s="80">
        <v>0</v>
      </c>
      <c r="AI235" s="79">
        <v>46230.724583333336</v>
      </c>
    </row>
    <row r="236" spans="1:35" x14ac:dyDescent="0.3">
      <c r="A236" t="s">
        <v>531</v>
      </c>
      <c r="B236">
        <v>227</v>
      </c>
      <c r="C236">
        <v>227</v>
      </c>
      <c r="D236">
        <v>1</v>
      </c>
      <c r="E236" s="80">
        <v>1063952.4183</v>
      </c>
      <c r="F236" s="80">
        <v>1063952.4171424634</v>
      </c>
      <c r="G236" s="80">
        <v>692405.20176753984</v>
      </c>
      <c r="H236" s="80">
        <v>251648.93290333575</v>
      </c>
      <c r="I236" s="80">
        <v>0</v>
      </c>
      <c r="J236" s="80">
        <v>7606.1214036677438</v>
      </c>
      <c r="K236" s="80">
        <v>244688.90939586991</v>
      </c>
      <c r="L236" s="80">
        <v>0</v>
      </c>
      <c r="M236" s="80">
        <v>0</v>
      </c>
      <c r="N236" s="80">
        <v>157561.79979915067</v>
      </c>
      <c r="O236" s="80">
        <v>157561.79979915067</v>
      </c>
      <c r="P236" s="80">
        <v>152004.91249687938</v>
      </c>
      <c r="Q236" s="80">
        <v>0</v>
      </c>
      <c r="R236" s="80">
        <v>36456.325567787455</v>
      </c>
      <c r="S236" s="80">
        <v>213787.89303393985</v>
      </c>
      <c r="T236" s="80">
        <v>0</v>
      </c>
      <c r="U236" s="80">
        <v>0</v>
      </c>
      <c r="V236" s="80">
        <v>0</v>
      </c>
      <c r="W236" s="80">
        <v>0</v>
      </c>
      <c r="X236" s="80">
        <v>0</v>
      </c>
      <c r="Y236" s="80">
        <v>0</v>
      </c>
      <c r="Z236" s="80">
        <v>197.52254183248579</v>
      </c>
      <c r="AA236" s="80">
        <v>0</v>
      </c>
      <c r="AB236" s="80">
        <v>0</v>
      </c>
      <c r="AC236" s="80">
        <v>0</v>
      </c>
      <c r="AD236" s="80">
        <v>0</v>
      </c>
      <c r="AE236" s="80">
        <v>0</v>
      </c>
      <c r="AF236" s="80">
        <v>0</v>
      </c>
      <c r="AG236" s="80">
        <v>0</v>
      </c>
      <c r="AH236" s="80">
        <v>0</v>
      </c>
      <c r="AI236" s="79">
        <v>46230.724641203706</v>
      </c>
    </row>
    <row r="237" spans="1:35" x14ac:dyDescent="0.3">
      <c r="A237" t="s">
        <v>827</v>
      </c>
      <c r="B237">
        <v>228</v>
      </c>
      <c r="C237">
        <v>228</v>
      </c>
      <c r="D237">
        <v>1</v>
      </c>
      <c r="E237" s="80">
        <v>16787887.519900002</v>
      </c>
      <c r="F237" s="80">
        <v>16787887.506163049</v>
      </c>
      <c r="G237" s="80">
        <v>11618764.232459452</v>
      </c>
      <c r="H237" s="80">
        <v>5068873.8187336931</v>
      </c>
      <c r="I237" s="80">
        <v>0</v>
      </c>
      <c r="J237" s="80">
        <v>1304681.6563160962</v>
      </c>
      <c r="K237" s="80">
        <v>1558556.0091515854</v>
      </c>
      <c r="L237" s="80">
        <v>581504.78367495851</v>
      </c>
      <c r="M237" s="80">
        <v>492111.01678205357</v>
      </c>
      <c r="N237" s="80">
        <v>0</v>
      </c>
      <c r="O237" s="80">
        <v>0</v>
      </c>
      <c r="P237" s="80">
        <v>2189064.2163631171</v>
      </c>
      <c r="Q237" s="80">
        <v>0</v>
      </c>
      <c r="R237" s="80">
        <v>916083.74822006049</v>
      </c>
      <c r="S237" s="80">
        <v>3214961.2796112294</v>
      </c>
      <c r="T237" s="80">
        <v>450917.70453887683</v>
      </c>
      <c r="U237" s="80">
        <v>0</v>
      </c>
      <c r="V237" s="80">
        <v>110778.84673264904</v>
      </c>
      <c r="W237" s="80">
        <v>0</v>
      </c>
      <c r="X237" s="80">
        <v>1392465.4428209167</v>
      </c>
      <c r="Y237" s="80">
        <v>0</v>
      </c>
      <c r="Z237" s="80">
        <v>0</v>
      </c>
      <c r="AA237" s="80">
        <v>0</v>
      </c>
      <c r="AB237" s="80">
        <v>0</v>
      </c>
      <c r="AC237" s="80">
        <v>0</v>
      </c>
      <c r="AD237" s="80">
        <v>0</v>
      </c>
      <c r="AE237" s="80">
        <v>0</v>
      </c>
      <c r="AF237" s="80">
        <v>0</v>
      </c>
      <c r="AG237" s="80">
        <v>0</v>
      </c>
      <c r="AH237" s="80">
        <v>0</v>
      </c>
      <c r="AI237" s="79">
        <v>46230.724687499998</v>
      </c>
    </row>
    <row r="238" spans="1:35" x14ac:dyDescent="0.3">
      <c r="A238" t="s">
        <v>828</v>
      </c>
      <c r="B238">
        <v>229</v>
      </c>
      <c r="C238">
        <v>229</v>
      </c>
      <c r="D238">
        <v>1</v>
      </c>
      <c r="E238" s="80">
        <v>5026807.6523000002</v>
      </c>
      <c r="F238" s="80">
        <v>5026807.6522994153</v>
      </c>
      <c r="G238" s="80">
        <v>3648248.3566986956</v>
      </c>
      <c r="H238" s="80">
        <v>2066706.9930732585</v>
      </c>
      <c r="I238" s="80">
        <v>0</v>
      </c>
      <c r="J238" s="80">
        <v>224172.5319737278</v>
      </c>
      <c r="K238" s="80">
        <v>495873.55539562623</v>
      </c>
      <c r="L238" s="80">
        <v>160134.90517936216</v>
      </c>
      <c r="M238" s="80">
        <v>138471.55877718044</v>
      </c>
      <c r="N238" s="80">
        <v>0</v>
      </c>
      <c r="O238" s="80">
        <v>0</v>
      </c>
      <c r="P238" s="80">
        <v>637929.71797723661</v>
      </c>
      <c r="Q238" s="80">
        <v>0</v>
      </c>
      <c r="R238" s="80">
        <v>63430.65309948397</v>
      </c>
      <c r="S238" s="80">
        <v>944967.01485809369</v>
      </c>
      <c r="T238" s="80">
        <v>194981.55230275865</v>
      </c>
      <c r="U238" s="80">
        <v>0</v>
      </c>
      <c r="V238" s="80">
        <v>18017.501083476913</v>
      </c>
      <c r="W238" s="80">
        <v>0</v>
      </c>
      <c r="X238" s="80">
        <v>220593.22735639138</v>
      </c>
      <c r="Y238" s="80">
        <v>0</v>
      </c>
      <c r="Z238" s="80">
        <v>0</v>
      </c>
      <c r="AA238" s="80">
        <v>0</v>
      </c>
      <c r="AB238" s="80">
        <v>0</v>
      </c>
      <c r="AC238" s="80">
        <v>0</v>
      </c>
      <c r="AD238" s="80">
        <v>0</v>
      </c>
      <c r="AE238" s="80">
        <v>0</v>
      </c>
      <c r="AF238" s="80">
        <v>0</v>
      </c>
      <c r="AG238" s="80">
        <v>0</v>
      </c>
      <c r="AH238" s="80">
        <v>0</v>
      </c>
      <c r="AI238" s="79">
        <v>46230.724745370368</v>
      </c>
    </row>
    <row r="239" spans="1:35" x14ac:dyDescent="0.3">
      <c r="A239" t="s">
        <v>829</v>
      </c>
      <c r="B239">
        <v>230</v>
      </c>
      <c r="C239">
        <v>230</v>
      </c>
      <c r="D239">
        <v>1</v>
      </c>
      <c r="E239" s="80">
        <v>2451690.2664999999</v>
      </c>
      <c r="F239" s="80">
        <v>2451690.2665331913</v>
      </c>
      <c r="G239" s="80">
        <v>2062675.6106647998</v>
      </c>
      <c r="H239" s="80">
        <v>101328.43534175864</v>
      </c>
      <c r="I239" s="80">
        <v>0</v>
      </c>
      <c r="J239" s="80">
        <v>128940.28583052852</v>
      </c>
      <c r="K239" s="80">
        <v>0</v>
      </c>
      <c r="L239" s="80">
        <v>0</v>
      </c>
      <c r="M239" s="80">
        <v>0</v>
      </c>
      <c r="N239" s="80">
        <v>279312.80800555728</v>
      </c>
      <c r="O239" s="80">
        <v>279312.80800555728</v>
      </c>
      <c r="P239" s="80">
        <v>1340109.9782162695</v>
      </c>
      <c r="Q239" s="80">
        <v>0</v>
      </c>
      <c r="R239" s="80">
        <v>492296.91127624386</v>
      </c>
      <c r="S239" s="80">
        <v>0</v>
      </c>
      <c r="T239" s="80">
        <v>0</v>
      </c>
      <c r="U239" s="80">
        <v>0</v>
      </c>
      <c r="V239" s="80">
        <v>8644.2907709335159</v>
      </c>
      <c r="W239" s="80">
        <v>0</v>
      </c>
      <c r="X239" s="80">
        <v>0</v>
      </c>
      <c r="Y239" s="80">
        <v>0</v>
      </c>
      <c r="Z239" s="80">
        <v>101057.55709189997</v>
      </c>
      <c r="AA239" s="80">
        <v>0</v>
      </c>
      <c r="AB239" s="80">
        <v>0</v>
      </c>
      <c r="AC239" s="80">
        <v>0</v>
      </c>
      <c r="AD239" s="80">
        <v>0</v>
      </c>
      <c r="AE239" s="80">
        <v>0</v>
      </c>
      <c r="AF239" s="80">
        <v>0</v>
      </c>
      <c r="AG239" s="80">
        <v>0</v>
      </c>
      <c r="AH239" s="80">
        <v>0</v>
      </c>
      <c r="AI239" s="79">
        <v>46230.724803240744</v>
      </c>
    </row>
    <row r="240" spans="1:35" x14ac:dyDescent="0.3">
      <c r="A240" t="s">
        <v>525</v>
      </c>
      <c r="B240">
        <v>231</v>
      </c>
      <c r="C240">
        <v>231</v>
      </c>
      <c r="D240">
        <v>1</v>
      </c>
      <c r="E240" s="80">
        <v>4308516.0943999998</v>
      </c>
      <c r="F240" s="80">
        <v>4308516.0944069484</v>
      </c>
      <c r="G240" s="80">
        <v>4308516.0944069484</v>
      </c>
      <c r="H240" s="80">
        <v>4308516.0944069484</v>
      </c>
      <c r="I240" s="80">
        <v>0</v>
      </c>
      <c r="J240" s="80">
        <v>0</v>
      </c>
      <c r="K240" s="80">
        <v>0</v>
      </c>
      <c r="L240" s="80">
        <v>0</v>
      </c>
      <c r="M240" s="80">
        <v>0</v>
      </c>
      <c r="N240" s="80">
        <v>0</v>
      </c>
      <c r="O240" s="80">
        <v>0</v>
      </c>
      <c r="P240" s="80">
        <v>0</v>
      </c>
      <c r="Q240" s="80">
        <v>0</v>
      </c>
      <c r="R240" s="80">
        <v>0</v>
      </c>
      <c r="S240" s="80">
        <v>0</v>
      </c>
      <c r="T240" s="80">
        <v>0</v>
      </c>
      <c r="U240" s="80">
        <v>0</v>
      </c>
      <c r="V240" s="80">
        <v>0</v>
      </c>
      <c r="W240" s="80">
        <v>0</v>
      </c>
      <c r="X240" s="80">
        <v>0</v>
      </c>
      <c r="Y240" s="80">
        <v>0</v>
      </c>
      <c r="Z240" s="80">
        <v>0</v>
      </c>
      <c r="AA240" s="80">
        <v>0</v>
      </c>
      <c r="AB240" s="80">
        <v>0</v>
      </c>
      <c r="AC240" s="80">
        <v>0</v>
      </c>
      <c r="AD240" s="80">
        <v>0</v>
      </c>
      <c r="AE240" s="80">
        <v>0</v>
      </c>
      <c r="AF240" s="80">
        <v>0</v>
      </c>
      <c r="AG240" s="80">
        <v>0</v>
      </c>
      <c r="AH240" s="80">
        <v>0</v>
      </c>
      <c r="AI240" s="79">
        <v>46230.724849537037</v>
      </c>
    </row>
    <row r="241" spans="1:35" x14ac:dyDescent="0.3">
      <c r="A241" t="s">
        <v>446</v>
      </c>
      <c r="B241">
        <v>232</v>
      </c>
      <c r="C241">
        <v>232</v>
      </c>
      <c r="D241">
        <v>1</v>
      </c>
      <c r="E241" s="80">
        <v>5917440.9068999998</v>
      </c>
      <c r="F241" s="80">
        <v>5917440.9070606697</v>
      </c>
      <c r="G241" s="80">
        <v>5917440.9070606697</v>
      </c>
      <c r="H241" s="80">
        <v>5907247.6829126766</v>
      </c>
      <c r="I241" s="80">
        <v>0</v>
      </c>
      <c r="J241" s="80">
        <v>10193.224147992205</v>
      </c>
      <c r="K241" s="80">
        <v>0</v>
      </c>
      <c r="L241" s="80">
        <v>0</v>
      </c>
      <c r="M241" s="80">
        <v>0</v>
      </c>
      <c r="N241" s="80">
        <v>0</v>
      </c>
      <c r="O241" s="80">
        <v>0</v>
      </c>
      <c r="P241" s="80">
        <v>0</v>
      </c>
      <c r="Q241" s="80">
        <v>0</v>
      </c>
      <c r="R241" s="80">
        <v>0</v>
      </c>
      <c r="S241" s="80">
        <v>0</v>
      </c>
      <c r="T241" s="80">
        <v>0</v>
      </c>
      <c r="U241" s="80">
        <v>0</v>
      </c>
      <c r="V241" s="80">
        <v>0</v>
      </c>
      <c r="W241" s="80">
        <v>0</v>
      </c>
      <c r="X241" s="80">
        <v>0</v>
      </c>
      <c r="Y241" s="80">
        <v>0</v>
      </c>
      <c r="Z241" s="80">
        <v>0</v>
      </c>
      <c r="AA241" s="80">
        <v>0</v>
      </c>
      <c r="AB241" s="80">
        <v>0</v>
      </c>
      <c r="AC241" s="80">
        <v>0</v>
      </c>
      <c r="AD241" s="80">
        <v>0</v>
      </c>
      <c r="AE241" s="80">
        <v>0</v>
      </c>
      <c r="AF241" s="80">
        <v>0</v>
      </c>
      <c r="AG241" s="80">
        <v>0</v>
      </c>
      <c r="AH241" s="80">
        <v>0</v>
      </c>
      <c r="AI241" s="79">
        <v>46230.724895833337</v>
      </c>
    </row>
    <row r="242" spans="1:35" x14ac:dyDescent="0.3">
      <c r="A242" t="s">
        <v>447</v>
      </c>
      <c r="B242">
        <v>233</v>
      </c>
      <c r="C242">
        <v>233</v>
      </c>
      <c r="D242">
        <v>1</v>
      </c>
      <c r="E242" s="80">
        <v>4389310.6098999996</v>
      </c>
      <c r="F242" s="80">
        <v>4389310.609705219</v>
      </c>
      <c r="G242" s="80">
        <v>4389310.609705219</v>
      </c>
      <c r="H242" s="80">
        <v>4374310.609705219</v>
      </c>
      <c r="I242" s="80">
        <v>0</v>
      </c>
      <c r="J242" s="80">
        <v>15000</v>
      </c>
      <c r="K242" s="80">
        <v>0</v>
      </c>
      <c r="L242" s="80">
        <v>0</v>
      </c>
      <c r="M242" s="80">
        <v>0</v>
      </c>
      <c r="N242" s="80">
        <v>0</v>
      </c>
      <c r="O242" s="80">
        <v>0</v>
      </c>
      <c r="P242" s="80">
        <v>0</v>
      </c>
      <c r="Q242" s="80">
        <v>0</v>
      </c>
      <c r="R242" s="80">
        <v>0</v>
      </c>
      <c r="S242" s="80">
        <v>0</v>
      </c>
      <c r="T242" s="80">
        <v>0</v>
      </c>
      <c r="U242" s="80">
        <v>0</v>
      </c>
      <c r="V242" s="80">
        <v>0</v>
      </c>
      <c r="W242" s="80">
        <v>0</v>
      </c>
      <c r="X242" s="80">
        <v>0</v>
      </c>
      <c r="Y242" s="80">
        <v>0</v>
      </c>
      <c r="Z242" s="80">
        <v>0</v>
      </c>
      <c r="AA242" s="80">
        <v>0</v>
      </c>
      <c r="AB242" s="80">
        <v>0</v>
      </c>
      <c r="AC242" s="80">
        <v>0</v>
      </c>
      <c r="AD242" s="80">
        <v>0</v>
      </c>
      <c r="AE242" s="80">
        <v>0</v>
      </c>
      <c r="AF242" s="80">
        <v>0</v>
      </c>
      <c r="AG242" s="80">
        <v>0</v>
      </c>
      <c r="AH242" s="80">
        <v>0</v>
      </c>
      <c r="AI242" s="79">
        <v>46230.724953703706</v>
      </c>
    </row>
    <row r="243" spans="1:35" x14ac:dyDescent="0.3">
      <c r="A243" t="s">
        <v>563</v>
      </c>
      <c r="B243">
        <v>234</v>
      </c>
      <c r="C243">
        <v>234</v>
      </c>
      <c r="D243">
        <v>1</v>
      </c>
      <c r="E243" s="80">
        <v>2736720.9547000001</v>
      </c>
      <c r="F243" s="80">
        <v>2736720.9543351461</v>
      </c>
      <c r="G243" s="80">
        <v>2736720.9543351461</v>
      </c>
      <c r="H243" s="80">
        <v>2736720.9543351461</v>
      </c>
      <c r="I243" s="80">
        <v>0</v>
      </c>
      <c r="J243" s="80">
        <v>0</v>
      </c>
      <c r="K243" s="80">
        <v>0</v>
      </c>
      <c r="L243" s="80">
        <v>0</v>
      </c>
      <c r="M243" s="80">
        <v>0</v>
      </c>
      <c r="N243" s="80">
        <v>0</v>
      </c>
      <c r="O243" s="80">
        <v>0</v>
      </c>
      <c r="P243" s="80">
        <v>0</v>
      </c>
      <c r="Q243" s="80">
        <v>0</v>
      </c>
      <c r="R243" s="80">
        <v>0</v>
      </c>
      <c r="S243" s="80">
        <v>0</v>
      </c>
      <c r="T243" s="80">
        <v>0</v>
      </c>
      <c r="U243" s="80">
        <v>0</v>
      </c>
      <c r="V243" s="80">
        <v>0</v>
      </c>
      <c r="W243" s="80">
        <v>0</v>
      </c>
      <c r="X243" s="80">
        <v>0</v>
      </c>
      <c r="Y243" s="80">
        <v>0</v>
      </c>
      <c r="Z243" s="80">
        <v>0</v>
      </c>
      <c r="AA243" s="80">
        <v>0</v>
      </c>
      <c r="AB243" s="80">
        <v>0</v>
      </c>
      <c r="AC243" s="80">
        <v>0</v>
      </c>
      <c r="AD243" s="80">
        <v>0</v>
      </c>
      <c r="AE243" s="80">
        <v>0</v>
      </c>
      <c r="AF243" s="80">
        <v>0</v>
      </c>
      <c r="AG243" s="80">
        <v>0</v>
      </c>
      <c r="AH243" s="80">
        <v>0</v>
      </c>
      <c r="AI243" s="79">
        <v>46230.725011574075</v>
      </c>
    </row>
    <row r="244" spans="1:35" x14ac:dyDescent="0.3">
      <c r="A244" t="s">
        <v>830</v>
      </c>
      <c r="B244">
        <v>235</v>
      </c>
      <c r="C244">
        <v>235</v>
      </c>
      <c r="D244">
        <v>1</v>
      </c>
      <c r="E244" s="80">
        <v>5011846.9298</v>
      </c>
      <c r="F244" s="80">
        <v>5011846.9295006655</v>
      </c>
      <c r="G244" s="80">
        <v>5011846.9295006655</v>
      </c>
      <c r="H244" s="80">
        <v>5011846.9295006655</v>
      </c>
      <c r="I244" s="80">
        <v>0</v>
      </c>
      <c r="J244" s="80">
        <v>0</v>
      </c>
      <c r="K244" s="80">
        <v>0</v>
      </c>
      <c r="L244" s="80">
        <v>0</v>
      </c>
      <c r="M244" s="80">
        <v>0</v>
      </c>
      <c r="N244" s="80">
        <v>0</v>
      </c>
      <c r="O244" s="80">
        <v>0</v>
      </c>
      <c r="P244" s="80">
        <v>0</v>
      </c>
      <c r="Q244" s="80">
        <v>0</v>
      </c>
      <c r="R244" s="80">
        <v>0</v>
      </c>
      <c r="S244" s="80">
        <v>0</v>
      </c>
      <c r="T244" s="80">
        <v>0</v>
      </c>
      <c r="U244" s="80">
        <v>0</v>
      </c>
      <c r="V244" s="80">
        <v>0</v>
      </c>
      <c r="W244" s="80">
        <v>0</v>
      </c>
      <c r="X244" s="80">
        <v>0</v>
      </c>
      <c r="Y244" s="80">
        <v>0</v>
      </c>
      <c r="Z244" s="80">
        <v>0</v>
      </c>
      <c r="AA244" s="80">
        <v>0</v>
      </c>
      <c r="AB244" s="80">
        <v>0</v>
      </c>
      <c r="AC244" s="80">
        <v>0</v>
      </c>
      <c r="AD244" s="80">
        <v>0</v>
      </c>
      <c r="AE244" s="80">
        <v>0</v>
      </c>
      <c r="AF244" s="80">
        <v>0</v>
      </c>
      <c r="AG244" s="80">
        <v>0</v>
      </c>
      <c r="AH244" s="80">
        <v>0</v>
      </c>
      <c r="AI244" s="79">
        <v>46230.725069444445</v>
      </c>
    </row>
    <row r="245" spans="1:35" x14ac:dyDescent="0.3">
      <c r="A245" t="s">
        <v>517</v>
      </c>
      <c r="B245">
        <v>236</v>
      </c>
      <c r="C245">
        <v>236</v>
      </c>
      <c r="D245">
        <v>1</v>
      </c>
      <c r="E245" s="80">
        <v>1168125</v>
      </c>
      <c r="F245" s="80">
        <v>1168125</v>
      </c>
      <c r="G245" s="80">
        <v>0</v>
      </c>
      <c r="H245" s="80">
        <v>0</v>
      </c>
      <c r="I245" s="80">
        <v>0</v>
      </c>
      <c r="J245" s="80">
        <v>0</v>
      </c>
      <c r="K245" s="80">
        <v>0</v>
      </c>
      <c r="L245" s="80">
        <v>0</v>
      </c>
      <c r="M245" s="80">
        <v>0</v>
      </c>
      <c r="N245" s="80">
        <v>0</v>
      </c>
      <c r="O245" s="80">
        <v>0</v>
      </c>
      <c r="P245" s="80">
        <v>0</v>
      </c>
      <c r="Q245" s="80">
        <v>0</v>
      </c>
      <c r="R245" s="80">
        <v>0</v>
      </c>
      <c r="S245" s="80">
        <v>1168125</v>
      </c>
      <c r="T245" s="80">
        <v>0</v>
      </c>
      <c r="U245" s="80">
        <v>0</v>
      </c>
      <c r="V245" s="80">
        <v>0</v>
      </c>
      <c r="W245" s="80">
        <v>0</v>
      </c>
      <c r="X245" s="80">
        <v>0</v>
      </c>
      <c r="Y245" s="80">
        <v>0</v>
      </c>
      <c r="Z245" s="80">
        <v>0</v>
      </c>
      <c r="AA245" s="80">
        <v>0</v>
      </c>
      <c r="AB245" s="80">
        <v>0</v>
      </c>
      <c r="AC245" s="80">
        <v>0</v>
      </c>
      <c r="AD245" s="80">
        <v>0</v>
      </c>
      <c r="AE245" s="80">
        <v>0</v>
      </c>
      <c r="AF245" s="80">
        <v>0</v>
      </c>
      <c r="AG245" s="80">
        <v>0</v>
      </c>
      <c r="AH245" s="80">
        <v>0</v>
      </c>
      <c r="AI245" s="79">
        <v>46230.725104166668</v>
      </c>
    </row>
    <row r="246" spans="1:35" x14ac:dyDescent="0.3">
      <c r="A246" t="s">
        <v>831</v>
      </c>
      <c r="B246">
        <v>237</v>
      </c>
      <c r="C246">
        <v>237</v>
      </c>
      <c r="D246">
        <v>1</v>
      </c>
      <c r="E246" s="80">
        <v>1473750</v>
      </c>
      <c r="F246" s="80">
        <v>1473750</v>
      </c>
      <c r="G246" s="80">
        <v>0</v>
      </c>
      <c r="H246" s="80">
        <v>0</v>
      </c>
      <c r="I246" s="80">
        <v>0</v>
      </c>
      <c r="J246" s="80">
        <v>0</v>
      </c>
      <c r="K246" s="80">
        <v>0</v>
      </c>
      <c r="L246" s="80">
        <v>0</v>
      </c>
      <c r="M246" s="80">
        <v>0</v>
      </c>
      <c r="N246" s="80">
        <v>0</v>
      </c>
      <c r="O246" s="80">
        <v>0</v>
      </c>
      <c r="P246" s="80">
        <v>0</v>
      </c>
      <c r="Q246" s="80">
        <v>0</v>
      </c>
      <c r="R246" s="80">
        <v>0</v>
      </c>
      <c r="S246" s="80">
        <v>1428750</v>
      </c>
      <c r="T246" s="80">
        <v>22500</v>
      </c>
      <c r="U246" s="80">
        <v>0</v>
      </c>
      <c r="V246" s="80">
        <v>0</v>
      </c>
      <c r="W246" s="80">
        <v>0</v>
      </c>
      <c r="X246" s="80">
        <v>22500</v>
      </c>
      <c r="Y246" s="80">
        <v>0</v>
      </c>
      <c r="Z246" s="80">
        <v>0</v>
      </c>
      <c r="AA246" s="80">
        <v>0</v>
      </c>
      <c r="AB246" s="80">
        <v>0</v>
      </c>
      <c r="AC246" s="80">
        <v>0</v>
      </c>
      <c r="AD246" s="80">
        <v>0</v>
      </c>
      <c r="AE246" s="80">
        <v>0</v>
      </c>
      <c r="AF246" s="80">
        <v>0</v>
      </c>
      <c r="AG246" s="80">
        <v>0</v>
      </c>
      <c r="AH246" s="80">
        <v>0</v>
      </c>
      <c r="AI246" s="79">
        <v>46230.725162037037</v>
      </c>
    </row>
    <row r="247" spans="1:35" x14ac:dyDescent="0.3">
      <c r="A247" t="s">
        <v>832</v>
      </c>
      <c r="B247">
        <v>238</v>
      </c>
      <c r="C247">
        <v>238</v>
      </c>
      <c r="D247">
        <v>1</v>
      </c>
      <c r="E247" s="80">
        <v>1473750</v>
      </c>
      <c r="F247" s="80">
        <v>1473750</v>
      </c>
      <c r="G247" s="80">
        <v>0</v>
      </c>
      <c r="H247" s="80">
        <v>0</v>
      </c>
      <c r="I247" s="80">
        <v>0</v>
      </c>
      <c r="J247" s="80">
        <v>0</v>
      </c>
      <c r="K247" s="80">
        <v>0</v>
      </c>
      <c r="L247" s="80">
        <v>0</v>
      </c>
      <c r="M247" s="80">
        <v>0</v>
      </c>
      <c r="N247" s="80">
        <v>0</v>
      </c>
      <c r="O247" s="80">
        <v>0</v>
      </c>
      <c r="P247" s="80">
        <v>0</v>
      </c>
      <c r="Q247" s="80">
        <v>0</v>
      </c>
      <c r="R247" s="80">
        <v>0</v>
      </c>
      <c r="S247" s="80">
        <v>1428750</v>
      </c>
      <c r="T247" s="80">
        <v>22500</v>
      </c>
      <c r="U247" s="80">
        <v>0</v>
      </c>
      <c r="V247" s="80">
        <v>0</v>
      </c>
      <c r="W247" s="80">
        <v>0</v>
      </c>
      <c r="X247" s="80">
        <v>22500</v>
      </c>
      <c r="Y247" s="80">
        <v>0</v>
      </c>
      <c r="Z247" s="80">
        <v>0</v>
      </c>
      <c r="AA247" s="80">
        <v>0</v>
      </c>
      <c r="AB247" s="80">
        <v>0</v>
      </c>
      <c r="AC247" s="80">
        <v>0</v>
      </c>
      <c r="AD247" s="80">
        <v>0</v>
      </c>
      <c r="AE247" s="80">
        <v>0</v>
      </c>
      <c r="AF247" s="80">
        <v>0</v>
      </c>
      <c r="AG247" s="80">
        <v>0</v>
      </c>
      <c r="AH247" s="80">
        <v>0</v>
      </c>
      <c r="AI247" s="79">
        <v>46230.725219907406</v>
      </c>
    </row>
    <row r="248" spans="1:35" x14ac:dyDescent="0.3">
      <c r="A248" t="s">
        <v>544</v>
      </c>
      <c r="B248">
        <v>239</v>
      </c>
      <c r="C248">
        <v>239</v>
      </c>
      <c r="D248">
        <v>1</v>
      </c>
      <c r="E248" s="80">
        <v>1494573.9657000001</v>
      </c>
      <c r="F248" s="80">
        <v>1494573.9657088413</v>
      </c>
      <c r="G248" s="80">
        <v>0</v>
      </c>
      <c r="H248" s="80">
        <v>0</v>
      </c>
      <c r="I248" s="80">
        <v>0</v>
      </c>
      <c r="J248" s="80">
        <v>0</v>
      </c>
      <c r="K248" s="80">
        <v>0</v>
      </c>
      <c r="L248" s="80">
        <v>0</v>
      </c>
      <c r="M248" s="80">
        <v>0</v>
      </c>
      <c r="N248" s="80">
        <v>0</v>
      </c>
      <c r="O248" s="80">
        <v>0</v>
      </c>
      <c r="P248" s="80">
        <v>0</v>
      </c>
      <c r="Q248" s="80">
        <v>0</v>
      </c>
      <c r="R248" s="80">
        <v>0</v>
      </c>
      <c r="S248" s="80">
        <v>1494573.9657088413</v>
      </c>
      <c r="T248" s="80">
        <v>0</v>
      </c>
      <c r="U248" s="80">
        <v>0</v>
      </c>
      <c r="V248" s="80">
        <v>0</v>
      </c>
      <c r="W248" s="80">
        <v>0</v>
      </c>
      <c r="X248" s="80">
        <v>0</v>
      </c>
      <c r="Y248" s="80">
        <v>0</v>
      </c>
      <c r="Z248" s="80">
        <v>0</v>
      </c>
      <c r="AA248" s="80">
        <v>0</v>
      </c>
      <c r="AB248" s="80">
        <v>0</v>
      </c>
      <c r="AC248" s="80">
        <v>0</v>
      </c>
      <c r="AD248" s="80">
        <v>0</v>
      </c>
      <c r="AE248" s="80">
        <v>0</v>
      </c>
      <c r="AF248" s="80">
        <v>0</v>
      </c>
      <c r="AG248" s="80">
        <v>0</v>
      </c>
      <c r="AH248" s="80">
        <v>0</v>
      </c>
      <c r="AI248" s="79">
        <v>46230.725266203706</v>
      </c>
    </row>
    <row r="249" spans="1:35" x14ac:dyDescent="0.3">
      <c r="A249" t="s">
        <v>545</v>
      </c>
      <c r="B249">
        <v>240</v>
      </c>
      <c r="C249">
        <v>240</v>
      </c>
      <c r="D249">
        <v>1</v>
      </c>
      <c r="E249" s="80">
        <v>2291877.7752999999</v>
      </c>
      <c r="F249" s="80">
        <v>2291877.7757278048</v>
      </c>
      <c r="G249" s="80">
        <v>0</v>
      </c>
      <c r="H249" s="80">
        <v>0</v>
      </c>
      <c r="I249" s="80">
        <v>0</v>
      </c>
      <c r="J249" s="80">
        <v>0</v>
      </c>
      <c r="K249" s="80">
        <v>0</v>
      </c>
      <c r="L249" s="80">
        <v>0</v>
      </c>
      <c r="M249" s="80">
        <v>0</v>
      </c>
      <c r="N249" s="80">
        <v>0</v>
      </c>
      <c r="O249" s="80">
        <v>0</v>
      </c>
      <c r="P249" s="80">
        <v>0</v>
      </c>
      <c r="Q249" s="80">
        <v>0</v>
      </c>
      <c r="R249" s="80">
        <v>0</v>
      </c>
      <c r="S249" s="80">
        <v>2291868.8812340293</v>
      </c>
      <c r="T249" s="80">
        <v>0</v>
      </c>
      <c r="U249" s="80">
        <v>0</v>
      </c>
      <c r="V249" s="80">
        <v>0</v>
      </c>
      <c r="W249" s="80">
        <v>0</v>
      </c>
      <c r="X249" s="80">
        <v>8.8944937753628999</v>
      </c>
      <c r="Y249" s="80">
        <v>0</v>
      </c>
      <c r="Z249" s="80">
        <v>0</v>
      </c>
      <c r="AA249" s="80">
        <v>0</v>
      </c>
      <c r="AB249" s="80">
        <v>0</v>
      </c>
      <c r="AC249" s="80">
        <v>0</v>
      </c>
      <c r="AD249" s="80">
        <v>0</v>
      </c>
      <c r="AE249" s="80">
        <v>0</v>
      </c>
      <c r="AF249" s="80">
        <v>0</v>
      </c>
      <c r="AG249" s="80">
        <v>0</v>
      </c>
      <c r="AH249" s="80">
        <v>0</v>
      </c>
      <c r="AI249" s="79">
        <v>46230.725312499999</v>
      </c>
    </row>
    <row r="250" spans="1:35" x14ac:dyDescent="0.3">
      <c r="A250" t="s">
        <v>546</v>
      </c>
      <c r="B250">
        <v>241</v>
      </c>
      <c r="C250">
        <v>241</v>
      </c>
      <c r="D250">
        <v>1</v>
      </c>
      <c r="E250" s="80">
        <v>13078706.9098</v>
      </c>
      <c r="F250" s="80">
        <v>13078706.909470258</v>
      </c>
      <c r="G250" s="80">
        <v>0</v>
      </c>
      <c r="H250" s="80">
        <v>0</v>
      </c>
      <c r="I250" s="80">
        <v>0</v>
      </c>
      <c r="J250" s="80">
        <v>0</v>
      </c>
      <c r="K250" s="80">
        <v>0</v>
      </c>
      <c r="L250" s="80">
        <v>0</v>
      </c>
      <c r="M250" s="80">
        <v>0</v>
      </c>
      <c r="N250" s="80">
        <v>0</v>
      </c>
      <c r="O250" s="80">
        <v>0</v>
      </c>
      <c r="P250" s="80">
        <v>0</v>
      </c>
      <c r="Q250" s="80">
        <v>0</v>
      </c>
      <c r="R250" s="80">
        <v>0</v>
      </c>
      <c r="S250" s="80">
        <v>13078693.593373246</v>
      </c>
      <c r="T250" s="80">
        <v>0</v>
      </c>
      <c r="U250" s="80">
        <v>0</v>
      </c>
      <c r="V250" s="80">
        <v>0</v>
      </c>
      <c r="W250" s="80">
        <v>0</v>
      </c>
      <c r="X250" s="80">
        <v>13.316097012123844</v>
      </c>
      <c r="Y250" s="80">
        <v>0</v>
      </c>
      <c r="Z250" s="80">
        <v>0</v>
      </c>
      <c r="AA250" s="80">
        <v>0</v>
      </c>
      <c r="AB250" s="80">
        <v>0</v>
      </c>
      <c r="AC250" s="80">
        <v>0</v>
      </c>
      <c r="AD250" s="80">
        <v>0</v>
      </c>
      <c r="AE250" s="80">
        <v>0</v>
      </c>
      <c r="AF250" s="80">
        <v>0</v>
      </c>
      <c r="AG250" s="80">
        <v>0</v>
      </c>
      <c r="AH250" s="80">
        <v>0</v>
      </c>
      <c r="AI250" s="79">
        <v>46230.725370370368</v>
      </c>
    </row>
    <row r="251" spans="1:35" x14ac:dyDescent="0.3">
      <c r="A251" t="s">
        <v>547</v>
      </c>
      <c r="B251">
        <v>242</v>
      </c>
      <c r="C251">
        <v>242</v>
      </c>
      <c r="D251">
        <v>1</v>
      </c>
      <c r="E251" s="80">
        <v>6214496.0004000003</v>
      </c>
      <c r="F251" s="80">
        <v>6214496.0007092673</v>
      </c>
      <c r="G251" s="80">
        <v>0</v>
      </c>
      <c r="H251" s="80">
        <v>0</v>
      </c>
      <c r="I251" s="80">
        <v>0</v>
      </c>
      <c r="J251" s="80">
        <v>0</v>
      </c>
      <c r="K251" s="80">
        <v>0</v>
      </c>
      <c r="L251" s="80">
        <v>0</v>
      </c>
      <c r="M251" s="80">
        <v>0</v>
      </c>
      <c r="N251" s="80">
        <v>0</v>
      </c>
      <c r="O251" s="80">
        <v>0</v>
      </c>
      <c r="P251" s="80">
        <v>0</v>
      </c>
      <c r="Q251" s="80">
        <v>0</v>
      </c>
      <c r="R251" s="80">
        <v>0</v>
      </c>
      <c r="S251" s="80">
        <v>6202343.7333541662</v>
      </c>
      <c r="T251" s="80">
        <v>0</v>
      </c>
      <c r="U251" s="80">
        <v>0</v>
      </c>
      <c r="V251" s="80">
        <v>0</v>
      </c>
      <c r="W251" s="80">
        <v>0</v>
      </c>
      <c r="X251" s="80">
        <v>12152.267355100927</v>
      </c>
      <c r="Y251" s="80">
        <v>0</v>
      </c>
      <c r="Z251" s="80">
        <v>0</v>
      </c>
      <c r="AA251" s="80">
        <v>0</v>
      </c>
      <c r="AB251" s="80">
        <v>0</v>
      </c>
      <c r="AC251" s="80">
        <v>0</v>
      </c>
      <c r="AD251" s="80">
        <v>0</v>
      </c>
      <c r="AE251" s="80">
        <v>0</v>
      </c>
      <c r="AF251" s="80">
        <v>0</v>
      </c>
      <c r="AG251" s="80">
        <v>0</v>
      </c>
      <c r="AH251" s="80">
        <v>0</v>
      </c>
      <c r="AI251" s="79">
        <v>46230.725416666668</v>
      </c>
    </row>
    <row r="252" spans="1:35" x14ac:dyDescent="0.3">
      <c r="A252" t="s">
        <v>508</v>
      </c>
      <c r="B252">
        <v>243</v>
      </c>
      <c r="C252">
        <v>243</v>
      </c>
      <c r="D252">
        <v>1</v>
      </c>
      <c r="E252" s="80">
        <v>2423633.4580000001</v>
      </c>
      <c r="F252" s="80">
        <v>2423633.4579062294</v>
      </c>
      <c r="G252" s="80">
        <v>0</v>
      </c>
      <c r="H252" s="80">
        <v>0</v>
      </c>
      <c r="I252" s="80">
        <v>0</v>
      </c>
      <c r="J252" s="80">
        <v>0</v>
      </c>
      <c r="K252" s="80">
        <v>0</v>
      </c>
      <c r="L252" s="80">
        <v>0</v>
      </c>
      <c r="M252" s="80">
        <v>0</v>
      </c>
      <c r="N252" s="80">
        <v>0</v>
      </c>
      <c r="O252" s="80">
        <v>0</v>
      </c>
      <c r="P252" s="80">
        <v>0</v>
      </c>
      <c r="Q252" s="80">
        <v>0</v>
      </c>
      <c r="R252" s="80">
        <v>0</v>
      </c>
      <c r="S252" s="80">
        <v>2423633.4579062294</v>
      </c>
      <c r="T252" s="80">
        <v>0</v>
      </c>
      <c r="U252" s="80">
        <v>0</v>
      </c>
      <c r="V252" s="80">
        <v>0</v>
      </c>
      <c r="W252" s="80">
        <v>0</v>
      </c>
      <c r="X252" s="80">
        <v>0</v>
      </c>
      <c r="Y252" s="80">
        <v>0</v>
      </c>
      <c r="Z252" s="80">
        <v>0</v>
      </c>
      <c r="AA252" s="80">
        <v>0</v>
      </c>
      <c r="AB252" s="80">
        <v>0</v>
      </c>
      <c r="AC252" s="80">
        <v>0</v>
      </c>
      <c r="AD252" s="80">
        <v>0</v>
      </c>
      <c r="AE252" s="80">
        <v>0</v>
      </c>
      <c r="AF252" s="80">
        <v>0</v>
      </c>
      <c r="AG252" s="80">
        <v>0</v>
      </c>
      <c r="AH252" s="80">
        <v>0</v>
      </c>
      <c r="AI252" s="79">
        <v>46230.725462962961</v>
      </c>
    </row>
    <row r="253" spans="1:35" x14ac:dyDescent="0.3">
      <c r="A253" t="s">
        <v>548</v>
      </c>
      <c r="B253">
        <v>244</v>
      </c>
      <c r="C253">
        <v>244</v>
      </c>
      <c r="D253">
        <v>1</v>
      </c>
      <c r="E253" s="80">
        <v>7685541.6463000001</v>
      </c>
      <c r="F253" s="80">
        <v>7685541.6461666226</v>
      </c>
      <c r="G253" s="80">
        <v>0</v>
      </c>
      <c r="H253" s="80">
        <v>0</v>
      </c>
      <c r="I253" s="80">
        <v>0</v>
      </c>
      <c r="J253" s="80">
        <v>0</v>
      </c>
      <c r="K253" s="80">
        <v>0</v>
      </c>
      <c r="L253" s="80">
        <v>0</v>
      </c>
      <c r="M253" s="80">
        <v>0</v>
      </c>
      <c r="N253" s="80">
        <v>0</v>
      </c>
      <c r="O253" s="80">
        <v>0</v>
      </c>
      <c r="P253" s="80">
        <v>0</v>
      </c>
      <c r="Q253" s="80">
        <v>0</v>
      </c>
      <c r="R253" s="80">
        <v>0</v>
      </c>
      <c r="S253" s="80">
        <v>7685505.3232964082</v>
      </c>
      <c r="T253" s="80">
        <v>0</v>
      </c>
      <c r="U253" s="80">
        <v>0</v>
      </c>
      <c r="V253" s="80">
        <v>0</v>
      </c>
      <c r="W253" s="80">
        <v>0</v>
      </c>
      <c r="X253" s="80">
        <v>36.322870213813466</v>
      </c>
      <c r="Y253" s="80">
        <v>0</v>
      </c>
      <c r="Z253" s="80">
        <v>0</v>
      </c>
      <c r="AA253" s="80">
        <v>0</v>
      </c>
      <c r="AB253" s="80">
        <v>0</v>
      </c>
      <c r="AC253" s="80">
        <v>0</v>
      </c>
      <c r="AD253" s="80">
        <v>0</v>
      </c>
      <c r="AE253" s="80">
        <v>0</v>
      </c>
      <c r="AF253" s="80">
        <v>0</v>
      </c>
      <c r="AG253" s="80">
        <v>0</v>
      </c>
      <c r="AH253" s="80">
        <v>0</v>
      </c>
      <c r="AI253" s="79">
        <v>46230.72550925926</v>
      </c>
    </row>
    <row r="254" spans="1:35" x14ac:dyDescent="0.3">
      <c r="A254" t="s">
        <v>549</v>
      </c>
      <c r="B254">
        <v>245</v>
      </c>
      <c r="C254">
        <v>245</v>
      </c>
      <c r="D254">
        <v>1</v>
      </c>
      <c r="E254" s="80">
        <v>1009847.2741</v>
      </c>
      <c r="F254" s="80">
        <v>1009847.2741275955</v>
      </c>
      <c r="G254" s="80">
        <v>0</v>
      </c>
      <c r="H254" s="80">
        <v>0</v>
      </c>
      <c r="I254" s="80">
        <v>0</v>
      </c>
      <c r="J254" s="80">
        <v>0</v>
      </c>
      <c r="K254" s="80">
        <v>0</v>
      </c>
      <c r="L254" s="80">
        <v>0</v>
      </c>
      <c r="M254" s="80">
        <v>0</v>
      </c>
      <c r="N254" s="80">
        <v>0</v>
      </c>
      <c r="O254" s="80">
        <v>0</v>
      </c>
      <c r="P254" s="80">
        <v>0</v>
      </c>
      <c r="Q254" s="80">
        <v>0</v>
      </c>
      <c r="R254" s="80">
        <v>0</v>
      </c>
      <c r="S254" s="80">
        <v>1009847.2741275955</v>
      </c>
      <c r="T254" s="80">
        <v>0</v>
      </c>
      <c r="U254" s="80">
        <v>0</v>
      </c>
      <c r="V254" s="80">
        <v>0</v>
      </c>
      <c r="W254" s="80">
        <v>0</v>
      </c>
      <c r="X254" s="80">
        <v>0</v>
      </c>
      <c r="Y254" s="80">
        <v>0</v>
      </c>
      <c r="Z254" s="80">
        <v>0</v>
      </c>
      <c r="AA254" s="80">
        <v>0</v>
      </c>
      <c r="AB254" s="80">
        <v>0</v>
      </c>
      <c r="AC254" s="80">
        <v>0</v>
      </c>
      <c r="AD254" s="80">
        <v>0</v>
      </c>
      <c r="AE254" s="80">
        <v>0</v>
      </c>
      <c r="AF254" s="80">
        <v>0</v>
      </c>
      <c r="AG254" s="80">
        <v>0</v>
      </c>
      <c r="AH254" s="80">
        <v>0</v>
      </c>
      <c r="AI254" s="79">
        <v>46230.72556712963</v>
      </c>
    </row>
    <row r="255" spans="1:35" x14ac:dyDescent="0.3">
      <c r="A255" t="s">
        <v>550</v>
      </c>
      <c r="B255">
        <v>246</v>
      </c>
      <c r="C255">
        <v>246</v>
      </c>
      <c r="D255">
        <v>1</v>
      </c>
      <c r="E255" s="80">
        <v>1432423.6099</v>
      </c>
      <c r="F255" s="80">
        <v>1432423.6098298782</v>
      </c>
      <c r="G255" s="80">
        <v>0</v>
      </c>
      <c r="H255" s="80">
        <v>0</v>
      </c>
      <c r="I255" s="80">
        <v>0</v>
      </c>
      <c r="J255" s="80">
        <v>0</v>
      </c>
      <c r="K255" s="80">
        <v>0</v>
      </c>
      <c r="L255" s="80">
        <v>0</v>
      </c>
      <c r="M255" s="80">
        <v>0</v>
      </c>
      <c r="N255" s="80">
        <v>0</v>
      </c>
      <c r="O255" s="80">
        <v>0</v>
      </c>
      <c r="P255" s="80">
        <v>0</v>
      </c>
      <c r="Q255" s="80">
        <v>0</v>
      </c>
      <c r="R255" s="80">
        <v>0</v>
      </c>
      <c r="S255" s="80">
        <v>1432418.0507712686</v>
      </c>
      <c r="T255" s="80">
        <v>0</v>
      </c>
      <c r="U255" s="80">
        <v>0</v>
      </c>
      <c r="V255" s="80">
        <v>0</v>
      </c>
      <c r="W255" s="80">
        <v>0</v>
      </c>
      <c r="X255" s="80">
        <v>5.559058609601812</v>
      </c>
      <c r="Y255" s="80">
        <v>0</v>
      </c>
      <c r="Z255" s="80">
        <v>0</v>
      </c>
      <c r="AA255" s="80">
        <v>0</v>
      </c>
      <c r="AB255" s="80">
        <v>0</v>
      </c>
      <c r="AC255" s="80">
        <v>0</v>
      </c>
      <c r="AD255" s="80">
        <v>0</v>
      </c>
      <c r="AE255" s="80">
        <v>0</v>
      </c>
      <c r="AF255" s="80">
        <v>0</v>
      </c>
      <c r="AG255" s="80">
        <v>0</v>
      </c>
      <c r="AH255" s="80">
        <v>0</v>
      </c>
      <c r="AI255" s="79">
        <v>46230.725613425922</v>
      </c>
    </row>
    <row r="256" spans="1:35" x14ac:dyDescent="0.3">
      <c r="A256" t="s">
        <v>551</v>
      </c>
      <c r="B256">
        <v>247</v>
      </c>
      <c r="C256">
        <v>247</v>
      </c>
      <c r="D256">
        <v>1</v>
      </c>
      <c r="E256" s="80">
        <v>12820231.2468</v>
      </c>
      <c r="F256" s="80">
        <v>12820231.246612983</v>
      </c>
      <c r="G256" s="80">
        <v>0</v>
      </c>
      <c r="H256" s="80">
        <v>0</v>
      </c>
      <c r="I256" s="80">
        <v>0</v>
      </c>
      <c r="J256" s="80">
        <v>0</v>
      </c>
      <c r="K256" s="80">
        <v>0</v>
      </c>
      <c r="L256" s="80">
        <v>0</v>
      </c>
      <c r="M256" s="80">
        <v>0</v>
      </c>
      <c r="N256" s="80">
        <v>0</v>
      </c>
      <c r="O256" s="80">
        <v>0</v>
      </c>
      <c r="P256" s="80">
        <v>0</v>
      </c>
      <c r="Q256" s="80">
        <v>0</v>
      </c>
      <c r="R256" s="80">
        <v>0</v>
      </c>
      <c r="S256" s="80">
        <v>12820221.26047889</v>
      </c>
      <c r="T256" s="80">
        <v>0</v>
      </c>
      <c r="U256" s="80">
        <v>0</v>
      </c>
      <c r="V256" s="80">
        <v>0</v>
      </c>
      <c r="W256" s="80">
        <v>0</v>
      </c>
      <c r="X256" s="80">
        <v>9.9861340950165509</v>
      </c>
      <c r="Y256" s="80">
        <v>0</v>
      </c>
      <c r="Z256" s="80">
        <v>0</v>
      </c>
      <c r="AA256" s="80">
        <v>0</v>
      </c>
      <c r="AB256" s="80">
        <v>0</v>
      </c>
      <c r="AC256" s="80">
        <v>0</v>
      </c>
      <c r="AD256" s="80">
        <v>0</v>
      </c>
      <c r="AE256" s="80">
        <v>0</v>
      </c>
      <c r="AF256" s="80">
        <v>0</v>
      </c>
      <c r="AG256" s="80">
        <v>0</v>
      </c>
      <c r="AH256" s="80">
        <v>0</v>
      </c>
      <c r="AI256" s="79">
        <v>46230.725659722222</v>
      </c>
    </row>
    <row r="257" spans="1:35" x14ac:dyDescent="0.3">
      <c r="A257" t="s">
        <v>833</v>
      </c>
      <c r="B257">
        <v>248</v>
      </c>
      <c r="C257">
        <v>248</v>
      </c>
      <c r="D257">
        <v>1</v>
      </c>
      <c r="E257" s="80">
        <v>3949568.8160000001</v>
      </c>
      <c r="F257" s="80">
        <v>3949568.8239128999</v>
      </c>
      <c r="G257" s="80">
        <v>3241724.0708963345</v>
      </c>
      <c r="H257" s="80">
        <v>1625591.501928925</v>
      </c>
      <c r="I257" s="80">
        <v>0</v>
      </c>
      <c r="J257" s="80">
        <v>202583.13959112731</v>
      </c>
      <c r="K257" s="80">
        <v>447032.70983347052</v>
      </c>
      <c r="L257" s="80">
        <v>150748.24752255148</v>
      </c>
      <c r="M257" s="80">
        <v>118903.3644636332</v>
      </c>
      <c r="N257" s="80">
        <v>0</v>
      </c>
      <c r="O257" s="80">
        <v>0</v>
      </c>
      <c r="P257" s="80">
        <v>572380.86883982643</v>
      </c>
      <c r="Q257" s="80">
        <v>0</v>
      </c>
      <c r="R257" s="80">
        <v>243387.60318043461</v>
      </c>
      <c r="S257" s="80">
        <v>488175.97214443045</v>
      </c>
      <c r="T257" s="80">
        <v>50937.087109560278</v>
      </c>
      <c r="U257" s="80">
        <v>0</v>
      </c>
      <c r="V257" s="80">
        <v>21058.880013033977</v>
      </c>
      <c r="W257" s="80">
        <v>0</v>
      </c>
      <c r="X257" s="80">
        <v>147672.81374955209</v>
      </c>
      <c r="Y257" s="80">
        <v>0</v>
      </c>
      <c r="Z257" s="80">
        <v>0</v>
      </c>
      <c r="AA257" s="80">
        <v>0</v>
      </c>
      <c r="AB257" s="80">
        <v>0</v>
      </c>
      <c r="AC257" s="80">
        <v>0</v>
      </c>
      <c r="AD257" s="80">
        <v>0</v>
      </c>
      <c r="AE257" s="80">
        <v>0</v>
      </c>
      <c r="AF257" s="80">
        <v>0</v>
      </c>
      <c r="AG257" s="80">
        <v>0</v>
      </c>
      <c r="AH257" s="80">
        <v>0</v>
      </c>
      <c r="AI257" s="79">
        <v>46230.725706018522</v>
      </c>
    </row>
    <row r="258" spans="1:35" x14ac:dyDescent="0.3">
      <c r="A258" t="s">
        <v>834</v>
      </c>
      <c r="B258">
        <v>249</v>
      </c>
      <c r="C258">
        <v>249</v>
      </c>
      <c r="D258">
        <v>1</v>
      </c>
      <c r="E258" s="80">
        <v>5932505.4040999999</v>
      </c>
      <c r="F258" s="80">
        <v>5932505.3880259283</v>
      </c>
      <c r="G258" s="80">
        <v>0</v>
      </c>
      <c r="H258" s="80">
        <v>0</v>
      </c>
      <c r="I258" s="80">
        <v>0</v>
      </c>
      <c r="J258" s="80">
        <v>0</v>
      </c>
      <c r="K258" s="80">
        <v>0</v>
      </c>
      <c r="L258" s="80">
        <v>0</v>
      </c>
      <c r="M258" s="80">
        <v>0</v>
      </c>
      <c r="N258" s="80">
        <v>0</v>
      </c>
      <c r="O258" s="80">
        <v>0</v>
      </c>
      <c r="P258" s="80">
        <v>0</v>
      </c>
      <c r="Q258" s="80">
        <v>0</v>
      </c>
      <c r="R258" s="80">
        <v>0</v>
      </c>
      <c r="S258" s="80">
        <v>0</v>
      </c>
      <c r="T258" s="80">
        <v>5932505.3880259283</v>
      </c>
      <c r="U258" s="80">
        <v>0</v>
      </c>
      <c r="V258" s="80">
        <v>0</v>
      </c>
      <c r="W258" s="80">
        <v>0</v>
      </c>
      <c r="X258" s="80">
        <v>0</v>
      </c>
      <c r="Y258" s="80">
        <v>0</v>
      </c>
      <c r="Z258" s="80">
        <v>0</v>
      </c>
      <c r="AA258" s="80">
        <v>0</v>
      </c>
      <c r="AB258" s="80">
        <v>0</v>
      </c>
      <c r="AC258" s="80">
        <v>0</v>
      </c>
      <c r="AD258" s="80">
        <v>0</v>
      </c>
      <c r="AE258" s="80">
        <v>0</v>
      </c>
      <c r="AF258" s="80">
        <v>0</v>
      </c>
      <c r="AG258" s="80">
        <v>0</v>
      </c>
      <c r="AH258" s="80">
        <v>0</v>
      </c>
      <c r="AI258" s="79">
        <v>46230.725763888891</v>
      </c>
    </row>
    <row r="259" spans="1:35" x14ac:dyDescent="0.3">
      <c r="A259" t="s">
        <v>835</v>
      </c>
      <c r="B259">
        <v>250</v>
      </c>
      <c r="C259">
        <v>250</v>
      </c>
      <c r="D259">
        <v>1</v>
      </c>
      <c r="E259" s="80">
        <v>19466182.682599999</v>
      </c>
      <c r="F259" s="80">
        <v>19466182.672291402</v>
      </c>
      <c r="G259" s="80">
        <v>19421182.672521397</v>
      </c>
      <c r="H259" s="80">
        <v>13176677.106873348</v>
      </c>
      <c r="I259" s="80">
        <v>0</v>
      </c>
      <c r="J259" s="80">
        <v>391905.81213822658</v>
      </c>
      <c r="K259" s="80">
        <v>1079619.173120802</v>
      </c>
      <c r="L259" s="80">
        <v>4091007.8474114439</v>
      </c>
      <c r="M259" s="80">
        <v>4052134.6955704507</v>
      </c>
      <c r="N259" s="80">
        <v>0</v>
      </c>
      <c r="O259" s="80">
        <v>0</v>
      </c>
      <c r="P259" s="80">
        <v>512478.20390914858</v>
      </c>
      <c r="Q259" s="80">
        <v>0</v>
      </c>
      <c r="R259" s="80">
        <v>169494.52906827893</v>
      </c>
      <c r="S259" s="80">
        <v>0</v>
      </c>
      <c r="T259" s="80">
        <v>0</v>
      </c>
      <c r="U259" s="80">
        <v>0</v>
      </c>
      <c r="V259" s="80">
        <v>44999.999770000002</v>
      </c>
      <c r="W259" s="80">
        <v>0</v>
      </c>
      <c r="X259" s="80">
        <v>0</v>
      </c>
      <c r="Y259" s="80">
        <v>0</v>
      </c>
      <c r="Z259" s="80">
        <v>0</v>
      </c>
      <c r="AA259" s="80">
        <v>0</v>
      </c>
      <c r="AB259" s="80">
        <v>0</v>
      </c>
      <c r="AC259" s="80">
        <v>0</v>
      </c>
      <c r="AD259" s="80">
        <v>0</v>
      </c>
      <c r="AE259" s="80">
        <v>0</v>
      </c>
      <c r="AF259" s="80">
        <v>0</v>
      </c>
      <c r="AG259" s="80">
        <v>0</v>
      </c>
      <c r="AH259" s="80">
        <v>0</v>
      </c>
      <c r="AI259" s="79">
        <v>46230.725810185184</v>
      </c>
    </row>
    <row r="260" spans="1:35" x14ac:dyDescent="0.3">
      <c r="A260" t="s">
        <v>836</v>
      </c>
      <c r="B260">
        <v>251</v>
      </c>
      <c r="C260">
        <v>251</v>
      </c>
      <c r="D260">
        <v>1</v>
      </c>
      <c r="E260" s="80">
        <v>5256350.5160999997</v>
      </c>
      <c r="F260" s="80">
        <v>5256350.5615463275</v>
      </c>
      <c r="G260" s="80">
        <v>5243654.2596913008</v>
      </c>
      <c r="H260" s="80">
        <v>3461741.7487799828</v>
      </c>
      <c r="I260" s="80">
        <v>0</v>
      </c>
      <c r="J260" s="80">
        <v>130007.85578342488</v>
      </c>
      <c r="K260" s="80">
        <v>366399.59082010854</v>
      </c>
      <c r="L260" s="80">
        <v>1082662.6939381137</v>
      </c>
      <c r="M260" s="80">
        <v>1066944.3097598483</v>
      </c>
      <c r="N260" s="80">
        <v>0</v>
      </c>
      <c r="O260" s="80">
        <v>0</v>
      </c>
      <c r="P260" s="80">
        <v>158301.35132196447</v>
      </c>
      <c r="Q260" s="80">
        <v>0</v>
      </c>
      <c r="R260" s="80">
        <v>44541.019047595975</v>
      </c>
      <c r="S260" s="80">
        <v>0</v>
      </c>
      <c r="T260" s="80">
        <v>0</v>
      </c>
      <c r="U260" s="80">
        <v>0</v>
      </c>
      <c r="V260" s="80">
        <v>10314.189710161356</v>
      </c>
      <c r="W260" s="80">
        <v>0</v>
      </c>
      <c r="X260" s="80">
        <v>0</v>
      </c>
      <c r="Y260" s="80">
        <v>0</v>
      </c>
      <c r="Z260" s="80">
        <v>0</v>
      </c>
      <c r="AA260" s="80">
        <v>2382.1121448646477</v>
      </c>
      <c r="AB260" s="80">
        <v>0</v>
      </c>
      <c r="AC260" s="80">
        <v>0</v>
      </c>
      <c r="AD260" s="80">
        <v>0</v>
      </c>
      <c r="AE260" s="80">
        <v>0</v>
      </c>
      <c r="AF260" s="80">
        <v>0</v>
      </c>
      <c r="AG260" s="80">
        <v>0</v>
      </c>
      <c r="AH260" s="80">
        <v>0</v>
      </c>
      <c r="AI260" s="79">
        <v>46230.725868055553</v>
      </c>
    </row>
    <row r="261" spans="1:35" x14ac:dyDescent="0.3">
      <c r="A261" t="s">
        <v>837</v>
      </c>
      <c r="B261">
        <v>252</v>
      </c>
      <c r="C261">
        <v>252</v>
      </c>
      <c r="D261">
        <v>1</v>
      </c>
      <c r="E261" s="80">
        <v>37069294.7742</v>
      </c>
      <c r="F261" s="80">
        <v>37069294.774569511</v>
      </c>
      <c r="G261" s="80">
        <v>36978333.149176553</v>
      </c>
      <c r="H261" s="80">
        <v>25402621.214559883</v>
      </c>
      <c r="I261" s="80">
        <v>0</v>
      </c>
      <c r="J261" s="80">
        <v>687184.56298914005</v>
      </c>
      <c r="K261" s="80">
        <v>1783272.8798289592</v>
      </c>
      <c r="L261" s="80">
        <v>7893430.8586718235</v>
      </c>
      <c r="M261" s="80">
        <v>7831404.5531495074</v>
      </c>
      <c r="N261" s="80">
        <v>0</v>
      </c>
      <c r="O261" s="80">
        <v>0</v>
      </c>
      <c r="P261" s="80">
        <v>884595.12532868783</v>
      </c>
      <c r="Q261" s="80">
        <v>0</v>
      </c>
      <c r="R261" s="80">
        <v>327228.50779802969</v>
      </c>
      <c r="S261" s="80">
        <v>0</v>
      </c>
      <c r="T261" s="80">
        <v>0</v>
      </c>
      <c r="U261" s="80">
        <v>0</v>
      </c>
      <c r="V261" s="80">
        <v>90961.625392962291</v>
      </c>
      <c r="W261" s="80">
        <v>0</v>
      </c>
      <c r="X261" s="80">
        <v>0</v>
      </c>
      <c r="Y261" s="80">
        <v>0</v>
      </c>
      <c r="Z261" s="80">
        <v>0</v>
      </c>
      <c r="AA261" s="80">
        <v>0</v>
      </c>
      <c r="AB261" s="80">
        <v>0</v>
      </c>
      <c r="AC261" s="80">
        <v>0</v>
      </c>
      <c r="AD261" s="80">
        <v>0</v>
      </c>
      <c r="AE261" s="80">
        <v>0</v>
      </c>
      <c r="AF261" s="80">
        <v>0</v>
      </c>
      <c r="AG261" s="80">
        <v>0</v>
      </c>
      <c r="AH261" s="80">
        <v>0</v>
      </c>
      <c r="AI261" s="79">
        <v>46230.725914351853</v>
      </c>
    </row>
    <row r="262" spans="1:35" x14ac:dyDescent="0.3">
      <c r="A262" t="s">
        <v>838</v>
      </c>
      <c r="B262">
        <v>253</v>
      </c>
      <c r="C262">
        <v>253</v>
      </c>
      <c r="D262">
        <v>1</v>
      </c>
      <c r="E262" s="80">
        <v>9477768.5446000006</v>
      </c>
      <c r="F262" s="80">
        <v>9477768.5449579656</v>
      </c>
      <c r="G262" s="80">
        <v>9457768.5449579656</v>
      </c>
      <c r="H262" s="80">
        <v>6351577.3403900964</v>
      </c>
      <c r="I262" s="80">
        <v>0</v>
      </c>
      <c r="J262" s="80">
        <v>207870.84670690392</v>
      </c>
      <c r="K262" s="80">
        <v>580480.77601212938</v>
      </c>
      <c r="L262" s="80">
        <v>1966287.4253830947</v>
      </c>
      <c r="M262" s="80">
        <v>1944466.0668713597</v>
      </c>
      <c r="N262" s="80">
        <v>0</v>
      </c>
      <c r="O262" s="80">
        <v>0</v>
      </c>
      <c r="P262" s="80">
        <v>271520.95399924996</v>
      </c>
      <c r="Q262" s="80">
        <v>0</v>
      </c>
      <c r="R262" s="80">
        <v>80031.202466490678</v>
      </c>
      <c r="S262" s="80">
        <v>0</v>
      </c>
      <c r="T262" s="80">
        <v>0</v>
      </c>
      <c r="U262" s="80">
        <v>0</v>
      </c>
      <c r="V262" s="80">
        <v>20000</v>
      </c>
      <c r="W262" s="80">
        <v>0</v>
      </c>
      <c r="X262" s="80">
        <v>0</v>
      </c>
      <c r="Y262" s="80">
        <v>0</v>
      </c>
      <c r="Z262" s="80">
        <v>0</v>
      </c>
      <c r="AA262" s="80">
        <v>0</v>
      </c>
      <c r="AB262" s="80">
        <v>0</v>
      </c>
      <c r="AC262" s="80">
        <v>0</v>
      </c>
      <c r="AD262" s="80">
        <v>0</v>
      </c>
      <c r="AE262" s="80">
        <v>0</v>
      </c>
      <c r="AF262" s="80">
        <v>0</v>
      </c>
      <c r="AG262" s="80">
        <v>0</v>
      </c>
      <c r="AH262" s="80">
        <v>0</v>
      </c>
      <c r="AI262" s="79">
        <v>46230.725983796299</v>
      </c>
    </row>
    <row r="263" spans="1:35" x14ac:dyDescent="0.3">
      <c r="A263" t="s">
        <v>568</v>
      </c>
      <c r="B263">
        <v>254</v>
      </c>
      <c r="C263">
        <v>254</v>
      </c>
      <c r="D263">
        <v>1</v>
      </c>
      <c r="E263" s="80">
        <v>2873886.1277999999</v>
      </c>
      <c r="F263" s="80">
        <v>2873886.126041586</v>
      </c>
      <c r="G263" s="80">
        <v>2146244.5550744724</v>
      </c>
      <c r="H263" s="80">
        <v>310447.37820124143</v>
      </c>
      <c r="I263" s="80">
        <v>0</v>
      </c>
      <c r="J263" s="80">
        <v>225307.46805121726</v>
      </c>
      <c r="K263" s="80">
        <v>425254.69035392901</v>
      </c>
      <c r="L263" s="80">
        <v>0</v>
      </c>
      <c r="M263" s="80">
        <v>0</v>
      </c>
      <c r="N263" s="80">
        <v>0</v>
      </c>
      <c r="O263" s="80">
        <v>0</v>
      </c>
      <c r="P263" s="80">
        <v>949966.35428236274</v>
      </c>
      <c r="Q263" s="80">
        <v>0</v>
      </c>
      <c r="R263" s="80">
        <v>235268.66418571872</v>
      </c>
      <c r="S263" s="80">
        <v>413586.81829182419</v>
      </c>
      <c r="T263" s="80">
        <v>75508.972210672742</v>
      </c>
      <c r="U263" s="80">
        <v>0</v>
      </c>
      <c r="V263" s="80">
        <v>0</v>
      </c>
      <c r="W263" s="80">
        <v>0</v>
      </c>
      <c r="X263" s="80">
        <v>238545.78046461058</v>
      </c>
      <c r="Y263" s="80">
        <v>0</v>
      </c>
      <c r="Z263" s="80">
        <v>0</v>
      </c>
      <c r="AA263" s="80">
        <v>0</v>
      </c>
      <c r="AB263" s="80">
        <v>0</v>
      </c>
      <c r="AC263" s="80">
        <v>0</v>
      </c>
      <c r="AD263" s="80">
        <v>0</v>
      </c>
      <c r="AE263" s="80">
        <v>0</v>
      </c>
      <c r="AF263" s="80">
        <v>0</v>
      </c>
      <c r="AG263" s="80">
        <v>0</v>
      </c>
      <c r="AH263" s="80">
        <v>0</v>
      </c>
      <c r="AI263" s="79">
        <v>46230.726053240738</v>
      </c>
    </row>
    <row r="264" spans="1:35" x14ac:dyDescent="0.3">
      <c r="A264" t="s">
        <v>839</v>
      </c>
      <c r="B264">
        <v>255</v>
      </c>
      <c r="C264">
        <v>255</v>
      </c>
      <c r="D264">
        <v>1</v>
      </c>
      <c r="E264" s="80">
        <v>3391196.3058000002</v>
      </c>
      <c r="F264" s="80">
        <v>3391196.3052072916</v>
      </c>
      <c r="G264" s="80">
        <v>0</v>
      </c>
      <c r="H264" s="80">
        <v>0</v>
      </c>
      <c r="I264" s="80">
        <v>3391196.3052072916</v>
      </c>
      <c r="J264" s="80">
        <v>0</v>
      </c>
      <c r="K264" s="80">
        <v>0</v>
      </c>
      <c r="L264" s="80">
        <v>0</v>
      </c>
      <c r="M264" s="80">
        <v>0</v>
      </c>
      <c r="N264" s="80">
        <v>0</v>
      </c>
      <c r="O264" s="80">
        <v>0</v>
      </c>
      <c r="P264" s="80">
        <v>0</v>
      </c>
      <c r="Q264" s="80">
        <v>0</v>
      </c>
      <c r="R264" s="80">
        <v>0</v>
      </c>
      <c r="S264" s="80">
        <v>0</v>
      </c>
      <c r="T264" s="80">
        <v>0</v>
      </c>
      <c r="U264" s="80">
        <v>0</v>
      </c>
      <c r="V264" s="80">
        <v>0</v>
      </c>
      <c r="W264" s="80">
        <v>0</v>
      </c>
      <c r="X264" s="80">
        <v>0</v>
      </c>
      <c r="Y264" s="80">
        <v>0</v>
      </c>
      <c r="Z264" s="80">
        <v>0</v>
      </c>
      <c r="AA264" s="80">
        <v>0</v>
      </c>
      <c r="AB264" s="80">
        <v>0</v>
      </c>
      <c r="AC264" s="80">
        <v>0</v>
      </c>
      <c r="AD264" s="80">
        <v>0</v>
      </c>
      <c r="AE264" s="80">
        <v>0</v>
      </c>
      <c r="AF264" s="80">
        <v>0</v>
      </c>
      <c r="AG264" s="80">
        <v>0</v>
      </c>
      <c r="AH264" s="80">
        <v>0</v>
      </c>
      <c r="AI264" s="79">
        <v>46230.726111111115</v>
      </c>
    </row>
    <row r="265" spans="1:35" x14ac:dyDescent="0.3">
      <c r="A265" t="s">
        <v>840</v>
      </c>
      <c r="B265">
        <v>256</v>
      </c>
      <c r="C265">
        <v>256</v>
      </c>
      <c r="D265">
        <v>1</v>
      </c>
      <c r="E265" s="80">
        <v>1828680.8696000001</v>
      </c>
      <c r="F265" s="80">
        <v>1828680.8698805638</v>
      </c>
      <c r="G265" s="80">
        <v>1828680.8698805638</v>
      </c>
      <c r="H265" s="80">
        <v>59537.923043048671</v>
      </c>
      <c r="I265" s="80">
        <v>0</v>
      </c>
      <c r="J265" s="80">
        <v>191282.39870778203</v>
      </c>
      <c r="K265" s="80">
        <v>690890.84255380416</v>
      </c>
      <c r="L265" s="80">
        <v>886969.70557592798</v>
      </c>
      <c r="M265" s="80">
        <v>861909.13514625933</v>
      </c>
      <c r="N265" s="80">
        <v>0</v>
      </c>
      <c r="O265" s="80">
        <v>0</v>
      </c>
      <c r="P265" s="80">
        <v>0</v>
      </c>
      <c r="Q265" s="80">
        <v>0</v>
      </c>
      <c r="R265" s="80">
        <v>0</v>
      </c>
      <c r="S265" s="80">
        <v>0</v>
      </c>
      <c r="T265" s="80">
        <v>0</v>
      </c>
      <c r="U265" s="80">
        <v>0</v>
      </c>
      <c r="V265" s="80">
        <v>0</v>
      </c>
      <c r="W265" s="80">
        <v>0</v>
      </c>
      <c r="X265" s="80">
        <v>0</v>
      </c>
      <c r="Y265" s="80">
        <v>0</v>
      </c>
      <c r="Z265" s="80">
        <v>0</v>
      </c>
      <c r="AA265" s="80">
        <v>0</v>
      </c>
      <c r="AB265" s="80">
        <v>0</v>
      </c>
      <c r="AC265" s="80">
        <v>0</v>
      </c>
      <c r="AD265" s="80">
        <v>0</v>
      </c>
      <c r="AE265" s="80">
        <v>0</v>
      </c>
      <c r="AF265" s="80">
        <v>0</v>
      </c>
      <c r="AG265" s="80">
        <v>0</v>
      </c>
      <c r="AH265" s="80">
        <v>0</v>
      </c>
      <c r="AI265" s="79">
        <v>46230.726157407407</v>
      </c>
    </row>
    <row r="266" spans="1:35" x14ac:dyDescent="0.3">
      <c r="A266" t="s">
        <v>841</v>
      </c>
      <c r="B266">
        <v>257</v>
      </c>
      <c r="C266">
        <v>257</v>
      </c>
      <c r="D266">
        <v>1</v>
      </c>
      <c r="E266" s="80">
        <v>2372730.2192000002</v>
      </c>
      <c r="F266" s="80">
        <v>2372730.2194320224</v>
      </c>
      <c r="G266" s="80">
        <v>0</v>
      </c>
      <c r="H266" s="80">
        <v>0</v>
      </c>
      <c r="I266" s="80">
        <v>0</v>
      </c>
      <c r="J266" s="80">
        <v>0</v>
      </c>
      <c r="K266" s="80">
        <v>0</v>
      </c>
      <c r="L266" s="80">
        <v>0</v>
      </c>
      <c r="M266" s="80">
        <v>0</v>
      </c>
      <c r="N266" s="80">
        <v>0</v>
      </c>
      <c r="O266" s="80">
        <v>0</v>
      </c>
      <c r="P266" s="80">
        <v>0</v>
      </c>
      <c r="Q266" s="80">
        <v>0</v>
      </c>
      <c r="R266" s="80">
        <v>0</v>
      </c>
      <c r="S266" s="80">
        <v>0</v>
      </c>
      <c r="T266" s="80">
        <v>0</v>
      </c>
      <c r="U266" s="80">
        <v>2350098.2654528241</v>
      </c>
      <c r="V266" s="80">
        <v>0</v>
      </c>
      <c r="W266" s="80">
        <v>0</v>
      </c>
      <c r="X266" s="80">
        <v>0</v>
      </c>
      <c r="Y266" s="80">
        <v>0</v>
      </c>
      <c r="Z266" s="80">
        <v>0</v>
      </c>
      <c r="AA266" s="80">
        <v>0</v>
      </c>
      <c r="AB266" s="80">
        <v>0</v>
      </c>
      <c r="AC266" s="80">
        <v>0</v>
      </c>
      <c r="AD266" s="80">
        <v>0</v>
      </c>
      <c r="AE266" s="80">
        <v>0</v>
      </c>
      <c r="AF266" s="80">
        <v>0</v>
      </c>
      <c r="AG266" s="80">
        <v>22631.953979198359</v>
      </c>
      <c r="AH266" s="80">
        <v>22631.953979198359</v>
      </c>
      <c r="AI266" s="79">
        <v>46230.726203703707</v>
      </c>
    </row>
    <row r="267" spans="1:35" x14ac:dyDescent="0.3">
      <c r="A267" t="s">
        <v>842</v>
      </c>
      <c r="B267">
        <v>258</v>
      </c>
      <c r="C267">
        <v>258</v>
      </c>
      <c r="D267">
        <v>1</v>
      </c>
      <c r="E267" s="80">
        <v>1091997.7512000001</v>
      </c>
      <c r="F267" s="80">
        <v>1091997.7507165789</v>
      </c>
      <c r="G267" s="80">
        <v>1082325.006133501</v>
      </c>
      <c r="H267" s="80">
        <v>41601.11722233695</v>
      </c>
      <c r="I267" s="80">
        <v>0</v>
      </c>
      <c r="J267" s="80">
        <v>30000</v>
      </c>
      <c r="K267" s="80">
        <v>0</v>
      </c>
      <c r="L267" s="80">
        <v>0</v>
      </c>
      <c r="M267" s="80">
        <v>0</v>
      </c>
      <c r="N267" s="80">
        <v>0</v>
      </c>
      <c r="O267" s="80">
        <v>0</v>
      </c>
      <c r="P267" s="80">
        <v>910425.121175654</v>
      </c>
      <c r="Q267" s="80">
        <v>0</v>
      </c>
      <c r="R267" s="80">
        <v>100298.76773551024</v>
      </c>
      <c r="S267" s="80">
        <v>0</v>
      </c>
      <c r="T267" s="80">
        <v>0</v>
      </c>
      <c r="U267" s="80">
        <v>0</v>
      </c>
      <c r="V267" s="80">
        <v>9672.7445830777597</v>
      </c>
      <c r="W267" s="80">
        <v>0</v>
      </c>
      <c r="X267" s="80">
        <v>0</v>
      </c>
      <c r="Y267" s="80">
        <v>0</v>
      </c>
      <c r="Z267" s="80">
        <v>0</v>
      </c>
      <c r="AA267" s="80">
        <v>0</v>
      </c>
      <c r="AB267" s="80">
        <v>0</v>
      </c>
      <c r="AC267" s="80">
        <v>0</v>
      </c>
      <c r="AD267" s="80">
        <v>0</v>
      </c>
      <c r="AE267" s="80">
        <v>0</v>
      </c>
      <c r="AF267" s="80">
        <v>0</v>
      </c>
      <c r="AG267" s="80">
        <v>0</v>
      </c>
      <c r="AH267" s="80">
        <v>0</v>
      </c>
      <c r="AI267" s="79">
        <v>46230.72625</v>
      </c>
    </row>
    <row r="268" spans="1:35" x14ac:dyDescent="0.3">
      <c r="A268" t="s">
        <v>843</v>
      </c>
      <c r="B268">
        <v>259</v>
      </c>
      <c r="C268">
        <v>259</v>
      </c>
      <c r="D268">
        <v>1</v>
      </c>
      <c r="E268" s="80">
        <v>4538030.3881999999</v>
      </c>
      <c r="F268" s="80">
        <v>4538030.3885579584</v>
      </c>
      <c r="G268" s="80">
        <v>0</v>
      </c>
      <c r="H268" s="80">
        <v>0</v>
      </c>
      <c r="I268" s="80">
        <v>4246403.6658492517</v>
      </c>
      <c r="J268" s="80">
        <v>0</v>
      </c>
      <c r="K268" s="80">
        <v>0</v>
      </c>
      <c r="L268" s="80">
        <v>0</v>
      </c>
      <c r="M268" s="80">
        <v>0</v>
      </c>
      <c r="N268" s="80">
        <v>291626.72270870669</v>
      </c>
      <c r="O268" s="80">
        <v>0</v>
      </c>
      <c r="P268" s="80">
        <v>0</v>
      </c>
      <c r="Q268" s="80">
        <v>0</v>
      </c>
      <c r="R268" s="80">
        <v>0</v>
      </c>
      <c r="S268" s="80">
        <v>0</v>
      </c>
      <c r="T268" s="80">
        <v>0</v>
      </c>
      <c r="U268" s="80">
        <v>0</v>
      </c>
      <c r="V268" s="80">
        <v>0</v>
      </c>
      <c r="W268" s="80">
        <v>0</v>
      </c>
      <c r="X268" s="80">
        <v>0</v>
      </c>
      <c r="Y268" s="80">
        <v>0</v>
      </c>
      <c r="Z268" s="80">
        <v>0</v>
      </c>
      <c r="AA268" s="80">
        <v>0</v>
      </c>
      <c r="AB268" s="80">
        <v>0</v>
      </c>
      <c r="AC268" s="80">
        <v>0</v>
      </c>
      <c r="AD268" s="80">
        <v>0</v>
      </c>
      <c r="AE268" s="80">
        <v>0</v>
      </c>
      <c r="AF268" s="80">
        <v>0</v>
      </c>
      <c r="AG268" s="80">
        <v>0</v>
      </c>
      <c r="AH268" s="80">
        <v>0</v>
      </c>
      <c r="AI268" s="79">
        <v>46230.726307870369</v>
      </c>
    </row>
    <row r="269" spans="1:35" x14ac:dyDescent="0.3">
      <c r="A269" t="s">
        <v>844</v>
      </c>
      <c r="B269">
        <v>260</v>
      </c>
      <c r="C269">
        <v>260</v>
      </c>
      <c r="D269">
        <v>1</v>
      </c>
      <c r="E269" s="80">
        <v>874370.72360000003</v>
      </c>
      <c r="F269" s="80">
        <v>874370.72728735872</v>
      </c>
      <c r="G269" s="80">
        <v>0</v>
      </c>
      <c r="H269" s="80">
        <v>0</v>
      </c>
      <c r="I269" s="80">
        <v>874370.72728735872</v>
      </c>
      <c r="J269" s="80">
        <v>0</v>
      </c>
      <c r="K269" s="80">
        <v>0</v>
      </c>
      <c r="L269" s="80">
        <v>0</v>
      </c>
      <c r="M269" s="80">
        <v>0</v>
      </c>
      <c r="N269" s="80">
        <v>0</v>
      </c>
      <c r="O269" s="80">
        <v>0</v>
      </c>
      <c r="P269" s="80">
        <v>0</v>
      </c>
      <c r="Q269" s="80">
        <v>0</v>
      </c>
      <c r="R269" s="80">
        <v>0</v>
      </c>
      <c r="S269" s="80">
        <v>0</v>
      </c>
      <c r="T269" s="80">
        <v>0</v>
      </c>
      <c r="U269" s="80">
        <v>0</v>
      </c>
      <c r="V269" s="80">
        <v>0</v>
      </c>
      <c r="W269" s="80">
        <v>0</v>
      </c>
      <c r="X269" s="80">
        <v>0</v>
      </c>
      <c r="Y269" s="80">
        <v>0</v>
      </c>
      <c r="Z269" s="80">
        <v>0</v>
      </c>
      <c r="AA269" s="80">
        <v>0</v>
      </c>
      <c r="AB269" s="80">
        <v>0</v>
      </c>
      <c r="AC269" s="80">
        <v>0</v>
      </c>
      <c r="AD269" s="80">
        <v>0</v>
      </c>
      <c r="AE269" s="80">
        <v>0</v>
      </c>
      <c r="AF269" s="80">
        <v>0</v>
      </c>
      <c r="AG269" s="80">
        <v>0</v>
      </c>
      <c r="AH269" s="80">
        <v>0</v>
      </c>
      <c r="AI269" s="79">
        <v>46230.726354166669</v>
      </c>
    </row>
    <row r="270" spans="1:35" x14ac:dyDescent="0.3">
      <c r="A270" t="s">
        <v>552</v>
      </c>
      <c r="B270">
        <v>261</v>
      </c>
      <c r="C270">
        <v>261</v>
      </c>
      <c r="D270">
        <v>1</v>
      </c>
      <c r="E270" s="80">
        <v>1250329.4663</v>
      </c>
      <c r="F270" s="80">
        <v>1250329.4667262936</v>
      </c>
      <c r="G270" s="80">
        <v>0</v>
      </c>
      <c r="H270" s="80">
        <v>0</v>
      </c>
      <c r="I270" s="80">
        <v>0</v>
      </c>
      <c r="J270" s="80">
        <v>0</v>
      </c>
      <c r="K270" s="80">
        <v>0</v>
      </c>
      <c r="L270" s="80">
        <v>0</v>
      </c>
      <c r="M270" s="80">
        <v>0</v>
      </c>
      <c r="N270" s="80">
        <v>0</v>
      </c>
      <c r="O270" s="80">
        <v>0</v>
      </c>
      <c r="P270" s="80">
        <v>0</v>
      </c>
      <c r="Q270" s="80">
        <v>0</v>
      </c>
      <c r="R270" s="80">
        <v>0</v>
      </c>
      <c r="S270" s="80">
        <v>1250329.4667262936</v>
      </c>
      <c r="T270" s="80">
        <v>0</v>
      </c>
      <c r="U270" s="80">
        <v>0</v>
      </c>
      <c r="V270" s="80">
        <v>0</v>
      </c>
      <c r="W270" s="80">
        <v>0</v>
      </c>
      <c r="X270" s="80">
        <v>0</v>
      </c>
      <c r="Y270" s="80">
        <v>0</v>
      </c>
      <c r="Z270" s="80">
        <v>0</v>
      </c>
      <c r="AA270" s="80">
        <v>0</v>
      </c>
      <c r="AB270" s="80">
        <v>0</v>
      </c>
      <c r="AC270" s="80">
        <v>0</v>
      </c>
      <c r="AD270" s="80">
        <v>0</v>
      </c>
      <c r="AE270" s="80">
        <v>0</v>
      </c>
      <c r="AF270" s="80">
        <v>0</v>
      </c>
      <c r="AG270" s="80">
        <v>0</v>
      </c>
      <c r="AH270" s="80">
        <v>0</v>
      </c>
      <c r="AI270" s="79">
        <v>46230.726400462961</v>
      </c>
    </row>
    <row r="271" spans="1:35" x14ac:dyDescent="0.3">
      <c r="A271" t="s">
        <v>519</v>
      </c>
      <c r="B271">
        <v>262</v>
      </c>
      <c r="C271">
        <v>262</v>
      </c>
      <c r="D271">
        <v>1</v>
      </c>
      <c r="E271" s="80">
        <v>384879.80129999999</v>
      </c>
      <c r="F271" s="80">
        <v>384879.80144830665</v>
      </c>
      <c r="G271" s="80">
        <v>160223.54795032906</v>
      </c>
      <c r="H271" s="80">
        <v>51595.778738426641</v>
      </c>
      <c r="I271" s="80">
        <v>0</v>
      </c>
      <c r="J271" s="80">
        <v>0</v>
      </c>
      <c r="K271" s="80">
        <v>0</v>
      </c>
      <c r="L271" s="80">
        <v>0</v>
      </c>
      <c r="M271" s="80">
        <v>0</v>
      </c>
      <c r="N271" s="80">
        <v>0</v>
      </c>
      <c r="O271" s="80">
        <v>0</v>
      </c>
      <c r="P271" s="80">
        <v>108627.76921190243</v>
      </c>
      <c r="Q271" s="80">
        <v>0</v>
      </c>
      <c r="R271" s="80">
        <v>0</v>
      </c>
      <c r="S271" s="80">
        <v>0</v>
      </c>
      <c r="T271" s="80">
        <v>58733.203412558199</v>
      </c>
      <c r="U271" s="80">
        <v>0</v>
      </c>
      <c r="V271" s="80">
        <v>0</v>
      </c>
      <c r="W271" s="80">
        <v>0</v>
      </c>
      <c r="X271" s="80">
        <v>165922.9280598379</v>
      </c>
      <c r="Y271" s="80">
        <v>0</v>
      </c>
      <c r="Z271" s="80">
        <v>0</v>
      </c>
      <c r="AA271" s="80">
        <v>0</v>
      </c>
      <c r="AB271" s="80">
        <v>0</v>
      </c>
      <c r="AC271" s="80">
        <v>0</v>
      </c>
      <c r="AD271" s="80">
        <v>0</v>
      </c>
      <c r="AE271" s="80">
        <v>0</v>
      </c>
      <c r="AF271" s="80">
        <v>0</v>
      </c>
      <c r="AG271" s="80">
        <v>0</v>
      </c>
      <c r="AH271" s="80">
        <v>0</v>
      </c>
      <c r="AI271" s="79">
        <v>46230.726458333331</v>
      </c>
    </row>
    <row r="272" spans="1:35" x14ac:dyDescent="0.3">
      <c r="A272" t="s">
        <v>845</v>
      </c>
      <c r="B272">
        <v>263</v>
      </c>
      <c r="C272">
        <v>263</v>
      </c>
      <c r="D272">
        <v>1</v>
      </c>
      <c r="E272" s="80">
        <v>1861106.3099</v>
      </c>
      <c r="F272" s="80">
        <v>1861106.3043106438</v>
      </c>
      <c r="G272" s="80">
        <v>1375417.892758104</v>
      </c>
      <c r="H272" s="80">
        <v>935823.62173194147</v>
      </c>
      <c r="I272" s="80">
        <v>0</v>
      </c>
      <c r="J272" s="80">
        <v>3953.6595167619726</v>
      </c>
      <c r="K272" s="80">
        <v>303390.55228581419</v>
      </c>
      <c r="L272" s="80">
        <v>92910.170248792303</v>
      </c>
      <c r="M272" s="80">
        <v>90807.066773855404</v>
      </c>
      <c r="N272" s="80">
        <v>0</v>
      </c>
      <c r="O272" s="80">
        <v>0</v>
      </c>
      <c r="P272" s="80">
        <v>31852.276104371191</v>
      </c>
      <c r="Q272" s="80">
        <v>0</v>
      </c>
      <c r="R272" s="80">
        <v>7487.6128704216253</v>
      </c>
      <c r="S272" s="80">
        <v>364173.91086116509</v>
      </c>
      <c r="T272" s="80">
        <v>54468.937656824055</v>
      </c>
      <c r="U272" s="80">
        <v>0</v>
      </c>
      <c r="V272" s="80">
        <v>0</v>
      </c>
      <c r="W272" s="80">
        <v>0</v>
      </c>
      <c r="X272" s="80">
        <v>67045.563034550432</v>
      </c>
      <c r="Y272" s="80">
        <v>0</v>
      </c>
      <c r="Z272" s="80">
        <v>0</v>
      </c>
      <c r="AA272" s="80">
        <v>0</v>
      </c>
      <c r="AB272" s="80">
        <v>0</v>
      </c>
      <c r="AC272" s="80">
        <v>0</v>
      </c>
      <c r="AD272" s="80">
        <v>0</v>
      </c>
      <c r="AE272" s="80">
        <v>0</v>
      </c>
      <c r="AF272" s="80">
        <v>0</v>
      </c>
      <c r="AG272" s="80">
        <v>0</v>
      </c>
      <c r="AH272" s="80">
        <v>0</v>
      </c>
      <c r="AI272" s="79">
        <v>46230.726504629631</v>
      </c>
    </row>
    <row r="273" spans="1:35" x14ac:dyDescent="0.3">
      <c r="A273" t="s">
        <v>846</v>
      </c>
      <c r="B273">
        <v>264</v>
      </c>
      <c r="C273">
        <v>264</v>
      </c>
      <c r="D273">
        <v>1</v>
      </c>
      <c r="E273" s="80">
        <v>5969140.6984000001</v>
      </c>
      <c r="F273" s="80">
        <v>5969140.701832436</v>
      </c>
      <c r="G273" s="80">
        <v>4923959.149545907</v>
      </c>
      <c r="H273" s="80">
        <v>2309446.3034512168</v>
      </c>
      <c r="I273" s="80">
        <v>0</v>
      </c>
      <c r="J273" s="80">
        <v>416052.20780759363</v>
      </c>
      <c r="K273" s="80">
        <v>679824.20602446457</v>
      </c>
      <c r="L273" s="80">
        <v>299726.52896370506</v>
      </c>
      <c r="M273" s="80">
        <v>229717.42587976094</v>
      </c>
      <c r="N273" s="80">
        <v>0</v>
      </c>
      <c r="O273" s="80">
        <v>0</v>
      </c>
      <c r="P273" s="80">
        <v>796153.0616324608</v>
      </c>
      <c r="Q273" s="80">
        <v>0</v>
      </c>
      <c r="R273" s="80">
        <v>422756.84166642994</v>
      </c>
      <c r="S273" s="80">
        <v>717464.88394904777</v>
      </c>
      <c r="T273" s="80">
        <v>53876.322151045024</v>
      </c>
      <c r="U273" s="80">
        <v>0</v>
      </c>
      <c r="V273" s="80">
        <v>36233.46704150673</v>
      </c>
      <c r="W273" s="80">
        <v>0</v>
      </c>
      <c r="X273" s="80">
        <v>237606.87914490909</v>
      </c>
      <c r="Y273" s="80">
        <v>0</v>
      </c>
      <c r="Z273" s="80">
        <v>0</v>
      </c>
      <c r="AA273" s="80">
        <v>0</v>
      </c>
      <c r="AB273" s="80">
        <v>0</v>
      </c>
      <c r="AC273" s="80">
        <v>0</v>
      </c>
      <c r="AD273" s="80">
        <v>0</v>
      </c>
      <c r="AE273" s="80">
        <v>0</v>
      </c>
      <c r="AF273" s="80">
        <v>0</v>
      </c>
      <c r="AG273" s="80">
        <v>0</v>
      </c>
      <c r="AH273" s="80">
        <v>0</v>
      </c>
      <c r="AI273" s="79">
        <v>46230.726550925923</v>
      </c>
    </row>
    <row r="274" spans="1:35" x14ac:dyDescent="0.3">
      <c r="A274" t="s">
        <v>847</v>
      </c>
      <c r="B274">
        <v>265</v>
      </c>
      <c r="C274">
        <v>265</v>
      </c>
      <c r="D274">
        <v>1</v>
      </c>
      <c r="E274" s="80">
        <v>2874423.7228000001</v>
      </c>
      <c r="F274" s="80">
        <v>2874423.723087369</v>
      </c>
      <c r="G274" s="80">
        <v>2588556.0761249959</v>
      </c>
      <c r="H274" s="80">
        <v>1963936.4673374752</v>
      </c>
      <c r="I274" s="80">
        <v>0</v>
      </c>
      <c r="J274" s="80">
        <v>8280.3137637783329</v>
      </c>
      <c r="K274" s="80">
        <v>52088.355039806214</v>
      </c>
      <c r="L274" s="80">
        <v>23345.392053981508</v>
      </c>
      <c r="M274" s="80">
        <v>23345.392053981508</v>
      </c>
      <c r="N274" s="80">
        <v>0</v>
      </c>
      <c r="O274" s="80">
        <v>0</v>
      </c>
      <c r="P274" s="80">
        <v>520481.71754668845</v>
      </c>
      <c r="Q274" s="80">
        <v>0</v>
      </c>
      <c r="R274" s="80">
        <v>20423.830383266039</v>
      </c>
      <c r="S274" s="80">
        <v>138267.55148285226</v>
      </c>
      <c r="T274" s="80">
        <v>98288.459940997622</v>
      </c>
      <c r="U274" s="80">
        <v>0</v>
      </c>
      <c r="V274" s="80">
        <v>0</v>
      </c>
      <c r="W274" s="80">
        <v>0</v>
      </c>
      <c r="X274" s="80">
        <v>49311.635538524359</v>
      </c>
      <c r="Y274" s="80">
        <v>0</v>
      </c>
      <c r="Z274" s="80">
        <v>0</v>
      </c>
      <c r="AA274" s="80">
        <v>0</v>
      </c>
      <c r="AB274" s="80">
        <v>0</v>
      </c>
      <c r="AC274" s="80">
        <v>0</v>
      </c>
      <c r="AD274" s="80">
        <v>0</v>
      </c>
      <c r="AE274" s="80">
        <v>0</v>
      </c>
      <c r="AF274" s="80">
        <v>0</v>
      </c>
      <c r="AG274" s="80">
        <v>0</v>
      </c>
      <c r="AH274" s="80">
        <v>0</v>
      </c>
      <c r="AI274" s="79">
        <v>46230.7266087963</v>
      </c>
    </row>
    <row r="275" spans="1:35" x14ac:dyDescent="0.3">
      <c r="A275" t="s">
        <v>510</v>
      </c>
      <c r="B275">
        <v>266</v>
      </c>
      <c r="C275">
        <v>266</v>
      </c>
      <c r="D275">
        <v>1</v>
      </c>
      <c r="E275" s="80">
        <v>2376184.4887999999</v>
      </c>
      <c r="F275" s="80">
        <v>2376184.4888087232</v>
      </c>
      <c r="G275" s="80">
        <v>2203848.1921911631</v>
      </c>
      <c r="H275" s="80">
        <v>1613052.4717859614</v>
      </c>
      <c r="I275" s="80">
        <v>0</v>
      </c>
      <c r="J275" s="80">
        <v>0</v>
      </c>
      <c r="K275" s="80">
        <v>0</v>
      </c>
      <c r="L275" s="80">
        <v>0</v>
      </c>
      <c r="M275" s="80">
        <v>0</v>
      </c>
      <c r="N275" s="80">
        <v>0</v>
      </c>
      <c r="O275" s="80">
        <v>0</v>
      </c>
      <c r="P275" s="80">
        <v>587968.21699971077</v>
      </c>
      <c r="Q275" s="80">
        <v>0</v>
      </c>
      <c r="R275" s="80">
        <v>2827.5034054912589</v>
      </c>
      <c r="S275" s="80">
        <v>64490.486071115898</v>
      </c>
      <c r="T275" s="80">
        <v>100000.00049999999</v>
      </c>
      <c r="U275" s="80">
        <v>0</v>
      </c>
      <c r="V275" s="80">
        <v>0</v>
      </c>
      <c r="W275" s="80">
        <v>0</v>
      </c>
      <c r="X275" s="80">
        <v>7845.8100464447243</v>
      </c>
      <c r="Y275" s="80">
        <v>0</v>
      </c>
      <c r="Z275" s="80">
        <v>0</v>
      </c>
      <c r="AA275" s="80">
        <v>0</v>
      </c>
      <c r="AB275" s="80">
        <v>0</v>
      </c>
      <c r="AC275" s="80">
        <v>0</v>
      </c>
      <c r="AD275" s="80">
        <v>0</v>
      </c>
      <c r="AE275" s="80">
        <v>0</v>
      </c>
      <c r="AF275" s="80">
        <v>0</v>
      </c>
      <c r="AG275" s="80">
        <v>0</v>
      </c>
      <c r="AH275" s="80">
        <v>0</v>
      </c>
      <c r="AI275" s="79">
        <v>46230.726643518516</v>
      </c>
    </row>
    <row r="276" spans="1:35" x14ac:dyDescent="0.3">
      <c r="A276" t="s">
        <v>848</v>
      </c>
      <c r="B276">
        <v>267</v>
      </c>
      <c r="C276">
        <v>267</v>
      </c>
      <c r="D276">
        <v>1</v>
      </c>
      <c r="E276" s="80">
        <v>2897336.12</v>
      </c>
      <c r="F276" s="80">
        <v>2897336.1201742529</v>
      </c>
      <c r="G276" s="80">
        <v>2383903.4065639009</v>
      </c>
      <c r="H276" s="80">
        <v>1189980.4008565128</v>
      </c>
      <c r="I276" s="80">
        <v>0</v>
      </c>
      <c r="J276" s="80">
        <v>147329.25737587857</v>
      </c>
      <c r="K276" s="80">
        <v>337406.00103720953</v>
      </c>
      <c r="L276" s="80">
        <v>107683.90601788764</v>
      </c>
      <c r="M276" s="80">
        <v>82393.427395630759</v>
      </c>
      <c r="N276" s="80">
        <v>0</v>
      </c>
      <c r="O276" s="80">
        <v>0</v>
      </c>
      <c r="P276" s="80">
        <v>424032.74931129086</v>
      </c>
      <c r="Q276" s="80">
        <v>0</v>
      </c>
      <c r="R276" s="80">
        <v>177471.09196512093</v>
      </c>
      <c r="S276" s="80">
        <v>354545.55514405022</v>
      </c>
      <c r="T276" s="80">
        <v>40240.158395540362</v>
      </c>
      <c r="U276" s="80">
        <v>0</v>
      </c>
      <c r="V276" s="80">
        <v>14335.410277970355</v>
      </c>
      <c r="W276" s="80">
        <v>0</v>
      </c>
      <c r="X276" s="80">
        <v>104311.58979278857</v>
      </c>
      <c r="Y276" s="80">
        <v>0</v>
      </c>
      <c r="Z276" s="80">
        <v>0</v>
      </c>
      <c r="AA276" s="80">
        <v>0</v>
      </c>
      <c r="AB276" s="80">
        <v>0</v>
      </c>
      <c r="AC276" s="80">
        <v>0</v>
      </c>
      <c r="AD276" s="80">
        <v>0</v>
      </c>
      <c r="AE276" s="80">
        <v>0</v>
      </c>
      <c r="AF276" s="80">
        <v>0</v>
      </c>
      <c r="AG276" s="80">
        <v>0</v>
      </c>
      <c r="AH276" s="80">
        <v>0</v>
      </c>
      <c r="AI276" s="79">
        <v>46230.726689814815</v>
      </c>
    </row>
    <row r="277" spans="1:35" x14ac:dyDescent="0.3">
      <c r="A277" t="s">
        <v>506</v>
      </c>
      <c r="B277">
        <v>268</v>
      </c>
      <c r="C277">
        <v>268</v>
      </c>
      <c r="D277">
        <v>1</v>
      </c>
      <c r="E277" s="80">
        <v>866901.05350000004</v>
      </c>
      <c r="F277" s="80">
        <v>866901.05338745844</v>
      </c>
      <c r="G277" s="80">
        <v>783328.51366593561</v>
      </c>
      <c r="H277" s="80">
        <v>464487.14537930803</v>
      </c>
      <c r="I277" s="80">
        <v>0</v>
      </c>
      <c r="J277" s="80">
        <v>81185.926204427509</v>
      </c>
      <c r="K277" s="80">
        <v>57114.948271414229</v>
      </c>
      <c r="L277" s="80">
        <v>78708.106486293109</v>
      </c>
      <c r="M277" s="80">
        <v>66766.626149188261</v>
      </c>
      <c r="N277" s="80">
        <v>0</v>
      </c>
      <c r="O277" s="80">
        <v>0</v>
      </c>
      <c r="P277" s="80">
        <v>60674.174561033891</v>
      </c>
      <c r="Q277" s="80">
        <v>0</v>
      </c>
      <c r="R277" s="80">
        <v>41158.212763459</v>
      </c>
      <c r="S277" s="80">
        <v>35187.669545532044</v>
      </c>
      <c r="T277" s="80">
        <v>3000.0000000000009</v>
      </c>
      <c r="U277" s="80">
        <v>0</v>
      </c>
      <c r="V277" s="80">
        <v>18782.231728118411</v>
      </c>
      <c r="W277" s="80">
        <v>0</v>
      </c>
      <c r="X277" s="80">
        <v>25625.102535374383</v>
      </c>
      <c r="Y277" s="80">
        <v>0</v>
      </c>
      <c r="Z277" s="80">
        <v>0</v>
      </c>
      <c r="AA277" s="80">
        <v>977.53591249806345</v>
      </c>
      <c r="AB277" s="80">
        <v>0</v>
      </c>
      <c r="AC277" s="80">
        <v>0</v>
      </c>
      <c r="AD277" s="80">
        <v>0</v>
      </c>
      <c r="AE277" s="80">
        <v>0</v>
      </c>
      <c r="AF277" s="80">
        <v>0</v>
      </c>
      <c r="AG277" s="80">
        <v>0</v>
      </c>
      <c r="AH277" s="80">
        <v>0</v>
      </c>
      <c r="AI277" s="79">
        <v>46230.726736111108</v>
      </c>
    </row>
    <row r="278" spans="1:35" x14ac:dyDescent="0.3">
      <c r="A278" t="s">
        <v>849</v>
      </c>
      <c r="B278">
        <v>269</v>
      </c>
      <c r="C278">
        <v>269</v>
      </c>
      <c r="D278">
        <v>1</v>
      </c>
      <c r="E278" s="80">
        <v>1903450.5878000001</v>
      </c>
      <c r="F278" s="80">
        <v>1903450.5875096612</v>
      </c>
      <c r="G278" s="80">
        <v>1529096.0932259248</v>
      </c>
      <c r="H278" s="80">
        <v>152570.7280040044</v>
      </c>
      <c r="I278" s="80">
        <v>0</v>
      </c>
      <c r="J278" s="80">
        <v>227481.0906679472</v>
      </c>
      <c r="K278" s="80">
        <v>271494.37572242308</v>
      </c>
      <c r="L278" s="80">
        <v>48844.249281097618</v>
      </c>
      <c r="M278" s="80">
        <v>48844.249281097618</v>
      </c>
      <c r="N278" s="80">
        <v>0</v>
      </c>
      <c r="O278" s="80">
        <v>0</v>
      </c>
      <c r="P278" s="80">
        <v>573331.9633103431</v>
      </c>
      <c r="Q278" s="80">
        <v>0</v>
      </c>
      <c r="R278" s="80">
        <v>255373.68624010973</v>
      </c>
      <c r="S278" s="80">
        <v>247760.65972583008</v>
      </c>
      <c r="T278" s="80">
        <v>42195.100867993082</v>
      </c>
      <c r="U278" s="80">
        <v>0</v>
      </c>
      <c r="V278" s="80">
        <v>0</v>
      </c>
      <c r="W278" s="80">
        <v>0</v>
      </c>
      <c r="X278" s="80">
        <v>84398.733689912726</v>
      </c>
      <c r="Y278" s="80">
        <v>0</v>
      </c>
      <c r="Z278" s="80">
        <v>0</v>
      </c>
      <c r="AA278" s="80">
        <v>0</v>
      </c>
      <c r="AB278" s="80">
        <v>0</v>
      </c>
      <c r="AC278" s="80">
        <v>0</v>
      </c>
      <c r="AD278" s="80">
        <v>0</v>
      </c>
      <c r="AE278" s="80">
        <v>0</v>
      </c>
      <c r="AF278" s="80">
        <v>0</v>
      </c>
      <c r="AG278" s="80">
        <v>0</v>
      </c>
      <c r="AH278" s="80">
        <v>0</v>
      </c>
      <c r="AI278" s="79">
        <v>46230.726793981485</v>
      </c>
    </row>
    <row r="279" spans="1:35" x14ac:dyDescent="0.3">
      <c r="A279" t="s">
        <v>850</v>
      </c>
      <c r="B279">
        <v>270</v>
      </c>
      <c r="C279">
        <v>270</v>
      </c>
      <c r="D279">
        <v>1</v>
      </c>
      <c r="E279" s="80">
        <v>5670274.9396000002</v>
      </c>
      <c r="F279" s="80">
        <v>5670274.9278475307</v>
      </c>
      <c r="G279" s="80">
        <v>4645415.6125309067</v>
      </c>
      <c r="H279" s="80">
        <v>934179.94502695918</v>
      </c>
      <c r="I279" s="80">
        <v>0</v>
      </c>
      <c r="J279" s="80">
        <v>825219.31728763622</v>
      </c>
      <c r="K279" s="80">
        <v>744289.11887108686</v>
      </c>
      <c r="L279" s="80">
        <v>474607.1779139057</v>
      </c>
      <c r="M279" s="80">
        <v>394913.50679836358</v>
      </c>
      <c r="N279" s="80">
        <v>0</v>
      </c>
      <c r="O279" s="80">
        <v>0</v>
      </c>
      <c r="P279" s="80">
        <v>966381.67418348498</v>
      </c>
      <c r="Q279" s="80">
        <v>0</v>
      </c>
      <c r="R279" s="80">
        <v>700738.37924783584</v>
      </c>
      <c r="S279" s="80">
        <v>580179.89937259315</v>
      </c>
      <c r="T279" s="80">
        <v>96565.731675997289</v>
      </c>
      <c r="U279" s="80">
        <v>0</v>
      </c>
      <c r="V279" s="80">
        <v>10838.246907639887</v>
      </c>
      <c r="W279" s="80">
        <v>0</v>
      </c>
      <c r="X279" s="80">
        <v>337275.43736039544</v>
      </c>
      <c r="Y279" s="80">
        <v>0</v>
      </c>
      <c r="Z279" s="80">
        <v>0</v>
      </c>
      <c r="AA279" s="80">
        <v>0</v>
      </c>
      <c r="AB279" s="80">
        <v>0</v>
      </c>
      <c r="AC279" s="80">
        <v>0</v>
      </c>
      <c r="AD279" s="80">
        <v>0</v>
      </c>
      <c r="AE279" s="80">
        <v>0</v>
      </c>
      <c r="AF279" s="80">
        <v>0</v>
      </c>
      <c r="AG279" s="80">
        <v>0</v>
      </c>
      <c r="AH279" s="80">
        <v>0</v>
      </c>
      <c r="AI279" s="79">
        <v>46230.726851851854</v>
      </c>
    </row>
    <row r="280" spans="1:35" x14ac:dyDescent="0.3">
      <c r="A280" t="s">
        <v>851</v>
      </c>
      <c r="B280">
        <v>271</v>
      </c>
      <c r="C280">
        <v>271</v>
      </c>
      <c r="D280">
        <v>1</v>
      </c>
      <c r="E280" s="80">
        <v>8285173.7638999997</v>
      </c>
      <c r="F280" s="80">
        <v>8285173.7640780658</v>
      </c>
      <c r="G280" s="80">
        <v>4049128.8098016744</v>
      </c>
      <c r="H280" s="80">
        <v>896043.51710308017</v>
      </c>
      <c r="I280" s="80">
        <v>0</v>
      </c>
      <c r="J280" s="80">
        <v>667821.63104045205</v>
      </c>
      <c r="K280" s="80">
        <v>699982.53117509885</v>
      </c>
      <c r="L280" s="80">
        <v>380663.10021477944</v>
      </c>
      <c r="M280" s="80">
        <v>329676.41477018496</v>
      </c>
      <c r="N280" s="80">
        <v>1689273.2112199177</v>
      </c>
      <c r="O280" s="80">
        <v>1689273.2112199177</v>
      </c>
      <c r="P280" s="80">
        <v>807896.01940129045</v>
      </c>
      <c r="Q280" s="80">
        <v>1594397.4280316599</v>
      </c>
      <c r="R280" s="80">
        <v>596722.01086697297</v>
      </c>
      <c r="S280" s="80">
        <v>328649.46367042518</v>
      </c>
      <c r="T280" s="80">
        <v>56325.917171013629</v>
      </c>
      <c r="U280" s="80">
        <v>0</v>
      </c>
      <c r="V280" s="80">
        <v>22189.907184434152</v>
      </c>
      <c r="W280" s="80">
        <v>0</v>
      </c>
      <c r="X280" s="80">
        <v>228307.06550933374</v>
      </c>
      <c r="Y280" s="80">
        <v>0</v>
      </c>
      <c r="Z280" s="80">
        <v>314847.6695411267</v>
      </c>
      <c r="AA280" s="80">
        <v>0</v>
      </c>
      <c r="AB280" s="80">
        <v>0</v>
      </c>
      <c r="AC280" s="80">
        <v>0</v>
      </c>
      <c r="AD280" s="80">
        <v>0</v>
      </c>
      <c r="AE280" s="80">
        <v>0</v>
      </c>
      <c r="AF280" s="80">
        <v>0</v>
      </c>
      <c r="AG280" s="80">
        <v>0</v>
      </c>
      <c r="AH280" s="80">
        <v>0</v>
      </c>
      <c r="AI280" s="79">
        <v>46230.726909722223</v>
      </c>
    </row>
    <row r="281" spans="1:35" x14ac:dyDescent="0.3">
      <c r="A281" t="s">
        <v>523</v>
      </c>
      <c r="B281">
        <v>272</v>
      </c>
      <c r="C281">
        <v>272</v>
      </c>
      <c r="D281">
        <v>1</v>
      </c>
      <c r="E281" s="80">
        <v>13720361.970799999</v>
      </c>
      <c r="F281" s="80">
        <v>13720361.970657224</v>
      </c>
      <c r="G281" s="80">
        <v>13587482.699240597</v>
      </c>
      <c r="H281" s="80">
        <v>191156.89245623819</v>
      </c>
      <c r="I281" s="80">
        <v>0</v>
      </c>
      <c r="J281" s="80">
        <v>0</v>
      </c>
      <c r="K281" s="80">
        <v>13313560.837704265</v>
      </c>
      <c r="L281" s="80">
        <v>71794.103595432112</v>
      </c>
      <c r="M281" s="80">
        <v>71794.103595432112</v>
      </c>
      <c r="N281" s="80">
        <v>14424.455650494447</v>
      </c>
      <c r="O281" s="80">
        <v>14424.455650494447</v>
      </c>
      <c r="P281" s="80">
        <v>10970.865484661452</v>
      </c>
      <c r="Q281" s="80">
        <v>0</v>
      </c>
      <c r="R281" s="80">
        <v>0</v>
      </c>
      <c r="S281" s="80">
        <v>0</v>
      </c>
      <c r="T281" s="80">
        <v>0</v>
      </c>
      <c r="U281" s="80">
        <v>0</v>
      </c>
      <c r="V281" s="80">
        <v>14651.168758623695</v>
      </c>
      <c r="W281" s="80">
        <v>0</v>
      </c>
      <c r="X281" s="80">
        <v>0</v>
      </c>
      <c r="Y281" s="80">
        <v>0</v>
      </c>
      <c r="Z281" s="80">
        <v>0</v>
      </c>
      <c r="AA281" s="80">
        <v>103803.647007507</v>
      </c>
      <c r="AB281" s="80">
        <v>0</v>
      </c>
      <c r="AC281" s="80">
        <v>0</v>
      </c>
      <c r="AD281" s="80">
        <v>0</v>
      </c>
      <c r="AE281" s="80">
        <v>0</v>
      </c>
      <c r="AF281" s="80">
        <v>0</v>
      </c>
      <c r="AG281" s="80">
        <v>0</v>
      </c>
      <c r="AH281" s="80">
        <v>0</v>
      </c>
      <c r="AI281" s="79">
        <v>46230.726967592593</v>
      </c>
    </row>
    <row r="282" spans="1:35" x14ac:dyDescent="0.3">
      <c r="A282" t="s">
        <v>852</v>
      </c>
      <c r="B282">
        <v>273</v>
      </c>
      <c r="C282">
        <v>273</v>
      </c>
      <c r="D282">
        <v>1</v>
      </c>
      <c r="E282" s="80">
        <v>10163834.2127</v>
      </c>
      <c r="F282" s="80">
        <v>10163834.218253026</v>
      </c>
      <c r="G282" s="80">
        <v>10115581.559260555</v>
      </c>
      <c r="H282" s="80">
        <v>55115.065403389788</v>
      </c>
      <c r="I282" s="80">
        <v>0</v>
      </c>
      <c r="J282" s="80">
        <v>0</v>
      </c>
      <c r="K282" s="80">
        <v>10054462.911021402</v>
      </c>
      <c r="L282" s="80">
        <v>6003.582835764103</v>
      </c>
      <c r="M282" s="80">
        <v>6003.582835764103</v>
      </c>
      <c r="N282" s="80">
        <v>47111.154762163511</v>
      </c>
      <c r="O282" s="80">
        <v>47111.154762163511</v>
      </c>
      <c r="P282" s="80">
        <v>0</v>
      </c>
      <c r="Q282" s="80">
        <v>0</v>
      </c>
      <c r="R282" s="80">
        <v>0</v>
      </c>
      <c r="S282" s="80">
        <v>0</v>
      </c>
      <c r="T282" s="80">
        <v>0</v>
      </c>
      <c r="U282" s="80">
        <v>0</v>
      </c>
      <c r="V282" s="80">
        <v>0</v>
      </c>
      <c r="W282" s="80">
        <v>0</v>
      </c>
      <c r="X282" s="80">
        <v>0</v>
      </c>
      <c r="Y282" s="80">
        <v>0</v>
      </c>
      <c r="Z282" s="80">
        <v>0</v>
      </c>
      <c r="AA282" s="80">
        <v>1141.5042303097268</v>
      </c>
      <c r="AB282" s="80">
        <v>0</v>
      </c>
      <c r="AC282" s="80">
        <v>0</v>
      </c>
      <c r="AD282" s="80">
        <v>0</v>
      </c>
      <c r="AE282" s="80">
        <v>0</v>
      </c>
      <c r="AF282" s="80">
        <v>0</v>
      </c>
      <c r="AG282" s="80">
        <v>0</v>
      </c>
      <c r="AH282" s="80">
        <v>0</v>
      </c>
      <c r="AI282" s="79">
        <v>46230.727025462962</v>
      </c>
    </row>
    <row r="283" spans="1:35" x14ac:dyDescent="0.3">
      <c r="A283" t="s">
        <v>853</v>
      </c>
      <c r="B283">
        <v>274</v>
      </c>
      <c r="C283">
        <v>274</v>
      </c>
      <c r="D283">
        <v>1</v>
      </c>
      <c r="E283" s="80">
        <v>13720361.970799999</v>
      </c>
      <c r="F283" s="80">
        <v>13720361.970657224</v>
      </c>
      <c r="G283" s="80">
        <v>13587482.699240597</v>
      </c>
      <c r="H283" s="80">
        <v>191156.89245623819</v>
      </c>
      <c r="I283" s="80">
        <v>0</v>
      </c>
      <c r="J283" s="80">
        <v>0</v>
      </c>
      <c r="K283" s="80">
        <v>13313560.837704265</v>
      </c>
      <c r="L283" s="80">
        <v>71794.103595432112</v>
      </c>
      <c r="M283" s="80">
        <v>71794.103595432112</v>
      </c>
      <c r="N283" s="80">
        <v>14424.455650494447</v>
      </c>
      <c r="O283" s="80">
        <v>14424.455650494447</v>
      </c>
      <c r="P283" s="80">
        <v>10970.865484661452</v>
      </c>
      <c r="Q283" s="80">
        <v>0</v>
      </c>
      <c r="R283" s="80">
        <v>0</v>
      </c>
      <c r="S283" s="80">
        <v>0</v>
      </c>
      <c r="T283" s="80">
        <v>0</v>
      </c>
      <c r="U283" s="80">
        <v>0</v>
      </c>
      <c r="V283" s="80">
        <v>14651.168758623695</v>
      </c>
      <c r="W283" s="80">
        <v>0</v>
      </c>
      <c r="X283" s="80">
        <v>0</v>
      </c>
      <c r="Y283" s="80">
        <v>0</v>
      </c>
      <c r="Z283" s="80">
        <v>0</v>
      </c>
      <c r="AA283" s="80">
        <v>103803.647007507</v>
      </c>
      <c r="AB283" s="80">
        <v>0</v>
      </c>
      <c r="AC283" s="80">
        <v>0</v>
      </c>
      <c r="AD283" s="80">
        <v>0</v>
      </c>
      <c r="AE283" s="80">
        <v>0</v>
      </c>
      <c r="AF283" s="80">
        <v>0</v>
      </c>
      <c r="AG283" s="80">
        <v>0</v>
      </c>
      <c r="AH283" s="80">
        <v>0</v>
      </c>
      <c r="AI283" s="79">
        <v>46230.727083333331</v>
      </c>
    </row>
    <row r="284" spans="1:35" x14ac:dyDescent="0.3">
      <c r="A284" t="s">
        <v>539</v>
      </c>
      <c r="B284">
        <v>275</v>
      </c>
      <c r="C284">
        <v>275</v>
      </c>
      <c r="D284">
        <v>1</v>
      </c>
      <c r="E284" s="80">
        <v>17133933.357900001</v>
      </c>
      <c r="F284" s="80">
        <v>17133933.358129505</v>
      </c>
      <c r="G284" s="80">
        <v>16915921.586356226</v>
      </c>
      <c r="H284" s="80">
        <v>232463.95294120215</v>
      </c>
      <c r="I284" s="80">
        <v>0</v>
      </c>
      <c r="J284" s="80">
        <v>0</v>
      </c>
      <c r="K284" s="80">
        <v>16616986.990559347</v>
      </c>
      <c r="L284" s="80">
        <v>66470.642855669561</v>
      </c>
      <c r="M284" s="80">
        <v>66470.642855669561</v>
      </c>
      <c r="N284" s="80">
        <v>88296.544061407432</v>
      </c>
      <c r="O284" s="80">
        <v>88296.544061407432</v>
      </c>
      <c r="P284" s="80">
        <v>0</v>
      </c>
      <c r="Q284" s="80">
        <v>0</v>
      </c>
      <c r="R284" s="80">
        <v>0</v>
      </c>
      <c r="S284" s="80">
        <v>0</v>
      </c>
      <c r="T284" s="80">
        <v>0</v>
      </c>
      <c r="U284" s="80">
        <v>0</v>
      </c>
      <c r="V284" s="80">
        <v>69204.035259157215</v>
      </c>
      <c r="W284" s="80">
        <v>0</v>
      </c>
      <c r="X284" s="80">
        <v>0</v>
      </c>
      <c r="Y284" s="80">
        <v>0</v>
      </c>
      <c r="Z284" s="80">
        <v>0</v>
      </c>
      <c r="AA284" s="80">
        <v>60511.192452711715</v>
      </c>
      <c r="AB284" s="80">
        <v>0</v>
      </c>
      <c r="AC284" s="80">
        <v>0</v>
      </c>
      <c r="AD284" s="80">
        <v>0</v>
      </c>
      <c r="AE284" s="80">
        <v>0</v>
      </c>
      <c r="AF284" s="80">
        <v>0</v>
      </c>
      <c r="AG284" s="80">
        <v>0</v>
      </c>
      <c r="AH284" s="80">
        <v>0</v>
      </c>
      <c r="AI284" s="79">
        <v>46230.727141203701</v>
      </c>
    </row>
    <row r="285" spans="1:35" x14ac:dyDescent="0.3">
      <c r="A285" t="s">
        <v>854</v>
      </c>
      <c r="B285">
        <v>276</v>
      </c>
      <c r="C285">
        <v>276</v>
      </c>
      <c r="D285">
        <v>1</v>
      </c>
      <c r="E285" s="80">
        <v>2143209.0964000002</v>
      </c>
      <c r="F285" s="80">
        <v>2143209.092134675</v>
      </c>
      <c r="G285" s="80">
        <v>889531.79110461869</v>
      </c>
      <c r="H285" s="80">
        <v>162284.95232315556</v>
      </c>
      <c r="I285" s="80">
        <v>0</v>
      </c>
      <c r="J285" s="80">
        <v>142936.75594520563</v>
      </c>
      <c r="K285" s="80">
        <v>203396.53619953286</v>
      </c>
      <c r="L285" s="80">
        <v>15075.265164536104</v>
      </c>
      <c r="M285" s="80">
        <v>15075.265164536104</v>
      </c>
      <c r="N285" s="80">
        <v>37527.245463266081</v>
      </c>
      <c r="O285" s="80">
        <v>37527.245463266081</v>
      </c>
      <c r="P285" s="80">
        <v>277957.96806269302</v>
      </c>
      <c r="Q285" s="80">
        <v>779459.0866910948</v>
      </c>
      <c r="R285" s="80">
        <v>87880.313409496172</v>
      </c>
      <c r="S285" s="80">
        <v>412037.62884140661</v>
      </c>
      <c r="T285" s="80">
        <v>13969.892483180278</v>
      </c>
      <c r="U285" s="80">
        <v>0</v>
      </c>
      <c r="V285" s="80">
        <v>0</v>
      </c>
      <c r="W285" s="80">
        <v>0</v>
      </c>
      <c r="X285" s="80">
        <v>10683.447551101332</v>
      </c>
      <c r="Y285" s="80">
        <v>0</v>
      </c>
      <c r="Z285" s="80">
        <v>0</v>
      </c>
      <c r="AA285" s="80">
        <v>0</v>
      </c>
      <c r="AB285" s="80">
        <v>0</v>
      </c>
      <c r="AC285" s="80">
        <v>0</v>
      </c>
      <c r="AD285" s="80">
        <v>0</v>
      </c>
      <c r="AE285" s="80">
        <v>0</v>
      </c>
      <c r="AF285" s="80">
        <v>0</v>
      </c>
      <c r="AG285" s="80">
        <v>0</v>
      </c>
      <c r="AH285" s="80">
        <v>0</v>
      </c>
      <c r="AI285" s="79">
        <v>46230.727175925924</v>
      </c>
    </row>
    <row r="286" spans="1:35" x14ac:dyDescent="0.3">
      <c r="A286" t="s">
        <v>855</v>
      </c>
      <c r="B286">
        <v>277</v>
      </c>
      <c r="C286">
        <v>277</v>
      </c>
      <c r="D286">
        <v>1</v>
      </c>
      <c r="E286" s="80">
        <v>2859159.2122999998</v>
      </c>
      <c r="F286" s="80">
        <v>2859159.2123755789</v>
      </c>
      <c r="G286" s="80">
        <v>2837559.9195847735</v>
      </c>
      <c r="H286" s="80">
        <v>2837559.9195847735</v>
      </c>
      <c r="I286" s="80">
        <v>0</v>
      </c>
      <c r="J286" s="80">
        <v>0</v>
      </c>
      <c r="K286" s="80">
        <v>0</v>
      </c>
      <c r="L286" s="80">
        <v>0</v>
      </c>
      <c r="M286" s="80">
        <v>0</v>
      </c>
      <c r="N286" s="80">
        <v>15049.292790806314</v>
      </c>
      <c r="O286" s="80">
        <v>15049.292790806314</v>
      </c>
      <c r="P286" s="80">
        <v>0</v>
      </c>
      <c r="Q286" s="80">
        <v>0</v>
      </c>
      <c r="R286" s="80">
        <v>0</v>
      </c>
      <c r="S286" s="80">
        <v>0</v>
      </c>
      <c r="T286" s="80">
        <v>0</v>
      </c>
      <c r="U286" s="80">
        <v>0</v>
      </c>
      <c r="V286" s="80">
        <v>0</v>
      </c>
      <c r="W286" s="80">
        <v>0</v>
      </c>
      <c r="X286" s="80">
        <v>0</v>
      </c>
      <c r="Y286" s="80">
        <v>0</v>
      </c>
      <c r="Z286" s="80">
        <v>0</v>
      </c>
      <c r="AA286" s="80">
        <v>6550.0000000000064</v>
      </c>
      <c r="AB286" s="80">
        <v>0</v>
      </c>
      <c r="AC286" s="80">
        <v>0</v>
      </c>
      <c r="AD286" s="80">
        <v>0</v>
      </c>
      <c r="AE286" s="80">
        <v>0</v>
      </c>
      <c r="AF286" s="80">
        <v>0</v>
      </c>
      <c r="AG286" s="80">
        <v>0</v>
      </c>
      <c r="AH286" s="80">
        <v>0</v>
      </c>
      <c r="AI286" s="79">
        <v>46230.727233796293</v>
      </c>
    </row>
    <row r="287" spans="1:35" x14ac:dyDescent="0.3">
      <c r="A287" t="s">
        <v>856</v>
      </c>
      <c r="B287">
        <v>278</v>
      </c>
      <c r="C287">
        <v>278</v>
      </c>
      <c r="D287">
        <v>1</v>
      </c>
      <c r="E287" s="80">
        <v>7965896.3077999996</v>
      </c>
      <c r="F287" s="80">
        <v>7965896.3075706409</v>
      </c>
      <c r="G287" s="80">
        <v>6624771.4042308331</v>
      </c>
      <c r="H287" s="80">
        <v>3103192.976281045</v>
      </c>
      <c r="I287" s="80">
        <v>0</v>
      </c>
      <c r="J287" s="80">
        <v>587272.5524676122</v>
      </c>
      <c r="K287" s="80">
        <v>1069625.2022862388</v>
      </c>
      <c r="L287" s="80">
        <v>442391.85074531304</v>
      </c>
      <c r="M287" s="80">
        <v>397040.72833338927</v>
      </c>
      <c r="N287" s="80">
        <v>0</v>
      </c>
      <c r="O287" s="80">
        <v>0</v>
      </c>
      <c r="P287" s="80">
        <v>1076427.2563781079</v>
      </c>
      <c r="Q287" s="80">
        <v>0</v>
      </c>
      <c r="R287" s="80">
        <v>345861.56607251562</v>
      </c>
      <c r="S287" s="80">
        <v>947637.15333911951</v>
      </c>
      <c r="T287" s="80">
        <v>117064.69199621971</v>
      </c>
      <c r="U287" s="80">
        <v>0</v>
      </c>
      <c r="V287" s="80">
        <v>68559.331722367599</v>
      </c>
      <c r="W287" s="80">
        <v>0</v>
      </c>
      <c r="X287" s="80">
        <v>200732.65043096952</v>
      </c>
      <c r="Y287" s="80">
        <v>0</v>
      </c>
      <c r="Z287" s="80">
        <v>0</v>
      </c>
      <c r="AA287" s="80">
        <v>7131.0758511303247</v>
      </c>
      <c r="AB287" s="80">
        <v>0</v>
      </c>
      <c r="AC287" s="80">
        <v>0</v>
      </c>
      <c r="AD287" s="80">
        <v>0</v>
      </c>
      <c r="AE287" s="80">
        <v>0</v>
      </c>
      <c r="AF287" s="80">
        <v>0</v>
      </c>
      <c r="AG287" s="80">
        <v>0</v>
      </c>
      <c r="AH287" s="80">
        <v>0</v>
      </c>
      <c r="AI287" s="79">
        <v>46230.727280092593</v>
      </c>
    </row>
    <row r="288" spans="1:35" x14ac:dyDescent="0.3">
      <c r="A288" t="s">
        <v>857</v>
      </c>
      <c r="B288">
        <v>279</v>
      </c>
      <c r="C288">
        <v>279</v>
      </c>
      <c r="D288">
        <v>1</v>
      </c>
      <c r="E288" s="80">
        <v>10638049.8939</v>
      </c>
      <c r="F288" s="80">
        <v>10638049.893832734</v>
      </c>
      <c r="G288" s="80">
        <v>8887518.0535449926</v>
      </c>
      <c r="H288" s="80">
        <v>3915615.1064120722</v>
      </c>
      <c r="I288" s="80">
        <v>0</v>
      </c>
      <c r="J288" s="80">
        <v>981639.18623856606</v>
      </c>
      <c r="K288" s="80">
        <v>1490832.6311947282</v>
      </c>
      <c r="L288" s="80">
        <v>712788.22515391919</v>
      </c>
      <c r="M288" s="80">
        <v>576237.91907909594</v>
      </c>
      <c r="N288" s="80">
        <v>0</v>
      </c>
      <c r="O288" s="80">
        <v>0</v>
      </c>
      <c r="P288" s="80">
        <v>1302683.6774692656</v>
      </c>
      <c r="Q288" s="80">
        <v>0</v>
      </c>
      <c r="R288" s="80">
        <v>483959.22707644646</v>
      </c>
      <c r="S288" s="80">
        <v>1193496.4389190495</v>
      </c>
      <c r="T288" s="80">
        <v>124997.21441716347</v>
      </c>
      <c r="U288" s="80">
        <v>0</v>
      </c>
      <c r="V288" s="80">
        <v>81877.54955108682</v>
      </c>
      <c r="W288" s="80">
        <v>0</v>
      </c>
      <c r="X288" s="80">
        <v>350160.63740044209</v>
      </c>
      <c r="Y288" s="80">
        <v>0</v>
      </c>
      <c r="Z288" s="80">
        <v>0</v>
      </c>
      <c r="AA288" s="80">
        <v>0</v>
      </c>
      <c r="AB288" s="80">
        <v>0</v>
      </c>
      <c r="AC288" s="80">
        <v>0</v>
      </c>
      <c r="AD288" s="80">
        <v>0</v>
      </c>
      <c r="AE288" s="80">
        <v>0</v>
      </c>
      <c r="AF288" s="80">
        <v>0</v>
      </c>
      <c r="AG288" s="80">
        <v>0</v>
      </c>
      <c r="AH288" s="80">
        <v>0</v>
      </c>
      <c r="AI288" s="79">
        <v>46230.727326388886</v>
      </c>
    </row>
    <row r="289" spans="1:35" x14ac:dyDescent="0.3">
      <c r="A289" t="s">
        <v>858</v>
      </c>
      <c r="B289">
        <v>280</v>
      </c>
      <c r="C289">
        <v>280</v>
      </c>
      <c r="D289">
        <v>1</v>
      </c>
      <c r="E289" s="80">
        <v>4046765.4583999999</v>
      </c>
      <c r="F289" s="80">
        <v>4046765.4579869593</v>
      </c>
      <c r="G289" s="80">
        <v>3540730.572153734</v>
      </c>
      <c r="H289" s="80">
        <v>1787635.4684740775</v>
      </c>
      <c r="I289" s="80">
        <v>0</v>
      </c>
      <c r="J289" s="80">
        <v>275299.99525191839</v>
      </c>
      <c r="K289" s="80">
        <v>448771.87340164767</v>
      </c>
      <c r="L289" s="80">
        <v>125696.55002386264</v>
      </c>
      <c r="M289" s="80">
        <v>94195.659091307782</v>
      </c>
      <c r="N289" s="80">
        <v>0</v>
      </c>
      <c r="O289" s="80">
        <v>0</v>
      </c>
      <c r="P289" s="80">
        <v>713573.04347916238</v>
      </c>
      <c r="Q289" s="80">
        <v>0</v>
      </c>
      <c r="R289" s="80">
        <v>189753.64152306676</v>
      </c>
      <c r="S289" s="80">
        <v>361451.32256457215</v>
      </c>
      <c r="T289" s="80">
        <v>55962.048151796589</v>
      </c>
      <c r="U289" s="80">
        <v>0</v>
      </c>
      <c r="V289" s="80">
        <v>15000.000000000004</v>
      </c>
      <c r="W289" s="80">
        <v>0</v>
      </c>
      <c r="X289" s="80">
        <v>73621.515116854411</v>
      </c>
      <c r="Y289" s="80">
        <v>0</v>
      </c>
      <c r="Z289" s="80">
        <v>0</v>
      </c>
      <c r="AA289" s="80">
        <v>0</v>
      </c>
      <c r="AB289" s="80">
        <v>0</v>
      </c>
      <c r="AC289" s="80">
        <v>0</v>
      </c>
      <c r="AD289" s="80">
        <v>0</v>
      </c>
      <c r="AE289" s="80">
        <v>0</v>
      </c>
      <c r="AF289" s="80">
        <v>0</v>
      </c>
      <c r="AG289" s="80">
        <v>0</v>
      </c>
      <c r="AH289" s="80">
        <v>0</v>
      </c>
      <c r="AI289" s="79">
        <v>46230.727372685185</v>
      </c>
    </row>
    <row r="290" spans="1:35" x14ac:dyDescent="0.3">
      <c r="A290" t="s">
        <v>859</v>
      </c>
      <c r="B290">
        <v>281</v>
      </c>
      <c r="C290">
        <v>281</v>
      </c>
      <c r="D290">
        <v>1</v>
      </c>
      <c r="E290" s="80">
        <v>2558737.8402999998</v>
      </c>
      <c r="F290" s="80">
        <v>2558737.8358861897</v>
      </c>
      <c r="G290" s="80">
        <v>2231069.8754593916</v>
      </c>
      <c r="H290" s="80">
        <v>999983.54445210437</v>
      </c>
      <c r="I290" s="80">
        <v>0</v>
      </c>
      <c r="J290" s="80">
        <v>160983.60364932986</v>
      </c>
      <c r="K290" s="80">
        <v>352444.58264843933</v>
      </c>
      <c r="L290" s="80">
        <v>120106.1107624374</v>
      </c>
      <c r="M290" s="80">
        <v>96294.155778344066</v>
      </c>
      <c r="N290" s="80">
        <v>0</v>
      </c>
      <c r="O290" s="80">
        <v>0</v>
      </c>
      <c r="P290" s="80">
        <v>473732.59681197355</v>
      </c>
      <c r="Q290" s="80">
        <v>0</v>
      </c>
      <c r="R290" s="80">
        <v>123819.43713511672</v>
      </c>
      <c r="S290" s="80">
        <v>231319.16340479365</v>
      </c>
      <c r="T290" s="80">
        <v>34000.000319999999</v>
      </c>
      <c r="U290" s="80">
        <v>0</v>
      </c>
      <c r="V290" s="80">
        <v>15489.100960694728</v>
      </c>
      <c r="W290" s="80">
        <v>0</v>
      </c>
      <c r="X290" s="80">
        <v>46859.695741312476</v>
      </c>
      <c r="Y290" s="80">
        <v>0</v>
      </c>
      <c r="Z290" s="80">
        <v>0</v>
      </c>
      <c r="AA290" s="80">
        <v>0</v>
      </c>
      <c r="AB290" s="80">
        <v>0</v>
      </c>
      <c r="AC290" s="80">
        <v>0</v>
      </c>
      <c r="AD290" s="80">
        <v>0</v>
      </c>
      <c r="AE290" s="80">
        <v>0</v>
      </c>
      <c r="AF290" s="80">
        <v>0</v>
      </c>
      <c r="AG290" s="80">
        <v>0</v>
      </c>
      <c r="AH290" s="80">
        <v>0</v>
      </c>
      <c r="AI290" s="79">
        <v>46230.727418981478</v>
      </c>
    </row>
    <row r="291" spans="1:35" x14ac:dyDescent="0.3">
      <c r="A291" t="s">
        <v>860</v>
      </c>
      <c r="B291">
        <v>282</v>
      </c>
      <c r="C291">
        <v>282</v>
      </c>
      <c r="D291">
        <v>1</v>
      </c>
      <c r="E291" s="80">
        <v>4245721.0290000001</v>
      </c>
      <c r="F291" s="80">
        <v>4245721.0224509593</v>
      </c>
      <c r="G291" s="80">
        <v>3576141.4642412513</v>
      </c>
      <c r="H291" s="80">
        <v>1494206.05507338</v>
      </c>
      <c r="I291" s="80">
        <v>0</v>
      </c>
      <c r="J291" s="80">
        <v>411789.62400704529</v>
      </c>
      <c r="K291" s="80">
        <v>551837.99869761197</v>
      </c>
      <c r="L291" s="80">
        <v>189791.61113953928</v>
      </c>
      <c r="M291" s="80">
        <v>164696.97798582207</v>
      </c>
      <c r="N291" s="80">
        <v>0</v>
      </c>
      <c r="O291" s="80">
        <v>0</v>
      </c>
      <c r="P291" s="80">
        <v>747448.4868092176</v>
      </c>
      <c r="Q291" s="80">
        <v>0</v>
      </c>
      <c r="R291" s="80">
        <v>181067.68851446101</v>
      </c>
      <c r="S291" s="80">
        <v>466365.96355361817</v>
      </c>
      <c r="T291" s="80">
        <v>49999.999920000002</v>
      </c>
      <c r="U291" s="80">
        <v>0</v>
      </c>
      <c r="V291" s="80">
        <v>0</v>
      </c>
      <c r="W291" s="80">
        <v>0</v>
      </c>
      <c r="X291" s="80">
        <v>153213.59473611423</v>
      </c>
      <c r="Y291" s="80">
        <v>0</v>
      </c>
      <c r="Z291" s="80">
        <v>0</v>
      </c>
      <c r="AA291" s="80">
        <v>0</v>
      </c>
      <c r="AB291" s="80">
        <v>0</v>
      </c>
      <c r="AC291" s="80">
        <v>0</v>
      </c>
      <c r="AD291" s="80">
        <v>0</v>
      </c>
      <c r="AE291" s="80">
        <v>0</v>
      </c>
      <c r="AF291" s="80">
        <v>0</v>
      </c>
      <c r="AG291" s="80">
        <v>0</v>
      </c>
      <c r="AH291" s="80">
        <v>0</v>
      </c>
      <c r="AI291" s="79">
        <v>46230.727465277778</v>
      </c>
    </row>
    <row r="292" spans="1:35" x14ac:dyDescent="0.3">
      <c r="A292" t="s">
        <v>861</v>
      </c>
      <c r="B292">
        <v>283</v>
      </c>
      <c r="C292">
        <v>283</v>
      </c>
      <c r="D292">
        <v>1</v>
      </c>
      <c r="E292" s="80">
        <v>3168895.4382000002</v>
      </c>
      <c r="F292" s="80">
        <v>3168895.4381727572</v>
      </c>
      <c r="G292" s="80">
        <v>0</v>
      </c>
      <c r="H292" s="80">
        <v>0</v>
      </c>
      <c r="I292" s="80">
        <v>1086036.7757244427</v>
      </c>
      <c r="J292" s="80">
        <v>0</v>
      </c>
      <c r="K292" s="80">
        <v>0</v>
      </c>
      <c r="L292" s="80">
        <v>0</v>
      </c>
      <c r="M292" s="80">
        <v>0</v>
      </c>
      <c r="N292" s="80">
        <v>475255.07038534287</v>
      </c>
      <c r="O292" s="80">
        <v>0</v>
      </c>
      <c r="P292" s="80">
        <v>0</v>
      </c>
      <c r="Q292" s="80">
        <v>0</v>
      </c>
      <c r="R292" s="80">
        <v>0</v>
      </c>
      <c r="S292" s="80">
        <v>0</v>
      </c>
      <c r="T292" s="80">
        <v>110078.85</v>
      </c>
      <c r="U292" s="80">
        <v>0</v>
      </c>
      <c r="V292" s="80">
        <v>0</v>
      </c>
      <c r="W292" s="80">
        <v>0</v>
      </c>
      <c r="X292" s="80">
        <v>0</v>
      </c>
      <c r="Y292" s="80">
        <v>110078.85</v>
      </c>
      <c r="Z292" s="80">
        <v>0</v>
      </c>
      <c r="AA292" s="80">
        <v>0</v>
      </c>
      <c r="AB292" s="80">
        <v>0</v>
      </c>
      <c r="AC292" s="80">
        <v>0</v>
      </c>
      <c r="AD292" s="80">
        <v>0</v>
      </c>
      <c r="AE292" s="80">
        <v>0</v>
      </c>
      <c r="AF292" s="80">
        <v>0</v>
      </c>
      <c r="AG292" s="80">
        <v>1497524.7420629698</v>
      </c>
      <c r="AH292" s="80">
        <v>1497524.7420629698</v>
      </c>
      <c r="AI292" s="79">
        <v>46230.727511574078</v>
      </c>
    </row>
    <row r="293" spans="1:35" x14ac:dyDescent="0.3">
      <c r="A293" t="s">
        <v>862</v>
      </c>
      <c r="B293">
        <v>284</v>
      </c>
      <c r="C293">
        <v>284</v>
      </c>
      <c r="D293">
        <v>1</v>
      </c>
      <c r="E293" s="80">
        <v>4025970.8328999998</v>
      </c>
      <c r="F293" s="80">
        <v>4025970.8328097803</v>
      </c>
      <c r="G293" s="80">
        <v>0</v>
      </c>
      <c r="H293" s="80">
        <v>0</v>
      </c>
      <c r="I293" s="80">
        <v>3520612.670586586</v>
      </c>
      <c r="J293" s="80">
        <v>0</v>
      </c>
      <c r="K293" s="80">
        <v>0</v>
      </c>
      <c r="L293" s="80">
        <v>0</v>
      </c>
      <c r="M293" s="80">
        <v>0</v>
      </c>
      <c r="N293" s="80">
        <v>505358.16222319414</v>
      </c>
      <c r="O293" s="80">
        <v>0</v>
      </c>
      <c r="P293" s="80">
        <v>0</v>
      </c>
      <c r="Q293" s="80">
        <v>0</v>
      </c>
      <c r="R293" s="80">
        <v>0</v>
      </c>
      <c r="S293" s="80">
        <v>0</v>
      </c>
      <c r="T293" s="80">
        <v>0</v>
      </c>
      <c r="U293" s="80">
        <v>0</v>
      </c>
      <c r="V293" s="80">
        <v>0</v>
      </c>
      <c r="W293" s="80">
        <v>0</v>
      </c>
      <c r="X293" s="80">
        <v>0</v>
      </c>
      <c r="Y293" s="80">
        <v>0</v>
      </c>
      <c r="Z293" s="80">
        <v>0</v>
      </c>
      <c r="AA293" s="80">
        <v>0</v>
      </c>
      <c r="AB293" s="80">
        <v>0</v>
      </c>
      <c r="AC293" s="80">
        <v>0</v>
      </c>
      <c r="AD293" s="80">
        <v>0</v>
      </c>
      <c r="AE293" s="80">
        <v>0</v>
      </c>
      <c r="AF293" s="80">
        <v>0</v>
      </c>
      <c r="AG293" s="80">
        <v>0</v>
      </c>
      <c r="AH293" s="80">
        <v>0</v>
      </c>
      <c r="AI293" s="79">
        <v>46230.727569444447</v>
      </c>
    </row>
    <row r="294" spans="1:35" x14ac:dyDescent="0.3">
      <c r="A294" t="s">
        <v>448</v>
      </c>
      <c r="B294">
        <v>285</v>
      </c>
      <c r="C294">
        <v>285</v>
      </c>
      <c r="D294">
        <v>1</v>
      </c>
      <c r="E294" s="80">
        <v>5607026.2594999997</v>
      </c>
      <c r="F294" s="80">
        <v>5607026.2595168818</v>
      </c>
      <c r="G294" s="80">
        <v>0</v>
      </c>
      <c r="H294" s="80">
        <v>0</v>
      </c>
      <c r="I294" s="80">
        <v>4900833.8671927582</v>
      </c>
      <c r="J294" s="80">
        <v>0</v>
      </c>
      <c r="K294" s="80">
        <v>0</v>
      </c>
      <c r="L294" s="80">
        <v>0</v>
      </c>
      <c r="M294" s="80">
        <v>0</v>
      </c>
      <c r="N294" s="80">
        <v>706192.39232412411</v>
      </c>
      <c r="O294" s="80">
        <v>0</v>
      </c>
      <c r="P294" s="80">
        <v>0</v>
      </c>
      <c r="Q294" s="80">
        <v>0</v>
      </c>
      <c r="R294" s="80">
        <v>0</v>
      </c>
      <c r="S294" s="80">
        <v>0</v>
      </c>
      <c r="T294" s="80">
        <v>0</v>
      </c>
      <c r="U294" s="80">
        <v>0</v>
      </c>
      <c r="V294" s="80">
        <v>0</v>
      </c>
      <c r="W294" s="80">
        <v>0</v>
      </c>
      <c r="X294" s="80">
        <v>0</v>
      </c>
      <c r="Y294" s="80">
        <v>0</v>
      </c>
      <c r="Z294" s="80">
        <v>0</v>
      </c>
      <c r="AA294" s="80">
        <v>0</v>
      </c>
      <c r="AB294" s="80">
        <v>0</v>
      </c>
      <c r="AC294" s="80">
        <v>0</v>
      </c>
      <c r="AD294" s="80">
        <v>0</v>
      </c>
      <c r="AE294" s="80">
        <v>0</v>
      </c>
      <c r="AF294" s="80">
        <v>0</v>
      </c>
      <c r="AG294" s="80">
        <v>0</v>
      </c>
      <c r="AH294" s="80">
        <v>0</v>
      </c>
      <c r="AI294" s="79">
        <v>46230.727627314816</v>
      </c>
    </row>
    <row r="295" spans="1:35" x14ac:dyDescent="0.3">
      <c r="A295" t="s">
        <v>863</v>
      </c>
      <c r="B295">
        <v>286</v>
      </c>
      <c r="C295">
        <v>286</v>
      </c>
      <c r="D295">
        <v>1</v>
      </c>
      <c r="E295" s="80">
        <v>1689248.2964999999</v>
      </c>
      <c r="F295" s="80">
        <v>1689248.2939225081</v>
      </c>
      <c r="G295" s="80">
        <v>1657225.4681924144</v>
      </c>
      <c r="H295" s="80">
        <v>24081.29455287258</v>
      </c>
      <c r="I295" s="80">
        <v>0</v>
      </c>
      <c r="J295" s="80">
        <v>0</v>
      </c>
      <c r="K295" s="80">
        <v>0</v>
      </c>
      <c r="L295" s="80">
        <v>0</v>
      </c>
      <c r="M295" s="80">
        <v>0</v>
      </c>
      <c r="N295" s="80">
        <v>21184.71437541303</v>
      </c>
      <c r="O295" s="80">
        <v>21184.71437541303</v>
      </c>
      <c r="P295" s="80">
        <v>999378.24199313961</v>
      </c>
      <c r="Q295" s="80">
        <v>0</v>
      </c>
      <c r="R295" s="80">
        <v>633765.93164640223</v>
      </c>
      <c r="S295" s="80">
        <v>0</v>
      </c>
      <c r="T295" s="80">
        <v>0</v>
      </c>
      <c r="U295" s="80">
        <v>0</v>
      </c>
      <c r="V295" s="80">
        <v>0</v>
      </c>
      <c r="W295" s="80">
        <v>0</v>
      </c>
      <c r="X295" s="80">
        <v>0</v>
      </c>
      <c r="Y295" s="80">
        <v>0</v>
      </c>
      <c r="Z295" s="80">
        <v>10838.111354680615</v>
      </c>
      <c r="AA295" s="80">
        <v>0</v>
      </c>
      <c r="AB295" s="80">
        <v>0</v>
      </c>
      <c r="AC295" s="80">
        <v>0</v>
      </c>
      <c r="AD295" s="80">
        <v>0</v>
      </c>
      <c r="AE295" s="80">
        <v>0</v>
      </c>
      <c r="AF295" s="80">
        <v>0</v>
      </c>
      <c r="AG295" s="80">
        <v>0</v>
      </c>
      <c r="AH295" s="80">
        <v>0</v>
      </c>
      <c r="AI295" s="79">
        <v>46230.727696759262</v>
      </c>
    </row>
    <row r="296" spans="1:35" x14ac:dyDescent="0.3">
      <c r="A296" t="s">
        <v>864</v>
      </c>
      <c r="B296">
        <v>287</v>
      </c>
      <c r="C296">
        <v>287</v>
      </c>
      <c r="D296">
        <v>1</v>
      </c>
      <c r="E296" s="80">
        <v>3985424.2899000002</v>
      </c>
      <c r="F296" s="80">
        <v>3985424.2767306208</v>
      </c>
      <c r="G296" s="80">
        <v>3554503.6390075586</v>
      </c>
      <c r="H296" s="80">
        <v>2018074.8482922427</v>
      </c>
      <c r="I296" s="80">
        <v>0</v>
      </c>
      <c r="J296" s="80">
        <v>271839.83859778621</v>
      </c>
      <c r="K296" s="80">
        <v>316733.59147978789</v>
      </c>
      <c r="L296" s="80">
        <v>233030.83176409639</v>
      </c>
      <c r="M296" s="80">
        <v>191204.16987619575</v>
      </c>
      <c r="N296" s="80">
        <v>0</v>
      </c>
      <c r="O296" s="80">
        <v>0</v>
      </c>
      <c r="P296" s="80">
        <v>563133.99735015305</v>
      </c>
      <c r="Q296" s="80">
        <v>0</v>
      </c>
      <c r="R296" s="80">
        <v>151690.53152350578</v>
      </c>
      <c r="S296" s="80">
        <v>248024.15188319402</v>
      </c>
      <c r="T296" s="80">
        <v>33668.476855509856</v>
      </c>
      <c r="U296" s="80">
        <v>0</v>
      </c>
      <c r="V296" s="80">
        <v>37578.685515979509</v>
      </c>
      <c r="W296" s="80">
        <v>0</v>
      </c>
      <c r="X296" s="80">
        <v>111649.32346838291</v>
      </c>
      <c r="Y296" s="80">
        <v>0</v>
      </c>
      <c r="Z296" s="80">
        <v>0</v>
      </c>
      <c r="AA296" s="80">
        <v>0</v>
      </c>
      <c r="AB296" s="80">
        <v>0</v>
      </c>
      <c r="AC296" s="80">
        <v>0</v>
      </c>
      <c r="AD296" s="80">
        <v>0</v>
      </c>
      <c r="AE296" s="80">
        <v>0</v>
      </c>
      <c r="AF296" s="80">
        <v>0</v>
      </c>
      <c r="AG296" s="80">
        <v>0</v>
      </c>
      <c r="AH296" s="80">
        <v>0</v>
      </c>
      <c r="AI296" s="79">
        <v>46230.727754629632</v>
      </c>
    </row>
    <row r="297" spans="1:35" x14ac:dyDescent="0.3">
      <c r="A297" t="s">
        <v>865</v>
      </c>
      <c r="B297">
        <v>288</v>
      </c>
      <c r="C297">
        <v>288</v>
      </c>
      <c r="D297">
        <v>1</v>
      </c>
      <c r="E297" s="80">
        <v>2930705.6370000001</v>
      </c>
      <c r="F297" s="80">
        <v>2930705.6250627129</v>
      </c>
      <c r="G297" s="80">
        <v>2580297.6810768521</v>
      </c>
      <c r="H297" s="80">
        <v>1418336.1062367496</v>
      </c>
      <c r="I297" s="80">
        <v>0</v>
      </c>
      <c r="J297" s="80">
        <v>241115.97539148229</v>
      </c>
      <c r="K297" s="80">
        <v>231757.20322044592</v>
      </c>
      <c r="L297" s="80">
        <v>195076.93275822737</v>
      </c>
      <c r="M297" s="80">
        <v>160002.34207680647</v>
      </c>
      <c r="N297" s="80">
        <v>0</v>
      </c>
      <c r="O297" s="80">
        <v>0</v>
      </c>
      <c r="P297" s="80">
        <v>377014.69038070703</v>
      </c>
      <c r="Q297" s="80">
        <v>0</v>
      </c>
      <c r="R297" s="80">
        <v>116996.77308922319</v>
      </c>
      <c r="S297" s="80">
        <v>202785.99396347857</v>
      </c>
      <c r="T297" s="80">
        <v>21093.288438032359</v>
      </c>
      <c r="U297" s="80">
        <v>0</v>
      </c>
      <c r="V297" s="80">
        <v>37364.089345126078</v>
      </c>
      <c r="W297" s="80">
        <v>0</v>
      </c>
      <c r="X297" s="80">
        <v>87611.537605032281</v>
      </c>
      <c r="Y297" s="80">
        <v>0</v>
      </c>
      <c r="Z297" s="80">
        <v>0</v>
      </c>
      <c r="AA297" s="80">
        <v>1553.0346341835759</v>
      </c>
      <c r="AB297" s="80">
        <v>0</v>
      </c>
      <c r="AC297" s="80">
        <v>0</v>
      </c>
      <c r="AD297" s="80">
        <v>0</v>
      </c>
      <c r="AE297" s="80">
        <v>0</v>
      </c>
      <c r="AF297" s="80">
        <v>0</v>
      </c>
      <c r="AG297" s="80">
        <v>0</v>
      </c>
      <c r="AH297" s="80">
        <v>0</v>
      </c>
      <c r="AI297" s="79">
        <v>46230.727824074071</v>
      </c>
    </row>
    <row r="298" spans="1:35" x14ac:dyDescent="0.3">
      <c r="A298" t="s">
        <v>866</v>
      </c>
      <c r="B298">
        <v>289</v>
      </c>
      <c r="C298">
        <v>289</v>
      </c>
      <c r="D298">
        <v>1</v>
      </c>
      <c r="E298" s="80">
        <v>5668447.9555000002</v>
      </c>
      <c r="F298" s="80">
        <v>5668447.9556616014</v>
      </c>
      <c r="G298" s="80">
        <v>5058573.4952566447</v>
      </c>
      <c r="H298" s="80">
        <v>2891931.5062708859</v>
      </c>
      <c r="I298" s="80">
        <v>0</v>
      </c>
      <c r="J298" s="80">
        <v>369397.72651647928</v>
      </c>
      <c r="K298" s="80">
        <v>452199.60950019618</v>
      </c>
      <c r="L298" s="80">
        <v>316946.9110598563</v>
      </c>
      <c r="M298" s="80">
        <v>260715.05411463065</v>
      </c>
      <c r="N298" s="80">
        <v>0</v>
      </c>
      <c r="O298" s="80">
        <v>0</v>
      </c>
      <c r="P298" s="80">
        <v>813410.34701412253</v>
      </c>
      <c r="Q298" s="80">
        <v>0</v>
      </c>
      <c r="R298" s="80">
        <v>214687.39489510405</v>
      </c>
      <c r="S298" s="80">
        <v>351751.2045801616</v>
      </c>
      <c r="T298" s="80">
        <v>48791.38152353288</v>
      </c>
      <c r="U298" s="80">
        <v>0</v>
      </c>
      <c r="V298" s="80">
        <v>51132.802385852396</v>
      </c>
      <c r="W298" s="80">
        <v>0</v>
      </c>
      <c r="X298" s="80">
        <v>158199.07191540938</v>
      </c>
      <c r="Y298" s="80">
        <v>0</v>
      </c>
      <c r="Z298" s="80">
        <v>0</v>
      </c>
      <c r="AA298" s="80">
        <v>0</v>
      </c>
      <c r="AB298" s="80">
        <v>0</v>
      </c>
      <c r="AC298" s="80">
        <v>0</v>
      </c>
      <c r="AD298" s="80">
        <v>0</v>
      </c>
      <c r="AE298" s="80">
        <v>0</v>
      </c>
      <c r="AF298" s="80">
        <v>0</v>
      </c>
      <c r="AG298" s="80">
        <v>0</v>
      </c>
      <c r="AH298" s="80">
        <v>0</v>
      </c>
      <c r="AI298" s="79">
        <v>46230.727870370371</v>
      </c>
    </row>
    <row r="299" spans="1:35" x14ac:dyDescent="0.3">
      <c r="A299" t="s">
        <v>867</v>
      </c>
      <c r="B299">
        <v>290</v>
      </c>
      <c r="C299">
        <v>290</v>
      </c>
      <c r="D299">
        <v>1</v>
      </c>
      <c r="E299" s="80">
        <v>8763330.9681000002</v>
      </c>
      <c r="F299" s="80">
        <v>8763330.9677114785</v>
      </c>
      <c r="G299" s="80">
        <v>7715132.8774930891</v>
      </c>
      <c r="H299" s="80">
        <v>4243314.0104424581</v>
      </c>
      <c r="I299" s="80">
        <v>0</v>
      </c>
      <c r="J299" s="80">
        <v>718784.96958076232</v>
      </c>
      <c r="K299" s="80">
        <v>691387.82131576515</v>
      </c>
      <c r="L299" s="80">
        <v>584382.96625181753</v>
      </c>
      <c r="M299" s="80">
        <v>478942.81938163121</v>
      </c>
      <c r="N299" s="80">
        <v>0</v>
      </c>
      <c r="O299" s="80">
        <v>0</v>
      </c>
      <c r="P299" s="80">
        <v>1129051.8570084092</v>
      </c>
      <c r="Q299" s="80">
        <v>0</v>
      </c>
      <c r="R299" s="80">
        <v>348211.25289387192</v>
      </c>
      <c r="S299" s="80">
        <v>607724.45264310879</v>
      </c>
      <c r="T299" s="80">
        <v>62844.571099193286</v>
      </c>
      <c r="U299" s="80">
        <v>0</v>
      </c>
      <c r="V299" s="80">
        <v>111986.72503414257</v>
      </c>
      <c r="W299" s="80">
        <v>0</v>
      </c>
      <c r="X299" s="80">
        <v>261108.07508726872</v>
      </c>
      <c r="Y299" s="80">
        <v>0</v>
      </c>
      <c r="Z299" s="80">
        <v>0</v>
      </c>
      <c r="AA299" s="80">
        <v>4534.2663546684471</v>
      </c>
      <c r="AB299" s="80">
        <v>0</v>
      </c>
      <c r="AC299" s="80">
        <v>0</v>
      </c>
      <c r="AD299" s="80">
        <v>0</v>
      </c>
      <c r="AE299" s="80">
        <v>0</v>
      </c>
      <c r="AF299" s="80">
        <v>0</v>
      </c>
      <c r="AG299" s="80">
        <v>0</v>
      </c>
      <c r="AH299" s="80">
        <v>0</v>
      </c>
      <c r="AI299" s="79">
        <v>46230.72792824074</v>
      </c>
    </row>
    <row r="300" spans="1:35" x14ac:dyDescent="0.3">
      <c r="A300" t="s">
        <v>868</v>
      </c>
      <c r="B300">
        <v>291</v>
      </c>
      <c r="C300">
        <v>291</v>
      </c>
      <c r="D300">
        <v>1</v>
      </c>
      <c r="E300" s="80">
        <v>9526147.4287</v>
      </c>
      <c r="F300" s="80">
        <v>9526147.4286607578</v>
      </c>
      <c r="G300" s="80">
        <v>8350150.5151778776</v>
      </c>
      <c r="H300" s="80">
        <v>4318895.4219820825</v>
      </c>
      <c r="I300" s="80">
        <v>0</v>
      </c>
      <c r="J300" s="80">
        <v>1005365.9424219786</v>
      </c>
      <c r="K300" s="80">
        <v>925262.88951610925</v>
      </c>
      <c r="L300" s="80">
        <v>797851.09327159915</v>
      </c>
      <c r="M300" s="80">
        <v>561945.32042752719</v>
      </c>
      <c r="N300" s="80">
        <v>0</v>
      </c>
      <c r="O300" s="80">
        <v>0</v>
      </c>
      <c r="P300" s="80">
        <v>924220.09901868785</v>
      </c>
      <c r="Q300" s="80">
        <v>0</v>
      </c>
      <c r="R300" s="80">
        <v>378555.06896743586</v>
      </c>
      <c r="S300" s="80">
        <v>653812.54056960344</v>
      </c>
      <c r="T300" s="80">
        <v>49729.010149087917</v>
      </c>
      <c r="U300" s="80">
        <v>0</v>
      </c>
      <c r="V300" s="80">
        <v>179001.75897736603</v>
      </c>
      <c r="W300" s="80">
        <v>0</v>
      </c>
      <c r="X300" s="80">
        <v>285746.1818827166</v>
      </c>
      <c r="Y300" s="80">
        <v>0</v>
      </c>
      <c r="Z300" s="80">
        <v>0</v>
      </c>
      <c r="AA300" s="80">
        <v>7707.4219041099104</v>
      </c>
      <c r="AB300" s="80">
        <v>0</v>
      </c>
      <c r="AC300" s="80">
        <v>0</v>
      </c>
      <c r="AD300" s="80">
        <v>0</v>
      </c>
      <c r="AE300" s="80">
        <v>0</v>
      </c>
      <c r="AF300" s="80">
        <v>0</v>
      </c>
      <c r="AG300" s="80">
        <v>0</v>
      </c>
      <c r="AH300" s="80">
        <v>0</v>
      </c>
      <c r="AI300" s="79">
        <v>46230.727997685186</v>
      </c>
    </row>
    <row r="301" spans="1:35" x14ac:dyDescent="0.3">
      <c r="A301" t="s">
        <v>566</v>
      </c>
      <c r="B301">
        <v>292</v>
      </c>
      <c r="C301">
        <v>292</v>
      </c>
      <c r="D301">
        <v>1</v>
      </c>
      <c r="E301" s="80">
        <v>3152820.9668999999</v>
      </c>
      <c r="F301" s="80">
        <v>3152820.9734204486</v>
      </c>
      <c r="G301" s="80">
        <v>0</v>
      </c>
      <c r="H301" s="80">
        <v>0</v>
      </c>
      <c r="I301" s="80">
        <v>0</v>
      </c>
      <c r="J301" s="80">
        <v>0</v>
      </c>
      <c r="K301" s="80">
        <v>0</v>
      </c>
      <c r="L301" s="80">
        <v>0</v>
      </c>
      <c r="M301" s="80">
        <v>0</v>
      </c>
      <c r="N301" s="80">
        <v>0</v>
      </c>
      <c r="O301" s="80">
        <v>0</v>
      </c>
      <c r="P301" s="80">
        <v>0</v>
      </c>
      <c r="Q301" s="80">
        <v>0</v>
      </c>
      <c r="R301" s="80">
        <v>0</v>
      </c>
      <c r="S301" s="80">
        <v>2266831.5202614092</v>
      </c>
      <c r="T301" s="80">
        <v>358046.38778322987</v>
      </c>
      <c r="U301" s="80">
        <v>0</v>
      </c>
      <c r="V301" s="80">
        <v>0</v>
      </c>
      <c r="W301" s="80">
        <v>0</v>
      </c>
      <c r="X301" s="80">
        <v>527943.0653758219</v>
      </c>
      <c r="Y301" s="80">
        <v>0</v>
      </c>
      <c r="Z301" s="80">
        <v>0</v>
      </c>
      <c r="AA301" s="80">
        <v>0</v>
      </c>
      <c r="AB301" s="80">
        <v>0</v>
      </c>
      <c r="AC301" s="80">
        <v>0</v>
      </c>
      <c r="AD301" s="80">
        <v>0</v>
      </c>
      <c r="AE301" s="80">
        <v>0</v>
      </c>
      <c r="AF301" s="80">
        <v>0</v>
      </c>
      <c r="AG301" s="80">
        <v>0</v>
      </c>
      <c r="AH301" s="80">
        <v>0</v>
      </c>
      <c r="AI301" s="79">
        <v>46230.728055555555</v>
      </c>
    </row>
    <row r="302" spans="1:35" x14ac:dyDescent="0.3">
      <c r="A302" t="s">
        <v>869</v>
      </c>
      <c r="B302">
        <v>293</v>
      </c>
      <c r="C302">
        <v>293</v>
      </c>
      <c r="D302">
        <v>1</v>
      </c>
      <c r="E302" s="80">
        <v>7620777.9875999996</v>
      </c>
      <c r="F302" s="80">
        <v>7620777.9877791731</v>
      </c>
      <c r="G302" s="80">
        <v>6092152.5315518761</v>
      </c>
      <c r="H302" s="80">
        <v>230000</v>
      </c>
      <c r="I302" s="80">
        <v>0</v>
      </c>
      <c r="J302" s="80">
        <v>287500</v>
      </c>
      <c r="K302" s="80">
        <v>0</v>
      </c>
      <c r="L302" s="80">
        <v>0</v>
      </c>
      <c r="M302" s="80">
        <v>0</v>
      </c>
      <c r="N302" s="80">
        <v>1421957.9674367988</v>
      </c>
      <c r="O302" s="80">
        <v>1421957.9674367988</v>
      </c>
      <c r="P302" s="80">
        <v>3629811.1004006127</v>
      </c>
      <c r="Q302" s="80">
        <v>0</v>
      </c>
      <c r="R302" s="80">
        <v>1944841.4311512634</v>
      </c>
      <c r="S302" s="80">
        <v>0</v>
      </c>
      <c r="T302" s="80">
        <v>0</v>
      </c>
      <c r="U302" s="80">
        <v>0</v>
      </c>
      <c r="V302" s="80">
        <v>0</v>
      </c>
      <c r="W302" s="80">
        <v>0</v>
      </c>
      <c r="X302" s="80">
        <v>63525.905560474537</v>
      </c>
      <c r="Y302" s="80">
        <v>0</v>
      </c>
      <c r="Z302" s="80">
        <v>43141.583230023432</v>
      </c>
      <c r="AA302" s="80">
        <v>0</v>
      </c>
      <c r="AB302" s="80">
        <v>0</v>
      </c>
      <c r="AC302" s="80">
        <v>0</v>
      </c>
      <c r="AD302" s="80">
        <v>0</v>
      </c>
      <c r="AE302" s="80">
        <v>0</v>
      </c>
      <c r="AF302" s="80">
        <v>0</v>
      </c>
      <c r="AG302" s="80">
        <v>0</v>
      </c>
      <c r="AH302" s="80">
        <v>0</v>
      </c>
      <c r="AI302" s="79">
        <v>46230.728125000001</v>
      </c>
    </row>
    <row r="303" spans="1:35" x14ac:dyDescent="0.3">
      <c r="A303" t="s">
        <v>553</v>
      </c>
      <c r="B303">
        <v>294</v>
      </c>
      <c r="C303">
        <v>294</v>
      </c>
      <c r="D303">
        <v>1</v>
      </c>
      <c r="E303" s="80">
        <v>2479203.8549000002</v>
      </c>
      <c r="F303" s="80">
        <v>2479203.8548797369</v>
      </c>
      <c r="G303" s="80">
        <v>0</v>
      </c>
      <c r="H303" s="80">
        <v>0</v>
      </c>
      <c r="I303" s="80">
        <v>0</v>
      </c>
      <c r="J303" s="80">
        <v>0</v>
      </c>
      <c r="K303" s="80">
        <v>0</v>
      </c>
      <c r="L303" s="80">
        <v>0</v>
      </c>
      <c r="M303" s="80">
        <v>0</v>
      </c>
      <c r="N303" s="80">
        <v>0</v>
      </c>
      <c r="O303" s="80">
        <v>0</v>
      </c>
      <c r="P303" s="80">
        <v>0</v>
      </c>
      <c r="Q303" s="80">
        <v>0</v>
      </c>
      <c r="R303" s="80">
        <v>0</v>
      </c>
      <c r="S303" s="80">
        <v>2479203.8548797369</v>
      </c>
      <c r="T303" s="80">
        <v>0</v>
      </c>
      <c r="U303" s="80">
        <v>0</v>
      </c>
      <c r="V303" s="80">
        <v>0</v>
      </c>
      <c r="W303" s="80">
        <v>0</v>
      </c>
      <c r="X303" s="80">
        <v>0</v>
      </c>
      <c r="Y303" s="80">
        <v>0</v>
      </c>
      <c r="Z303" s="80">
        <v>0</v>
      </c>
      <c r="AA303" s="80">
        <v>0</v>
      </c>
      <c r="AB303" s="80">
        <v>0</v>
      </c>
      <c r="AC303" s="80">
        <v>0</v>
      </c>
      <c r="AD303" s="80">
        <v>0</v>
      </c>
      <c r="AE303" s="80">
        <v>0</v>
      </c>
      <c r="AF303" s="80">
        <v>0</v>
      </c>
      <c r="AG303" s="80">
        <v>0</v>
      </c>
      <c r="AH303" s="80">
        <v>0</v>
      </c>
      <c r="AI303" s="79">
        <v>46230.728171296294</v>
      </c>
    </row>
    <row r="304" spans="1:35" x14ac:dyDescent="0.3">
      <c r="A304" t="s">
        <v>554</v>
      </c>
      <c r="B304">
        <v>295</v>
      </c>
      <c r="C304">
        <v>295</v>
      </c>
      <c r="D304">
        <v>1</v>
      </c>
      <c r="E304" s="80">
        <v>4415150.0043000001</v>
      </c>
      <c r="F304" s="80">
        <v>4415150.0043562269</v>
      </c>
      <c r="G304" s="80">
        <v>0</v>
      </c>
      <c r="H304" s="80">
        <v>0</v>
      </c>
      <c r="I304" s="80">
        <v>0</v>
      </c>
      <c r="J304" s="80">
        <v>0</v>
      </c>
      <c r="K304" s="80">
        <v>0</v>
      </c>
      <c r="L304" s="80">
        <v>0</v>
      </c>
      <c r="M304" s="80">
        <v>0</v>
      </c>
      <c r="N304" s="80">
        <v>0</v>
      </c>
      <c r="O304" s="80">
        <v>0</v>
      </c>
      <c r="P304" s="80">
        <v>0</v>
      </c>
      <c r="Q304" s="80">
        <v>0</v>
      </c>
      <c r="R304" s="80">
        <v>0</v>
      </c>
      <c r="S304" s="80">
        <v>4415127.583867752</v>
      </c>
      <c r="T304" s="80">
        <v>0</v>
      </c>
      <c r="U304" s="80">
        <v>0</v>
      </c>
      <c r="V304" s="80">
        <v>0</v>
      </c>
      <c r="W304" s="80">
        <v>0</v>
      </c>
      <c r="X304" s="80">
        <v>22.42048847518339</v>
      </c>
      <c r="Y304" s="80">
        <v>0</v>
      </c>
      <c r="Z304" s="80">
        <v>0</v>
      </c>
      <c r="AA304" s="80">
        <v>0</v>
      </c>
      <c r="AB304" s="80">
        <v>0</v>
      </c>
      <c r="AC304" s="80">
        <v>0</v>
      </c>
      <c r="AD304" s="80">
        <v>0</v>
      </c>
      <c r="AE304" s="80">
        <v>0</v>
      </c>
      <c r="AF304" s="80">
        <v>0</v>
      </c>
      <c r="AG304" s="80">
        <v>0</v>
      </c>
      <c r="AH304" s="80">
        <v>0</v>
      </c>
      <c r="AI304" s="79">
        <v>46230.728229166663</v>
      </c>
    </row>
    <row r="305" spans="1:35" x14ac:dyDescent="0.3">
      <c r="A305" t="s">
        <v>870</v>
      </c>
      <c r="B305">
        <v>296</v>
      </c>
      <c r="C305">
        <v>296</v>
      </c>
      <c r="D305">
        <v>1</v>
      </c>
      <c r="E305" s="80">
        <v>3429856.5769000002</v>
      </c>
      <c r="F305" s="80">
        <v>3429856.5639050296</v>
      </c>
      <c r="G305" s="80">
        <v>0</v>
      </c>
      <c r="H305" s="80">
        <v>0</v>
      </c>
      <c r="I305" s="80">
        <v>3429856.5639050296</v>
      </c>
      <c r="J305" s="80">
        <v>0</v>
      </c>
      <c r="K305" s="80">
        <v>0</v>
      </c>
      <c r="L305" s="80">
        <v>0</v>
      </c>
      <c r="M305" s="80">
        <v>0</v>
      </c>
      <c r="N305" s="80">
        <v>0</v>
      </c>
      <c r="O305" s="80">
        <v>0</v>
      </c>
      <c r="P305" s="80">
        <v>0</v>
      </c>
      <c r="Q305" s="80">
        <v>0</v>
      </c>
      <c r="R305" s="80">
        <v>0</v>
      </c>
      <c r="S305" s="80">
        <v>0</v>
      </c>
      <c r="T305" s="80">
        <v>0</v>
      </c>
      <c r="U305" s="80">
        <v>0</v>
      </c>
      <c r="V305" s="80">
        <v>0</v>
      </c>
      <c r="W305" s="80">
        <v>0</v>
      </c>
      <c r="X305" s="80">
        <v>0</v>
      </c>
      <c r="Y305" s="80">
        <v>0</v>
      </c>
      <c r="Z305" s="80">
        <v>0</v>
      </c>
      <c r="AA305" s="80">
        <v>0</v>
      </c>
      <c r="AB305" s="80">
        <v>0</v>
      </c>
      <c r="AC305" s="80">
        <v>0</v>
      </c>
      <c r="AD305" s="80">
        <v>0</v>
      </c>
      <c r="AE305" s="80">
        <v>0</v>
      </c>
      <c r="AF305" s="80">
        <v>0</v>
      </c>
      <c r="AG305" s="80">
        <v>0</v>
      </c>
      <c r="AH305" s="80">
        <v>0</v>
      </c>
      <c r="AI305" s="79">
        <v>46230.728275462963</v>
      </c>
    </row>
    <row r="306" spans="1:35" x14ac:dyDescent="0.3">
      <c r="A306" t="s">
        <v>526</v>
      </c>
      <c r="B306">
        <v>297</v>
      </c>
      <c r="C306">
        <v>297</v>
      </c>
      <c r="D306">
        <v>1</v>
      </c>
      <c r="E306" s="80">
        <v>3326609.1354</v>
      </c>
      <c r="F306" s="80">
        <v>3326609.1352764228</v>
      </c>
      <c r="G306" s="80">
        <v>3078206.9471261231</v>
      </c>
      <c r="H306" s="80">
        <v>2093041.5723532888</v>
      </c>
      <c r="I306" s="80">
        <v>0</v>
      </c>
      <c r="J306" s="80">
        <v>276457.62513193354</v>
      </c>
      <c r="K306" s="80">
        <v>280984.92834639217</v>
      </c>
      <c r="L306" s="80">
        <v>317371.34284771478</v>
      </c>
      <c r="M306" s="80">
        <v>172677.99519364254</v>
      </c>
      <c r="N306" s="80">
        <v>0</v>
      </c>
      <c r="O306" s="80">
        <v>0</v>
      </c>
      <c r="P306" s="80">
        <v>76982.594963359908</v>
      </c>
      <c r="Q306" s="80">
        <v>0</v>
      </c>
      <c r="R306" s="80">
        <v>33368.883483434402</v>
      </c>
      <c r="S306" s="80">
        <v>164086.65343202077</v>
      </c>
      <c r="T306" s="80">
        <v>22500</v>
      </c>
      <c r="U306" s="80">
        <v>0</v>
      </c>
      <c r="V306" s="80">
        <v>4889.5763196682256</v>
      </c>
      <c r="W306" s="80">
        <v>0</v>
      </c>
      <c r="X306" s="80">
        <v>56925.958398610426</v>
      </c>
      <c r="Y306" s="80">
        <v>0</v>
      </c>
      <c r="Z306" s="80">
        <v>0</v>
      </c>
      <c r="AA306" s="80">
        <v>0</v>
      </c>
      <c r="AB306" s="80">
        <v>0</v>
      </c>
      <c r="AC306" s="80">
        <v>0</v>
      </c>
      <c r="AD306" s="80">
        <v>0</v>
      </c>
      <c r="AE306" s="80">
        <v>0</v>
      </c>
      <c r="AF306" s="80">
        <v>0</v>
      </c>
      <c r="AG306" s="80">
        <v>0</v>
      </c>
      <c r="AH306" s="80">
        <v>0</v>
      </c>
      <c r="AI306" s="79">
        <v>46230.728321759256</v>
      </c>
    </row>
    <row r="307" spans="1:35" x14ac:dyDescent="0.3">
      <c r="A307" t="s">
        <v>871</v>
      </c>
      <c r="B307">
        <v>298</v>
      </c>
      <c r="C307">
        <v>298</v>
      </c>
      <c r="D307">
        <v>1</v>
      </c>
      <c r="E307" s="80">
        <v>2977422.6954000001</v>
      </c>
      <c r="F307" s="80">
        <v>2977422.6912584612</v>
      </c>
      <c r="G307" s="80">
        <v>2971652.2194946008</v>
      </c>
      <c r="H307" s="80">
        <v>1781789.6153330307</v>
      </c>
      <c r="I307" s="80">
        <v>0</v>
      </c>
      <c r="J307" s="80">
        <v>340004.89103644865</v>
      </c>
      <c r="K307" s="80">
        <v>435985.08990865125</v>
      </c>
      <c r="L307" s="80">
        <v>327088.40659451846</v>
      </c>
      <c r="M307" s="80">
        <v>149781.2483088694</v>
      </c>
      <c r="N307" s="80">
        <v>0</v>
      </c>
      <c r="O307" s="80">
        <v>0</v>
      </c>
      <c r="P307" s="80">
        <v>71784.216645992623</v>
      </c>
      <c r="Q307" s="80">
        <v>0</v>
      </c>
      <c r="R307" s="80">
        <v>14999.999975999999</v>
      </c>
      <c r="S307" s="80">
        <v>0</v>
      </c>
      <c r="T307" s="80">
        <v>0</v>
      </c>
      <c r="U307" s="80">
        <v>0</v>
      </c>
      <c r="V307" s="80">
        <v>2120.8579581662211</v>
      </c>
      <c r="W307" s="80">
        <v>0</v>
      </c>
      <c r="X307" s="80">
        <v>0</v>
      </c>
      <c r="Y307" s="80">
        <v>0</v>
      </c>
      <c r="Z307" s="80">
        <v>0</v>
      </c>
      <c r="AA307" s="80">
        <v>3649.6138056946584</v>
      </c>
      <c r="AB307" s="80">
        <v>0</v>
      </c>
      <c r="AC307" s="80">
        <v>0</v>
      </c>
      <c r="AD307" s="80">
        <v>0</v>
      </c>
      <c r="AE307" s="80">
        <v>0</v>
      </c>
      <c r="AF307" s="80">
        <v>0</v>
      </c>
      <c r="AG307" s="80">
        <v>0</v>
      </c>
      <c r="AH307" s="80">
        <v>0</v>
      </c>
      <c r="AI307" s="79">
        <v>46230.728402777779</v>
      </c>
    </row>
    <row r="308" spans="1:35" x14ac:dyDescent="0.3">
      <c r="A308" t="s">
        <v>872</v>
      </c>
      <c r="B308">
        <v>299</v>
      </c>
      <c r="C308">
        <v>299</v>
      </c>
      <c r="D308">
        <v>1</v>
      </c>
      <c r="E308" s="80">
        <v>5563605.0646000002</v>
      </c>
      <c r="F308" s="80">
        <v>5563605.0581396874</v>
      </c>
      <c r="G308" s="80">
        <v>5209800.6860252209</v>
      </c>
      <c r="H308" s="80">
        <v>3707780.3733078232</v>
      </c>
      <c r="I308" s="80">
        <v>0</v>
      </c>
      <c r="J308" s="80">
        <v>453588.5872359082</v>
      </c>
      <c r="K308" s="80">
        <v>463240.65358972957</v>
      </c>
      <c r="L308" s="80">
        <v>408235.84693046677</v>
      </c>
      <c r="M308" s="80">
        <v>196233.81445258635</v>
      </c>
      <c r="N308" s="80">
        <v>0</v>
      </c>
      <c r="O308" s="80">
        <v>0</v>
      </c>
      <c r="P308" s="80">
        <v>118467.20814870887</v>
      </c>
      <c r="Q308" s="80">
        <v>0</v>
      </c>
      <c r="R308" s="80">
        <v>58488.016812585018</v>
      </c>
      <c r="S308" s="80">
        <v>243716.19731192102</v>
      </c>
      <c r="T308" s="80">
        <v>25869.692337953624</v>
      </c>
      <c r="U308" s="80">
        <v>0</v>
      </c>
      <c r="V308" s="80">
        <v>607.47281419416186</v>
      </c>
      <c r="W308" s="80">
        <v>0</v>
      </c>
      <c r="X308" s="80">
        <v>79990.984866903964</v>
      </c>
      <c r="Y308" s="80">
        <v>0</v>
      </c>
      <c r="Z308" s="80">
        <v>0</v>
      </c>
      <c r="AA308" s="80">
        <v>3620.0247834950051</v>
      </c>
      <c r="AB308" s="80">
        <v>0</v>
      </c>
      <c r="AC308" s="80">
        <v>0</v>
      </c>
      <c r="AD308" s="80">
        <v>0</v>
      </c>
      <c r="AE308" s="80">
        <v>0</v>
      </c>
      <c r="AF308" s="80">
        <v>0</v>
      </c>
      <c r="AG308" s="80">
        <v>0</v>
      </c>
      <c r="AH308" s="80">
        <v>0</v>
      </c>
      <c r="AI308" s="79">
        <v>46230.728449074071</v>
      </c>
    </row>
    <row r="309" spans="1:35" x14ac:dyDescent="0.3">
      <c r="A309" t="s">
        <v>873</v>
      </c>
      <c r="B309">
        <v>300</v>
      </c>
      <c r="C309">
        <v>300</v>
      </c>
      <c r="D309">
        <v>1</v>
      </c>
      <c r="E309" s="80">
        <v>7815927.0878999997</v>
      </c>
      <c r="F309" s="80">
        <v>7815927.0800831532</v>
      </c>
      <c r="G309" s="80">
        <v>7208333.5199113218</v>
      </c>
      <c r="H309" s="80">
        <v>4785574.373667947</v>
      </c>
      <c r="I309" s="80">
        <v>0</v>
      </c>
      <c r="J309" s="80">
        <v>651077.05107473221</v>
      </c>
      <c r="K309" s="80">
        <v>655234.99972650222</v>
      </c>
      <c r="L309" s="80">
        <v>854443.05152992695</v>
      </c>
      <c r="M309" s="80">
        <v>486784.93817765504</v>
      </c>
      <c r="N309" s="80">
        <v>0</v>
      </c>
      <c r="O309" s="80">
        <v>0</v>
      </c>
      <c r="P309" s="80">
        <v>193421.55953517271</v>
      </c>
      <c r="Q309" s="80">
        <v>0</v>
      </c>
      <c r="R309" s="80">
        <v>68582.484377002242</v>
      </c>
      <c r="S309" s="80">
        <v>390882.47908461088</v>
      </c>
      <c r="T309" s="80">
        <v>47522.344620469805</v>
      </c>
      <c r="U309" s="80">
        <v>0</v>
      </c>
      <c r="V309" s="80">
        <v>17713.263531596505</v>
      </c>
      <c r="W309" s="80">
        <v>0</v>
      </c>
      <c r="X309" s="80">
        <v>141526.01122671179</v>
      </c>
      <c r="Y309" s="80">
        <v>0</v>
      </c>
      <c r="Z309" s="80">
        <v>0</v>
      </c>
      <c r="AA309" s="80">
        <v>9949.4617084308811</v>
      </c>
      <c r="AB309" s="80">
        <v>0</v>
      </c>
      <c r="AC309" s="80">
        <v>0</v>
      </c>
      <c r="AD309" s="80">
        <v>0</v>
      </c>
      <c r="AE309" s="80">
        <v>0</v>
      </c>
      <c r="AF309" s="80">
        <v>0</v>
      </c>
      <c r="AG309" s="80">
        <v>0</v>
      </c>
      <c r="AH309" s="80">
        <v>0</v>
      </c>
      <c r="AI309" s="79">
        <v>46230.728518518517</v>
      </c>
    </row>
    <row r="310" spans="1:35" x14ac:dyDescent="0.3">
      <c r="A310" t="s">
        <v>874</v>
      </c>
      <c r="B310">
        <v>301</v>
      </c>
      <c r="C310">
        <v>301</v>
      </c>
      <c r="D310">
        <v>1</v>
      </c>
      <c r="E310" s="80">
        <v>2191809.6502999999</v>
      </c>
      <c r="F310" s="80">
        <v>2191809.6505863955</v>
      </c>
      <c r="G310" s="80">
        <v>2067477.8633462947</v>
      </c>
      <c r="H310" s="80">
        <v>1570332.4067011075</v>
      </c>
      <c r="I310" s="80">
        <v>0</v>
      </c>
      <c r="J310" s="80">
        <v>94104.901040332785</v>
      </c>
      <c r="K310" s="80">
        <v>164461.55924256184</v>
      </c>
      <c r="L310" s="80">
        <v>54907.956946486447</v>
      </c>
      <c r="M310" s="80">
        <v>22962.27673351514</v>
      </c>
      <c r="N310" s="80">
        <v>0</v>
      </c>
      <c r="O310" s="80">
        <v>0</v>
      </c>
      <c r="P310" s="80">
        <v>154456.79260076524</v>
      </c>
      <c r="Q310" s="80">
        <v>98292.104005994741</v>
      </c>
      <c r="R310" s="80">
        <v>29214.246815041079</v>
      </c>
      <c r="S310" s="80">
        <v>7671.1744308717016</v>
      </c>
      <c r="T310" s="80">
        <v>3547.3208588436132</v>
      </c>
      <c r="U310" s="80">
        <v>0</v>
      </c>
      <c r="V310" s="80">
        <v>2158.2988429011939</v>
      </c>
      <c r="W310" s="80">
        <v>0</v>
      </c>
      <c r="X310" s="80">
        <v>9891.4052254398575</v>
      </c>
      <c r="Y310" s="80">
        <v>0</v>
      </c>
      <c r="Z310" s="80">
        <v>0</v>
      </c>
      <c r="AA310" s="80">
        <v>2771.4838760493503</v>
      </c>
      <c r="AB310" s="80">
        <v>0</v>
      </c>
      <c r="AC310" s="80">
        <v>0</v>
      </c>
      <c r="AD310" s="80">
        <v>0</v>
      </c>
      <c r="AE310" s="80">
        <v>0</v>
      </c>
      <c r="AF310" s="80">
        <v>0</v>
      </c>
      <c r="AG310" s="80">
        <v>0</v>
      </c>
      <c r="AH310" s="80">
        <v>0</v>
      </c>
      <c r="AI310" s="79">
        <v>46230.728576388887</v>
      </c>
    </row>
    <row r="311" spans="1:35" x14ac:dyDescent="0.3">
      <c r="A311" t="s">
        <v>875</v>
      </c>
      <c r="B311">
        <v>302</v>
      </c>
      <c r="C311">
        <v>302</v>
      </c>
      <c r="D311">
        <v>1</v>
      </c>
      <c r="E311" s="80">
        <v>5946630.2314999998</v>
      </c>
      <c r="F311" s="80">
        <v>5946630.2312834151</v>
      </c>
      <c r="G311" s="80">
        <v>5492434.8889062721</v>
      </c>
      <c r="H311" s="80">
        <v>3795138.8106910842</v>
      </c>
      <c r="I311" s="80">
        <v>0</v>
      </c>
      <c r="J311" s="80">
        <v>317190.6288511813</v>
      </c>
      <c r="K311" s="80">
        <v>505781.21358462994</v>
      </c>
      <c r="L311" s="80">
        <v>337300.09279247525</v>
      </c>
      <c r="M311" s="80">
        <v>205736.37675642082</v>
      </c>
      <c r="N311" s="80">
        <v>0</v>
      </c>
      <c r="O311" s="80">
        <v>0</v>
      </c>
      <c r="P311" s="80">
        <v>418860.70257091284</v>
      </c>
      <c r="Q311" s="80">
        <v>208024.7215231935</v>
      </c>
      <c r="R311" s="80">
        <v>118163.44041599343</v>
      </c>
      <c r="S311" s="80">
        <v>143652.51277612455</v>
      </c>
      <c r="T311" s="80">
        <v>22004.847607569664</v>
      </c>
      <c r="U311" s="80">
        <v>0</v>
      </c>
      <c r="V311" s="80">
        <v>11345.981014938905</v>
      </c>
      <c r="W311" s="80">
        <v>0</v>
      </c>
      <c r="X311" s="80">
        <v>47899.778547572452</v>
      </c>
      <c r="Y311" s="80">
        <v>0</v>
      </c>
      <c r="Z311" s="80">
        <v>0</v>
      </c>
      <c r="AA311" s="80">
        <v>21267.500907745711</v>
      </c>
      <c r="AB311" s="80">
        <v>0</v>
      </c>
      <c r="AC311" s="80">
        <v>0</v>
      </c>
      <c r="AD311" s="80">
        <v>0</v>
      </c>
      <c r="AE311" s="80">
        <v>0</v>
      </c>
      <c r="AF311" s="80">
        <v>0</v>
      </c>
      <c r="AG311" s="80">
        <v>0</v>
      </c>
      <c r="AH311" s="80">
        <v>0</v>
      </c>
      <c r="AI311" s="79">
        <v>46230.72861111111</v>
      </c>
    </row>
    <row r="312" spans="1:35" x14ac:dyDescent="0.3">
      <c r="A312" t="s">
        <v>876</v>
      </c>
      <c r="B312">
        <v>303</v>
      </c>
      <c r="C312">
        <v>303</v>
      </c>
      <c r="D312">
        <v>1</v>
      </c>
      <c r="E312" s="80">
        <v>3040085.6148000001</v>
      </c>
      <c r="F312" s="80">
        <v>3040085.6150244726</v>
      </c>
      <c r="G312" s="80">
        <v>2038657.8101235817</v>
      </c>
      <c r="H312" s="80">
        <v>1300391.6000505143</v>
      </c>
      <c r="I312" s="80">
        <v>243294.22581739945</v>
      </c>
      <c r="J312" s="80">
        <v>93208.07589541201</v>
      </c>
      <c r="K312" s="80">
        <v>106562.42825793223</v>
      </c>
      <c r="L312" s="80">
        <v>126243.84145833499</v>
      </c>
      <c r="M312" s="80">
        <v>76283.259339522047</v>
      </c>
      <c r="N312" s="80">
        <v>0</v>
      </c>
      <c r="O312" s="80">
        <v>0</v>
      </c>
      <c r="P312" s="80">
        <v>353104.24266176682</v>
      </c>
      <c r="Q312" s="80">
        <v>0</v>
      </c>
      <c r="R312" s="80">
        <v>59147.621799621069</v>
      </c>
      <c r="S312" s="80">
        <v>395475.15996257943</v>
      </c>
      <c r="T312" s="80">
        <v>97725.050082321075</v>
      </c>
      <c r="U312" s="80">
        <v>0</v>
      </c>
      <c r="V312" s="80">
        <v>0</v>
      </c>
      <c r="W312" s="80">
        <v>0</v>
      </c>
      <c r="X312" s="80">
        <v>264933.36903858994</v>
      </c>
      <c r="Y312" s="80">
        <v>0</v>
      </c>
      <c r="Z312" s="80">
        <v>0</v>
      </c>
      <c r="AA312" s="80">
        <v>0</v>
      </c>
      <c r="AB312" s="80">
        <v>0</v>
      </c>
      <c r="AC312" s="80">
        <v>0</v>
      </c>
      <c r="AD312" s="80">
        <v>0</v>
      </c>
      <c r="AE312" s="80">
        <v>0</v>
      </c>
      <c r="AF312" s="80">
        <v>0</v>
      </c>
      <c r="AG312" s="80">
        <v>0</v>
      </c>
      <c r="AH312" s="80">
        <v>0</v>
      </c>
      <c r="AI312" s="79">
        <v>46230.728680555556</v>
      </c>
    </row>
    <row r="313" spans="1:35" x14ac:dyDescent="0.3">
      <c r="A313" t="s">
        <v>877</v>
      </c>
      <c r="B313">
        <v>304</v>
      </c>
      <c r="C313">
        <v>304</v>
      </c>
      <c r="D313">
        <v>1</v>
      </c>
      <c r="E313" s="80">
        <v>2280916.3051</v>
      </c>
      <c r="F313" s="80">
        <v>2280916.3052033447</v>
      </c>
      <c r="G313" s="80">
        <v>1623075.7393450651</v>
      </c>
      <c r="H313" s="80">
        <v>994760.81421125948</v>
      </c>
      <c r="I313" s="80">
        <v>202588.28549792798</v>
      </c>
      <c r="J313" s="80">
        <v>92097.42812786132</v>
      </c>
      <c r="K313" s="80">
        <v>163470.59624741939</v>
      </c>
      <c r="L313" s="80">
        <v>106242.35430432457</v>
      </c>
      <c r="M313" s="80">
        <v>90754.636961828437</v>
      </c>
      <c r="N313" s="80">
        <v>0</v>
      </c>
      <c r="O313" s="80">
        <v>0</v>
      </c>
      <c r="P313" s="80">
        <v>216437.02706771574</v>
      </c>
      <c r="Q313" s="80">
        <v>0</v>
      </c>
      <c r="R313" s="80">
        <v>50067.519386484535</v>
      </c>
      <c r="S313" s="80">
        <v>244648.03110289373</v>
      </c>
      <c r="T313" s="80">
        <v>47225.919266545854</v>
      </c>
      <c r="U313" s="80">
        <v>0</v>
      </c>
      <c r="V313" s="80">
        <v>4331.7120114556965</v>
      </c>
      <c r="W313" s="80">
        <v>0</v>
      </c>
      <c r="X313" s="80">
        <v>159046.61797945693</v>
      </c>
      <c r="Y313" s="80">
        <v>0</v>
      </c>
      <c r="Z313" s="80">
        <v>0</v>
      </c>
      <c r="AA313" s="80">
        <v>0</v>
      </c>
      <c r="AB313" s="80">
        <v>0</v>
      </c>
      <c r="AC313" s="80">
        <v>0</v>
      </c>
      <c r="AD313" s="80">
        <v>0</v>
      </c>
      <c r="AE313" s="80">
        <v>0</v>
      </c>
      <c r="AF313" s="80">
        <v>0</v>
      </c>
      <c r="AG313" s="80">
        <v>0</v>
      </c>
      <c r="AH313" s="80">
        <v>0</v>
      </c>
      <c r="AI313" s="79">
        <v>46230.728726851848</v>
      </c>
    </row>
    <row r="314" spans="1:35" x14ac:dyDescent="0.3">
      <c r="A314" t="s">
        <v>878</v>
      </c>
      <c r="B314">
        <v>305</v>
      </c>
      <c r="C314">
        <v>305</v>
      </c>
      <c r="D314">
        <v>1</v>
      </c>
      <c r="E314" s="80">
        <v>2925435.2083000001</v>
      </c>
      <c r="F314" s="80">
        <v>2925435.2083277544</v>
      </c>
      <c r="G314" s="80">
        <v>2891613.0027999273</v>
      </c>
      <c r="H314" s="80">
        <v>2891613.0027999273</v>
      </c>
      <c r="I314" s="80">
        <v>0</v>
      </c>
      <c r="J314" s="80">
        <v>0</v>
      </c>
      <c r="K314" s="80">
        <v>0</v>
      </c>
      <c r="L314" s="80">
        <v>0</v>
      </c>
      <c r="M314" s="80">
        <v>0</v>
      </c>
      <c r="N314" s="80">
        <v>33822.205527827165</v>
      </c>
      <c r="O314" s="80">
        <v>33822.205527827165</v>
      </c>
      <c r="P314" s="80">
        <v>0</v>
      </c>
      <c r="Q314" s="80">
        <v>0</v>
      </c>
      <c r="R314" s="80">
        <v>0</v>
      </c>
      <c r="S314" s="80">
        <v>0</v>
      </c>
      <c r="T314" s="80">
        <v>0</v>
      </c>
      <c r="U314" s="80">
        <v>0</v>
      </c>
      <c r="V314" s="80">
        <v>0</v>
      </c>
      <c r="W314" s="80">
        <v>0</v>
      </c>
      <c r="X314" s="80">
        <v>0</v>
      </c>
      <c r="Y314" s="80">
        <v>0</v>
      </c>
      <c r="Z314" s="80">
        <v>0</v>
      </c>
      <c r="AA314" s="80">
        <v>0</v>
      </c>
      <c r="AB314" s="80">
        <v>0</v>
      </c>
      <c r="AC314" s="80">
        <v>0</v>
      </c>
      <c r="AD314" s="80">
        <v>0</v>
      </c>
      <c r="AE314" s="80">
        <v>0</v>
      </c>
      <c r="AF314" s="80">
        <v>0</v>
      </c>
      <c r="AG314" s="80">
        <v>0</v>
      </c>
      <c r="AH314" s="80">
        <v>0</v>
      </c>
      <c r="AI314" s="79">
        <v>46230.728784722225</v>
      </c>
    </row>
    <row r="315" spans="1:35" x14ac:dyDescent="0.3">
      <c r="A315" t="s">
        <v>879</v>
      </c>
      <c r="B315">
        <v>306</v>
      </c>
      <c r="C315">
        <v>306</v>
      </c>
      <c r="D315">
        <v>1</v>
      </c>
      <c r="E315" s="80">
        <v>2518706.3451</v>
      </c>
      <c r="F315" s="80">
        <v>2518706.3447570251</v>
      </c>
      <c r="G315" s="80">
        <v>2426116.3119689501</v>
      </c>
      <c r="H315" s="80">
        <v>94776.089945789048</v>
      </c>
      <c r="I315" s="80">
        <v>0</v>
      </c>
      <c r="J315" s="80">
        <v>529689.22634300613</v>
      </c>
      <c r="K315" s="80">
        <v>0</v>
      </c>
      <c r="L315" s="80">
        <v>0</v>
      </c>
      <c r="M315" s="80">
        <v>0</v>
      </c>
      <c r="N315" s="80">
        <v>21417.533069998612</v>
      </c>
      <c r="O315" s="80">
        <v>21417.533069998612</v>
      </c>
      <c r="P315" s="80">
        <v>1229106.2364441487</v>
      </c>
      <c r="Q315" s="80">
        <v>0</v>
      </c>
      <c r="R315" s="80">
        <v>572544.75923600583</v>
      </c>
      <c r="S315" s="80">
        <v>0</v>
      </c>
      <c r="T315" s="80">
        <v>0</v>
      </c>
      <c r="U315" s="80">
        <v>0</v>
      </c>
      <c r="V315" s="80">
        <v>0</v>
      </c>
      <c r="W315" s="80">
        <v>0</v>
      </c>
      <c r="X315" s="80">
        <v>71172.49971807751</v>
      </c>
      <c r="Y315" s="80">
        <v>0</v>
      </c>
      <c r="Z315" s="80">
        <v>0</v>
      </c>
      <c r="AA315" s="80">
        <v>0</v>
      </c>
      <c r="AB315" s="80">
        <v>0</v>
      </c>
      <c r="AC315" s="80">
        <v>0</v>
      </c>
      <c r="AD315" s="80">
        <v>0</v>
      </c>
      <c r="AE315" s="80">
        <v>0</v>
      </c>
      <c r="AF315" s="80">
        <v>0</v>
      </c>
      <c r="AG315" s="80">
        <v>0</v>
      </c>
      <c r="AH315" s="80">
        <v>0</v>
      </c>
      <c r="AI315" s="79">
        <v>46230.728831018518</v>
      </c>
    </row>
    <row r="316" spans="1:35" x14ac:dyDescent="0.3">
      <c r="A316" t="s">
        <v>880</v>
      </c>
      <c r="B316">
        <v>307</v>
      </c>
      <c r="C316">
        <v>307</v>
      </c>
      <c r="D316">
        <v>1</v>
      </c>
      <c r="E316" s="80">
        <v>2479848.878</v>
      </c>
      <c r="F316" s="80">
        <v>2479848.8779687691</v>
      </c>
      <c r="G316" s="80">
        <v>0</v>
      </c>
      <c r="H316" s="80">
        <v>0</v>
      </c>
      <c r="I316" s="80">
        <v>0</v>
      </c>
      <c r="J316" s="80">
        <v>0</v>
      </c>
      <c r="K316" s="80">
        <v>0</v>
      </c>
      <c r="L316" s="80">
        <v>0</v>
      </c>
      <c r="M316" s="80">
        <v>0</v>
      </c>
      <c r="N316" s="80">
        <v>0</v>
      </c>
      <c r="O316" s="80">
        <v>0</v>
      </c>
      <c r="P316" s="80">
        <v>0</v>
      </c>
      <c r="Q316" s="80">
        <v>0</v>
      </c>
      <c r="R316" s="80">
        <v>0</v>
      </c>
      <c r="S316" s="80">
        <v>0</v>
      </c>
      <c r="T316" s="80">
        <v>2479848.8779687691</v>
      </c>
      <c r="U316" s="80">
        <v>0</v>
      </c>
      <c r="V316" s="80">
        <v>0</v>
      </c>
      <c r="W316" s="80">
        <v>0</v>
      </c>
      <c r="X316" s="80">
        <v>0</v>
      </c>
      <c r="Y316" s="80">
        <v>2479848.8779687691</v>
      </c>
      <c r="Z316" s="80">
        <v>0</v>
      </c>
      <c r="AA316" s="80">
        <v>0</v>
      </c>
      <c r="AB316" s="80">
        <v>0</v>
      </c>
      <c r="AC316" s="80">
        <v>0</v>
      </c>
      <c r="AD316" s="80">
        <v>0</v>
      </c>
      <c r="AE316" s="80">
        <v>0</v>
      </c>
      <c r="AF316" s="80">
        <v>0</v>
      </c>
      <c r="AG316" s="80">
        <v>0</v>
      </c>
      <c r="AH316" s="80">
        <v>0</v>
      </c>
      <c r="AI316" s="79">
        <v>46230.728888888887</v>
      </c>
    </row>
    <row r="317" spans="1:35" x14ac:dyDescent="0.3">
      <c r="A317" t="s">
        <v>881</v>
      </c>
      <c r="B317">
        <v>308</v>
      </c>
      <c r="C317">
        <v>308</v>
      </c>
      <c r="D317">
        <v>1</v>
      </c>
      <c r="E317" s="80">
        <v>514757.03360000002</v>
      </c>
      <c r="F317" s="80">
        <v>514757.03354166396</v>
      </c>
      <c r="G317" s="80">
        <v>514757.03354166396</v>
      </c>
      <c r="H317" s="80">
        <v>162567.49255494279</v>
      </c>
      <c r="I317" s="80">
        <v>0</v>
      </c>
      <c r="J317" s="80">
        <v>24074.398810709048</v>
      </c>
      <c r="K317" s="80">
        <v>151446.40973251517</v>
      </c>
      <c r="L317" s="80">
        <v>19931.423037742436</v>
      </c>
      <c r="M317" s="80">
        <v>19931.423037742436</v>
      </c>
      <c r="N317" s="80">
        <v>0</v>
      </c>
      <c r="O317" s="80">
        <v>0</v>
      </c>
      <c r="P317" s="80">
        <v>115586.33338916634</v>
      </c>
      <c r="Q317" s="80">
        <v>0</v>
      </c>
      <c r="R317" s="80">
        <v>41150.976016588138</v>
      </c>
      <c r="S317" s="80">
        <v>0</v>
      </c>
      <c r="T317" s="80">
        <v>0</v>
      </c>
      <c r="U317" s="80">
        <v>0</v>
      </c>
      <c r="V317" s="80">
        <v>0</v>
      </c>
      <c r="W317" s="80">
        <v>0</v>
      </c>
      <c r="X317" s="80">
        <v>0</v>
      </c>
      <c r="Y317" s="80">
        <v>0</v>
      </c>
      <c r="Z317" s="80">
        <v>0</v>
      </c>
      <c r="AA317" s="80">
        <v>0</v>
      </c>
      <c r="AB317" s="80">
        <v>0</v>
      </c>
      <c r="AC317" s="80">
        <v>0</v>
      </c>
      <c r="AD317" s="80">
        <v>0</v>
      </c>
      <c r="AE317" s="80">
        <v>0</v>
      </c>
      <c r="AF317" s="80">
        <v>0</v>
      </c>
      <c r="AG317" s="80">
        <v>0</v>
      </c>
      <c r="AH317" s="80">
        <v>0</v>
      </c>
      <c r="AI317" s="79">
        <v>46230.728946759256</v>
      </c>
    </row>
    <row r="318" spans="1:35" x14ac:dyDescent="0.3">
      <c r="A318" t="s">
        <v>882</v>
      </c>
      <c r="B318">
        <v>309</v>
      </c>
      <c r="C318">
        <v>309</v>
      </c>
      <c r="D318">
        <v>1</v>
      </c>
      <c r="E318" s="80">
        <v>6660138.9648000002</v>
      </c>
      <c r="F318" s="80">
        <v>6660138.9643859407</v>
      </c>
      <c r="G318" s="80">
        <v>0</v>
      </c>
      <c r="H318" s="80">
        <v>0</v>
      </c>
      <c r="I318" s="80">
        <v>6660138.9643859407</v>
      </c>
      <c r="J318" s="80">
        <v>0</v>
      </c>
      <c r="K318" s="80">
        <v>0</v>
      </c>
      <c r="L318" s="80">
        <v>0</v>
      </c>
      <c r="M318" s="80">
        <v>0</v>
      </c>
      <c r="N318" s="80">
        <v>0</v>
      </c>
      <c r="O318" s="80">
        <v>0</v>
      </c>
      <c r="P318" s="80">
        <v>0</v>
      </c>
      <c r="Q318" s="80">
        <v>0</v>
      </c>
      <c r="R318" s="80">
        <v>0</v>
      </c>
      <c r="S318" s="80">
        <v>0</v>
      </c>
      <c r="T318" s="80">
        <v>0</v>
      </c>
      <c r="U318" s="80">
        <v>0</v>
      </c>
      <c r="V318" s="80">
        <v>0</v>
      </c>
      <c r="W318" s="80">
        <v>0</v>
      </c>
      <c r="X318" s="80">
        <v>0</v>
      </c>
      <c r="Y318" s="80">
        <v>0</v>
      </c>
      <c r="Z318" s="80">
        <v>0</v>
      </c>
      <c r="AA318" s="80">
        <v>0</v>
      </c>
      <c r="AB318" s="80">
        <v>0</v>
      </c>
      <c r="AC318" s="80">
        <v>0</v>
      </c>
      <c r="AD318" s="80">
        <v>0</v>
      </c>
      <c r="AE318" s="80">
        <v>0</v>
      </c>
      <c r="AF318" s="80">
        <v>0</v>
      </c>
      <c r="AG318" s="80">
        <v>0</v>
      </c>
      <c r="AH318" s="80">
        <v>0</v>
      </c>
      <c r="AI318" s="79">
        <v>46230.728993055556</v>
      </c>
    </row>
    <row r="319" spans="1:35" x14ac:dyDescent="0.3">
      <c r="A319" t="s">
        <v>450</v>
      </c>
      <c r="B319">
        <v>310</v>
      </c>
      <c r="C319">
        <v>310</v>
      </c>
      <c r="D319">
        <v>1</v>
      </c>
      <c r="E319" s="80">
        <v>1574974.3319999999</v>
      </c>
      <c r="F319" s="80">
        <v>1574974.3323203763</v>
      </c>
      <c r="G319" s="80">
        <v>0</v>
      </c>
      <c r="H319" s="80">
        <v>0</v>
      </c>
      <c r="I319" s="80">
        <v>1574974.3323203763</v>
      </c>
      <c r="J319" s="80">
        <v>0</v>
      </c>
      <c r="K319" s="80">
        <v>0</v>
      </c>
      <c r="L319" s="80">
        <v>0</v>
      </c>
      <c r="M319" s="80">
        <v>0</v>
      </c>
      <c r="N319" s="80">
        <v>0</v>
      </c>
      <c r="O319" s="80">
        <v>0</v>
      </c>
      <c r="P319" s="80">
        <v>0</v>
      </c>
      <c r="Q319" s="80">
        <v>0</v>
      </c>
      <c r="R319" s="80">
        <v>0</v>
      </c>
      <c r="S319" s="80">
        <v>0</v>
      </c>
      <c r="T319" s="80">
        <v>0</v>
      </c>
      <c r="U319" s="80">
        <v>0</v>
      </c>
      <c r="V319" s="80">
        <v>0</v>
      </c>
      <c r="W319" s="80">
        <v>0</v>
      </c>
      <c r="X319" s="80">
        <v>0</v>
      </c>
      <c r="Y319" s="80">
        <v>0</v>
      </c>
      <c r="Z319" s="80">
        <v>0</v>
      </c>
      <c r="AA319" s="80">
        <v>0</v>
      </c>
      <c r="AB319" s="80">
        <v>0</v>
      </c>
      <c r="AC319" s="80">
        <v>0</v>
      </c>
      <c r="AD319" s="80">
        <v>0</v>
      </c>
      <c r="AE319" s="80">
        <v>0</v>
      </c>
      <c r="AF319" s="80">
        <v>0</v>
      </c>
      <c r="AG319" s="80">
        <v>0</v>
      </c>
      <c r="AH319" s="80">
        <v>0</v>
      </c>
      <c r="AI319" s="79">
        <v>46230.729074074072</v>
      </c>
    </row>
    <row r="320" spans="1:35" x14ac:dyDescent="0.3">
      <c r="A320" t="s">
        <v>883</v>
      </c>
      <c r="B320">
        <v>311</v>
      </c>
      <c r="C320">
        <v>311</v>
      </c>
      <c r="D320">
        <v>1</v>
      </c>
      <c r="E320" s="80">
        <v>2105830.4128999999</v>
      </c>
      <c r="F320" s="80">
        <v>2105830.4038239541</v>
      </c>
      <c r="G320" s="80">
        <v>992420.83368657948</v>
      </c>
      <c r="H320" s="80">
        <v>733396.73566486547</v>
      </c>
      <c r="I320" s="80">
        <v>511174.77127498225</v>
      </c>
      <c r="J320" s="80">
        <v>29330.584867819332</v>
      </c>
      <c r="K320" s="80">
        <v>61453.190411893025</v>
      </c>
      <c r="L320" s="80">
        <v>26026.423713412885</v>
      </c>
      <c r="M320" s="80">
        <v>16670.191344726343</v>
      </c>
      <c r="N320" s="80">
        <v>0</v>
      </c>
      <c r="O320" s="80">
        <v>0</v>
      </c>
      <c r="P320" s="80">
        <v>118745.2697360805</v>
      </c>
      <c r="Q320" s="80">
        <v>0</v>
      </c>
      <c r="R320" s="80">
        <v>23468.629292507088</v>
      </c>
      <c r="S320" s="80">
        <v>381848.65926349571</v>
      </c>
      <c r="T320" s="80">
        <v>135000.00111600003</v>
      </c>
      <c r="U320" s="80">
        <v>0</v>
      </c>
      <c r="V320" s="80">
        <v>15000.000124</v>
      </c>
      <c r="W320" s="80">
        <v>0</v>
      </c>
      <c r="X320" s="80">
        <v>70386.138358894066</v>
      </c>
      <c r="Y320" s="80">
        <v>0</v>
      </c>
      <c r="Z320" s="80">
        <v>0</v>
      </c>
      <c r="AA320" s="80">
        <v>0</v>
      </c>
      <c r="AB320" s="80">
        <v>0</v>
      </c>
      <c r="AC320" s="80">
        <v>0</v>
      </c>
      <c r="AD320" s="80">
        <v>0</v>
      </c>
      <c r="AE320" s="80">
        <v>0</v>
      </c>
      <c r="AF320" s="80">
        <v>0</v>
      </c>
      <c r="AG320" s="80">
        <v>0</v>
      </c>
      <c r="AH320" s="80">
        <v>0</v>
      </c>
      <c r="AI320" s="79">
        <v>46230.729166666664</v>
      </c>
    </row>
    <row r="321" spans="1:35" x14ac:dyDescent="0.3">
      <c r="A321" t="s">
        <v>884</v>
      </c>
      <c r="B321">
        <v>312</v>
      </c>
      <c r="C321">
        <v>312</v>
      </c>
      <c r="D321">
        <v>1</v>
      </c>
      <c r="E321" s="80">
        <v>9412875.1510000005</v>
      </c>
      <c r="F321" s="80">
        <v>9412875.1389882769</v>
      </c>
      <c r="G321" s="80">
        <v>4513998.40496899</v>
      </c>
      <c r="H321" s="80">
        <v>3201296.8648135443</v>
      </c>
      <c r="I321" s="80">
        <v>2646850.3233168069</v>
      </c>
      <c r="J321" s="80">
        <v>124754.84036917749</v>
      </c>
      <c r="K321" s="80">
        <v>368959.14419290121</v>
      </c>
      <c r="L321" s="80">
        <v>149545.27968964595</v>
      </c>
      <c r="M321" s="80">
        <v>95895.251306181162</v>
      </c>
      <c r="N321" s="80">
        <v>0</v>
      </c>
      <c r="O321" s="80">
        <v>0</v>
      </c>
      <c r="P321" s="80">
        <v>541664.38897267275</v>
      </c>
      <c r="Q321" s="80">
        <v>0</v>
      </c>
      <c r="R321" s="80">
        <v>127777.88693104008</v>
      </c>
      <c r="S321" s="80">
        <v>1317405.1577432398</v>
      </c>
      <c r="T321" s="80">
        <v>437811.74799160974</v>
      </c>
      <c r="U321" s="80">
        <v>0</v>
      </c>
      <c r="V321" s="80">
        <v>269595.75977485033</v>
      </c>
      <c r="W321" s="80">
        <v>0</v>
      </c>
      <c r="X321" s="80">
        <v>225613.64405873985</v>
      </c>
      <c r="Y321" s="80">
        <v>0</v>
      </c>
      <c r="Z321" s="80">
        <v>0</v>
      </c>
      <c r="AA321" s="80">
        <v>1600.1011340115761</v>
      </c>
      <c r="AB321" s="80">
        <v>0</v>
      </c>
      <c r="AC321" s="80">
        <v>0</v>
      </c>
      <c r="AD321" s="80">
        <v>0</v>
      </c>
      <c r="AE321" s="80">
        <v>0</v>
      </c>
      <c r="AF321" s="80">
        <v>0</v>
      </c>
      <c r="AG321" s="80">
        <v>0</v>
      </c>
      <c r="AH321" s="80">
        <v>0</v>
      </c>
      <c r="AI321" s="79">
        <v>46230.729328703703</v>
      </c>
    </row>
    <row r="322" spans="1:35" x14ac:dyDescent="0.3">
      <c r="A322" t="s">
        <v>885</v>
      </c>
      <c r="B322">
        <v>313</v>
      </c>
      <c r="C322">
        <v>313</v>
      </c>
      <c r="D322">
        <v>1</v>
      </c>
      <c r="E322" s="80">
        <v>2147566.7644000002</v>
      </c>
      <c r="F322" s="80">
        <v>2147566.7618715772</v>
      </c>
      <c r="G322" s="80">
        <v>2050485.7085634049</v>
      </c>
      <c r="H322" s="80">
        <v>70185.829343705613</v>
      </c>
      <c r="I322" s="80">
        <v>0</v>
      </c>
      <c r="J322" s="80">
        <v>99999.999750000003</v>
      </c>
      <c r="K322" s="80">
        <v>133188.55296824683</v>
      </c>
      <c r="L322" s="80">
        <v>151.83730800399871</v>
      </c>
      <c r="M322" s="80">
        <v>151.83730800399871</v>
      </c>
      <c r="N322" s="80">
        <v>97081.053308172515</v>
      </c>
      <c r="O322" s="80">
        <v>97081.053308172515</v>
      </c>
      <c r="P322" s="80">
        <v>1207424.7428985646</v>
      </c>
      <c r="Q322" s="80">
        <v>0</v>
      </c>
      <c r="R322" s="80">
        <v>539534.74629488331</v>
      </c>
      <c r="S322" s="80">
        <v>0</v>
      </c>
      <c r="T322" s="80">
        <v>0</v>
      </c>
      <c r="U322" s="80">
        <v>0</v>
      </c>
      <c r="V322" s="80">
        <v>0</v>
      </c>
      <c r="W322" s="80">
        <v>0</v>
      </c>
      <c r="X322" s="80">
        <v>0</v>
      </c>
      <c r="Y322" s="80">
        <v>0</v>
      </c>
      <c r="Z322" s="80">
        <v>0</v>
      </c>
      <c r="AA322" s="80">
        <v>0</v>
      </c>
      <c r="AB322" s="80">
        <v>0</v>
      </c>
      <c r="AC322" s="80">
        <v>0</v>
      </c>
      <c r="AD322" s="80">
        <v>0</v>
      </c>
      <c r="AE322" s="80">
        <v>0</v>
      </c>
      <c r="AF322" s="80">
        <v>0</v>
      </c>
      <c r="AG322" s="80">
        <v>0</v>
      </c>
      <c r="AH322" s="80">
        <v>0</v>
      </c>
      <c r="AI322" s="79">
        <v>46230.729432870372</v>
      </c>
    </row>
    <row r="323" spans="1:35" x14ac:dyDescent="0.3">
      <c r="A323" t="s">
        <v>886</v>
      </c>
      <c r="B323">
        <v>314</v>
      </c>
      <c r="C323">
        <v>314</v>
      </c>
      <c r="D323">
        <v>1</v>
      </c>
      <c r="E323" s="80">
        <v>3763012.0430000001</v>
      </c>
      <c r="F323" s="80">
        <v>3763012.0428496925</v>
      </c>
      <c r="G323" s="80">
        <v>3763012.0428496925</v>
      </c>
      <c r="H323" s="80">
        <v>3763012.0428496925</v>
      </c>
      <c r="I323" s="80">
        <v>0</v>
      </c>
      <c r="J323" s="80">
        <v>0</v>
      </c>
      <c r="K323" s="80">
        <v>0</v>
      </c>
      <c r="L323" s="80">
        <v>0</v>
      </c>
      <c r="M323" s="80">
        <v>0</v>
      </c>
      <c r="N323" s="80">
        <v>0</v>
      </c>
      <c r="O323" s="80">
        <v>0</v>
      </c>
      <c r="P323" s="80">
        <v>0</v>
      </c>
      <c r="Q323" s="80">
        <v>0</v>
      </c>
      <c r="R323" s="80">
        <v>0</v>
      </c>
      <c r="S323" s="80">
        <v>0</v>
      </c>
      <c r="T323" s="80">
        <v>0</v>
      </c>
      <c r="U323" s="80">
        <v>0</v>
      </c>
      <c r="V323" s="80">
        <v>0</v>
      </c>
      <c r="W323" s="80">
        <v>0</v>
      </c>
      <c r="X323" s="80">
        <v>0</v>
      </c>
      <c r="Y323" s="80">
        <v>0</v>
      </c>
      <c r="Z323" s="80">
        <v>0</v>
      </c>
      <c r="AA323" s="80">
        <v>0</v>
      </c>
      <c r="AB323" s="80">
        <v>0</v>
      </c>
      <c r="AC323" s="80">
        <v>0</v>
      </c>
      <c r="AD323" s="80">
        <v>0</v>
      </c>
      <c r="AE323" s="80">
        <v>0</v>
      </c>
      <c r="AF323" s="80">
        <v>0</v>
      </c>
      <c r="AG323" s="80">
        <v>0</v>
      </c>
      <c r="AH323" s="80">
        <v>0</v>
      </c>
      <c r="AI323" s="79">
        <v>46230.729525462964</v>
      </c>
    </row>
    <row r="324" spans="1:35" x14ac:dyDescent="0.3">
      <c r="A324" t="s">
        <v>887</v>
      </c>
      <c r="B324">
        <v>315</v>
      </c>
      <c r="C324">
        <v>315</v>
      </c>
      <c r="D324">
        <v>1</v>
      </c>
      <c r="E324" s="80">
        <v>1554125.9850000001</v>
      </c>
      <c r="F324" s="80">
        <v>1554125.9880977732</v>
      </c>
      <c r="G324" s="80">
        <v>1554125.9880977732</v>
      </c>
      <c r="H324" s="80">
        <v>1554125.9880977732</v>
      </c>
      <c r="I324" s="80">
        <v>0</v>
      </c>
      <c r="J324" s="80">
        <v>0</v>
      </c>
      <c r="K324" s="80">
        <v>0</v>
      </c>
      <c r="L324" s="80">
        <v>0</v>
      </c>
      <c r="M324" s="80">
        <v>0</v>
      </c>
      <c r="N324" s="80">
        <v>0</v>
      </c>
      <c r="O324" s="80">
        <v>0</v>
      </c>
      <c r="P324" s="80">
        <v>0</v>
      </c>
      <c r="Q324" s="80">
        <v>0</v>
      </c>
      <c r="R324" s="80">
        <v>0</v>
      </c>
      <c r="S324" s="80">
        <v>0</v>
      </c>
      <c r="T324" s="80">
        <v>0</v>
      </c>
      <c r="U324" s="80">
        <v>0</v>
      </c>
      <c r="V324" s="80">
        <v>0</v>
      </c>
      <c r="W324" s="80">
        <v>0</v>
      </c>
      <c r="X324" s="80">
        <v>0</v>
      </c>
      <c r="Y324" s="80">
        <v>0</v>
      </c>
      <c r="Z324" s="80">
        <v>0</v>
      </c>
      <c r="AA324" s="80">
        <v>0</v>
      </c>
      <c r="AB324" s="80">
        <v>0</v>
      </c>
      <c r="AC324" s="80">
        <v>0</v>
      </c>
      <c r="AD324" s="80">
        <v>0</v>
      </c>
      <c r="AE324" s="80">
        <v>0</v>
      </c>
      <c r="AF324" s="80">
        <v>0</v>
      </c>
      <c r="AG324" s="80">
        <v>0</v>
      </c>
      <c r="AH324" s="80">
        <v>0</v>
      </c>
      <c r="AI324" s="79">
        <v>46230.729675925926</v>
      </c>
    </row>
    <row r="325" spans="1:35" x14ac:dyDescent="0.3">
      <c r="A325" t="s">
        <v>888</v>
      </c>
      <c r="B325">
        <v>316</v>
      </c>
      <c r="C325">
        <v>316</v>
      </c>
      <c r="D325">
        <v>1</v>
      </c>
      <c r="E325" s="80">
        <v>965053.38509999996</v>
      </c>
      <c r="F325" s="80">
        <v>965053.38504796603</v>
      </c>
      <c r="G325" s="80">
        <v>0</v>
      </c>
      <c r="H325" s="80">
        <v>0</v>
      </c>
      <c r="I325" s="80">
        <v>0</v>
      </c>
      <c r="J325" s="80">
        <v>0</v>
      </c>
      <c r="K325" s="80">
        <v>0</v>
      </c>
      <c r="L325" s="80">
        <v>0</v>
      </c>
      <c r="M325" s="80">
        <v>0</v>
      </c>
      <c r="N325" s="80">
        <v>0</v>
      </c>
      <c r="O325" s="80">
        <v>0</v>
      </c>
      <c r="P325" s="80">
        <v>0</v>
      </c>
      <c r="Q325" s="80">
        <v>0</v>
      </c>
      <c r="R325" s="80">
        <v>0</v>
      </c>
      <c r="S325" s="80">
        <v>570129.7494342858</v>
      </c>
      <c r="T325" s="80">
        <v>110000</v>
      </c>
      <c r="U325" s="80">
        <v>0</v>
      </c>
      <c r="V325" s="80">
        <v>0</v>
      </c>
      <c r="W325" s="80">
        <v>0</v>
      </c>
      <c r="X325" s="80">
        <v>284923.63561368018</v>
      </c>
      <c r="Y325" s="80">
        <v>0</v>
      </c>
      <c r="Z325" s="80">
        <v>0</v>
      </c>
      <c r="AA325" s="80">
        <v>0</v>
      </c>
      <c r="AB325" s="80">
        <v>0</v>
      </c>
      <c r="AC325" s="80">
        <v>0</v>
      </c>
      <c r="AD325" s="80">
        <v>0</v>
      </c>
      <c r="AE325" s="80">
        <v>0</v>
      </c>
      <c r="AF325" s="80">
        <v>0</v>
      </c>
      <c r="AG325" s="80">
        <v>0</v>
      </c>
      <c r="AH325" s="80">
        <v>0</v>
      </c>
      <c r="AI325" s="79">
        <v>46230.729849537034</v>
      </c>
    </row>
    <row r="326" spans="1:35" x14ac:dyDescent="0.3">
      <c r="A326" t="s">
        <v>889</v>
      </c>
      <c r="B326">
        <v>317</v>
      </c>
      <c r="C326">
        <v>317</v>
      </c>
      <c r="D326">
        <v>1</v>
      </c>
      <c r="E326" s="80">
        <v>11664168.647700001</v>
      </c>
      <c r="F326" s="80">
        <v>11664168.647911305</v>
      </c>
      <c r="G326" s="80">
        <v>8518034.8603591919</v>
      </c>
      <c r="H326" s="80">
        <v>4862323.8677341472</v>
      </c>
      <c r="I326" s="80">
        <v>512261.21898717433</v>
      </c>
      <c r="J326" s="80">
        <v>770713.72495809605</v>
      </c>
      <c r="K326" s="80">
        <v>1036974.1192746129</v>
      </c>
      <c r="L326" s="80">
        <v>689454.2237711834</v>
      </c>
      <c r="M326" s="80">
        <v>557417.07560784975</v>
      </c>
      <c r="N326" s="80">
        <v>739636.81948671152</v>
      </c>
      <c r="O326" s="80">
        <v>739252.85688953218</v>
      </c>
      <c r="P326" s="80">
        <v>834684.76072791265</v>
      </c>
      <c r="Q326" s="80">
        <v>0</v>
      </c>
      <c r="R326" s="80">
        <v>323884.16389324109</v>
      </c>
      <c r="S326" s="80">
        <v>571070.85687469388</v>
      </c>
      <c r="T326" s="80">
        <v>354955.15903770272</v>
      </c>
      <c r="U326" s="80">
        <v>256565.57383510299</v>
      </c>
      <c r="V326" s="80">
        <v>163959.64020949177</v>
      </c>
      <c r="W326" s="80">
        <v>245965.18643553028</v>
      </c>
      <c r="X326" s="80">
        <v>248487.62897816385</v>
      </c>
      <c r="Y326" s="80">
        <v>110953.57286674419</v>
      </c>
      <c r="Z326" s="80">
        <v>29082.943482368224</v>
      </c>
      <c r="AA326" s="80">
        <v>21051.633359321488</v>
      </c>
      <c r="AB326" s="80">
        <v>0</v>
      </c>
      <c r="AC326" s="80">
        <v>0</v>
      </c>
      <c r="AD326" s="80">
        <v>0</v>
      </c>
      <c r="AE326" s="80">
        <v>0</v>
      </c>
      <c r="AF326" s="80">
        <v>0</v>
      </c>
      <c r="AG326" s="80">
        <v>0</v>
      </c>
      <c r="AH326" s="80">
        <v>0</v>
      </c>
      <c r="AI326" s="79">
        <v>46230.729930555557</v>
      </c>
    </row>
    <row r="327" spans="1:35" x14ac:dyDescent="0.3">
      <c r="A327" t="s">
        <v>890</v>
      </c>
      <c r="B327">
        <v>318</v>
      </c>
      <c r="C327">
        <v>318</v>
      </c>
      <c r="D327">
        <v>1</v>
      </c>
      <c r="E327" s="80">
        <v>16659560.177100001</v>
      </c>
      <c r="F327" s="80">
        <v>16659560.176835703</v>
      </c>
      <c r="G327" s="80">
        <v>11877982.178779921</v>
      </c>
      <c r="H327" s="80">
        <v>4982473.0439669453</v>
      </c>
      <c r="I327" s="80">
        <v>1008574.9187715848</v>
      </c>
      <c r="J327" s="80">
        <v>1558510.5107545846</v>
      </c>
      <c r="K327" s="80">
        <v>1374507.7760403005</v>
      </c>
      <c r="L327" s="80">
        <v>447753.94066049508</v>
      </c>
      <c r="M327" s="80">
        <v>376398.1874277459</v>
      </c>
      <c r="N327" s="80">
        <v>0</v>
      </c>
      <c r="O327" s="80">
        <v>0</v>
      </c>
      <c r="P327" s="80">
        <v>2450075.4778345134</v>
      </c>
      <c r="Q327" s="80">
        <v>0</v>
      </c>
      <c r="R327" s="80">
        <v>1064661.4295230734</v>
      </c>
      <c r="S327" s="80">
        <v>2751444.6067450903</v>
      </c>
      <c r="T327" s="80">
        <v>245658.5475091977</v>
      </c>
      <c r="U327" s="80">
        <v>0</v>
      </c>
      <c r="V327" s="80">
        <v>146175.33589958833</v>
      </c>
      <c r="W327" s="80">
        <v>0</v>
      </c>
      <c r="X327" s="80">
        <v>629724.58913033595</v>
      </c>
      <c r="Y327" s="80">
        <v>0</v>
      </c>
      <c r="Z327" s="80">
        <v>0</v>
      </c>
      <c r="AA327" s="80">
        <v>0</v>
      </c>
      <c r="AB327" s="80">
        <v>0</v>
      </c>
      <c r="AC327" s="80">
        <v>0</v>
      </c>
      <c r="AD327" s="80">
        <v>0</v>
      </c>
      <c r="AE327" s="80">
        <v>0</v>
      </c>
      <c r="AF327" s="80">
        <v>0</v>
      </c>
      <c r="AG327" s="80">
        <v>0</v>
      </c>
      <c r="AH327" s="80">
        <v>0</v>
      </c>
      <c r="AI327" s="79">
        <v>46230.730057870373</v>
      </c>
    </row>
    <row r="328" spans="1:35" x14ac:dyDescent="0.3">
      <c r="A328" t="s">
        <v>891</v>
      </c>
      <c r="B328">
        <v>319</v>
      </c>
      <c r="C328">
        <v>319</v>
      </c>
      <c r="D328">
        <v>1</v>
      </c>
      <c r="E328" s="80">
        <v>15135320.111099999</v>
      </c>
      <c r="F328" s="80">
        <v>15135320.110975955</v>
      </c>
      <c r="G328" s="80">
        <v>8219510.0933578173</v>
      </c>
      <c r="H328" s="80">
        <v>3937658.0770337419</v>
      </c>
      <c r="I328" s="80">
        <v>1140329.7083030604</v>
      </c>
      <c r="J328" s="80">
        <v>1104346.7134433622</v>
      </c>
      <c r="K328" s="80">
        <v>1110565.9563156413</v>
      </c>
      <c r="L328" s="80">
        <v>921909.30490292783</v>
      </c>
      <c r="M328" s="80">
        <v>663606.35916219873</v>
      </c>
      <c r="N328" s="80">
        <v>2245478.6396976924</v>
      </c>
      <c r="O328" s="80">
        <v>2223714.6777669811</v>
      </c>
      <c r="P328" s="80">
        <v>669547.39560929092</v>
      </c>
      <c r="Q328" s="80">
        <v>889407.41962265188</v>
      </c>
      <c r="R328" s="80">
        <v>475482.64605285274</v>
      </c>
      <c r="S328" s="80">
        <v>402315.58613743371</v>
      </c>
      <c r="T328" s="80">
        <v>542950.73814313149</v>
      </c>
      <c r="U328" s="80">
        <v>557565.57252220239</v>
      </c>
      <c r="V328" s="80">
        <v>291431.94306442316</v>
      </c>
      <c r="W328" s="80">
        <v>521203.29820915329</v>
      </c>
      <c r="X328" s="80">
        <v>176089.52754148631</v>
      </c>
      <c r="Y328" s="80">
        <v>234160.71892132662</v>
      </c>
      <c r="Z328" s="80">
        <v>113698.46956605065</v>
      </c>
      <c r="AA328" s="80">
        <v>24572.888480328478</v>
      </c>
      <c r="AB328" s="80">
        <v>0</v>
      </c>
      <c r="AC328" s="80">
        <v>0</v>
      </c>
      <c r="AD328" s="80">
        <v>0</v>
      </c>
      <c r="AE328" s="80">
        <v>0</v>
      </c>
      <c r="AF328" s="80">
        <v>0</v>
      </c>
      <c r="AG328" s="80">
        <v>0</v>
      </c>
      <c r="AH328" s="80">
        <v>0</v>
      </c>
      <c r="AI328" s="79">
        <v>46230.730185185188</v>
      </c>
    </row>
    <row r="329" spans="1:35" x14ac:dyDescent="0.3">
      <c r="A329" t="s">
        <v>542</v>
      </c>
      <c r="B329">
        <v>320</v>
      </c>
      <c r="C329">
        <v>320</v>
      </c>
      <c r="D329">
        <v>1</v>
      </c>
      <c r="E329" s="80">
        <v>14412326.6818</v>
      </c>
      <c r="F329" s="80">
        <v>14412326.682281489</v>
      </c>
      <c r="G329" s="80">
        <v>10681655.101278665</v>
      </c>
      <c r="H329" s="80">
        <v>3525686.6392846704</v>
      </c>
      <c r="I329" s="80">
        <v>0</v>
      </c>
      <c r="J329" s="80">
        <v>2373587.495139908</v>
      </c>
      <c r="K329" s="80">
        <v>1227610.1279618628</v>
      </c>
      <c r="L329" s="80">
        <v>987053.27916831058</v>
      </c>
      <c r="M329" s="80">
        <v>891347.11030036584</v>
      </c>
      <c r="N329" s="80">
        <v>1850982.1853406357</v>
      </c>
      <c r="O329" s="80">
        <v>1850982.1853406357</v>
      </c>
      <c r="P329" s="80">
        <v>1468688.9310402926</v>
      </c>
      <c r="Q329" s="80">
        <v>1633086.2795334717</v>
      </c>
      <c r="R329" s="80">
        <v>1099028.6286836253</v>
      </c>
      <c r="S329" s="80">
        <v>142394.16409232296</v>
      </c>
      <c r="T329" s="80">
        <v>37710.762147593094</v>
      </c>
      <c r="U329" s="80">
        <v>0</v>
      </c>
      <c r="V329" s="80">
        <v>4339.6246170120303</v>
      </c>
      <c r="W329" s="80">
        <v>0</v>
      </c>
      <c r="X329" s="80">
        <v>51532.456451885351</v>
      </c>
      <c r="Y329" s="80">
        <v>0</v>
      </c>
      <c r="Z329" s="80">
        <v>10626.108819891242</v>
      </c>
      <c r="AA329" s="80">
        <v>0</v>
      </c>
      <c r="AB329" s="80">
        <v>0</v>
      </c>
      <c r="AC329" s="80">
        <v>0</v>
      </c>
      <c r="AD329" s="80">
        <v>0</v>
      </c>
      <c r="AE329" s="80">
        <v>0</v>
      </c>
      <c r="AF329" s="80">
        <v>0</v>
      </c>
      <c r="AG329" s="80">
        <v>0</v>
      </c>
      <c r="AH329" s="80">
        <v>0</v>
      </c>
      <c r="AI329" s="79">
        <v>46230.730266203704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BCD31-8CA3-4E10-86B1-85B09C31D971}">
  <dimension ref="A1:AI9"/>
  <sheetViews>
    <sheetView workbookViewId="0">
      <selection activeCell="B25" sqref="B25"/>
    </sheetView>
  </sheetViews>
  <sheetFormatPr defaultRowHeight="14.4" x14ac:dyDescent="0.3"/>
  <cols>
    <col min="1" max="1" width="49.21875" bestFit="1" customWidth="1"/>
    <col min="2" max="2" width="16.77734375" bestFit="1" customWidth="1"/>
    <col min="3" max="3" width="10.44140625" bestFit="1" customWidth="1"/>
    <col min="4" max="4" width="13.6640625" style="80" bestFit="1" customWidth="1"/>
    <col min="5" max="5" width="11.5546875" bestFit="1" customWidth="1"/>
  </cols>
  <sheetData>
    <row r="1" spans="1:35" x14ac:dyDescent="0.3">
      <c r="A1" s="75" t="s">
        <v>598</v>
      </c>
      <c r="B1" s="75" t="s">
        <v>599</v>
      </c>
      <c r="C1" s="75" t="s">
        <v>600</v>
      </c>
      <c r="D1" s="75" t="s">
        <v>601</v>
      </c>
      <c r="E1" s="76" t="s">
        <v>602</v>
      </c>
      <c r="F1" s="75" t="s">
        <v>603</v>
      </c>
      <c r="G1" s="75" t="s">
        <v>604</v>
      </c>
      <c r="H1" s="75" t="s">
        <v>605</v>
      </c>
      <c r="I1" s="75" t="s">
        <v>606</v>
      </c>
      <c r="J1" s="75" t="s">
        <v>607</v>
      </c>
      <c r="K1" s="75" t="s">
        <v>608</v>
      </c>
      <c r="L1" s="75" t="s">
        <v>609</v>
      </c>
      <c r="M1" s="75" t="s">
        <v>610</v>
      </c>
      <c r="N1" s="75" t="s">
        <v>611</v>
      </c>
      <c r="O1" s="75" t="s">
        <v>612</v>
      </c>
      <c r="P1" s="75" t="s">
        <v>613</v>
      </c>
      <c r="Q1" s="75" t="s">
        <v>614</v>
      </c>
      <c r="R1" s="75" t="s">
        <v>615</v>
      </c>
      <c r="S1" s="75" t="s">
        <v>616</v>
      </c>
      <c r="T1" s="75" t="s">
        <v>617</v>
      </c>
      <c r="U1" s="75" t="s">
        <v>618</v>
      </c>
      <c r="V1" s="75" t="s">
        <v>619</v>
      </c>
      <c r="W1" s="75" t="s">
        <v>620</v>
      </c>
      <c r="X1" s="75" t="s">
        <v>621</v>
      </c>
      <c r="Y1" s="75" t="s">
        <v>622</v>
      </c>
      <c r="Z1" s="75" t="s">
        <v>623</v>
      </c>
      <c r="AA1" s="75" t="s">
        <v>624</v>
      </c>
      <c r="AB1" s="75" t="s">
        <v>625</v>
      </c>
      <c r="AC1" s="75" t="s">
        <v>626</v>
      </c>
      <c r="AD1" s="75" t="s">
        <v>627</v>
      </c>
      <c r="AE1" s="75" t="s">
        <v>628</v>
      </c>
      <c r="AF1" s="75" t="s">
        <v>629</v>
      </c>
      <c r="AG1" s="75" t="s">
        <v>630</v>
      </c>
      <c r="AH1" s="75" t="s">
        <v>631</v>
      </c>
      <c r="AI1" s="77" t="s">
        <v>632</v>
      </c>
    </row>
    <row r="2" spans="1:35" x14ac:dyDescent="0.3">
      <c r="A2" t="s">
        <v>522</v>
      </c>
      <c r="B2">
        <v>10</v>
      </c>
      <c r="C2">
        <v>10</v>
      </c>
      <c r="D2">
        <v>1</v>
      </c>
      <c r="E2" s="78">
        <v>13448322.135600001</v>
      </c>
      <c r="F2">
        <v>13448322.132843059</v>
      </c>
      <c r="G2">
        <v>13433757.554322701</v>
      </c>
      <c r="H2">
        <v>13393320.169207349</v>
      </c>
      <c r="I2">
        <v>27835.403693477954</v>
      </c>
      <c r="J2">
        <v>12601.981421872635</v>
      </c>
      <c r="K2">
        <v>12027.441405314337</v>
      </c>
      <c r="L2">
        <v>2537.1371150429586</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s="79">
        <v>46226.615358796298</v>
      </c>
    </row>
    <row r="3" spans="1:35" x14ac:dyDescent="0.3">
      <c r="A3" t="s">
        <v>633</v>
      </c>
      <c r="B3">
        <v>11</v>
      </c>
      <c r="C3">
        <v>11</v>
      </c>
      <c r="D3">
        <v>1</v>
      </c>
      <c r="E3" s="78">
        <v>3276270.7954000002</v>
      </c>
      <c r="F3">
        <v>3276270.7951804972</v>
      </c>
      <c r="G3">
        <v>3276270.7951804972</v>
      </c>
      <c r="H3">
        <v>596403.35520629212</v>
      </c>
      <c r="I3">
        <v>65221.97189682124</v>
      </c>
      <c r="J3">
        <v>442904.23524871084</v>
      </c>
      <c r="K3">
        <v>0</v>
      </c>
      <c r="L3">
        <v>0</v>
      </c>
      <c r="M3">
        <v>0</v>
      </c>
      <c r="N3">
        <v>0</v>
      </c>
      <c r="O3">
        <v>0</v>
      </c>
      <c r="P3">
        <v>64973.965606880127</v>
      </c>
      <c r="Q3">
        <v>0</v>
      </c>
      <c r="R3">
        <v>0</v>
      </c>
      <c r="S3">
        <v>0</v>
      </c>
      <c r="T3">
        <v>0</v>
      </c>
      <c r="U3">
        <v>0</v>
      </c>
      <c r="V3">
        <v>596934.51651264261</v>
      </c>
      <c r="W3">
        <v>582983.12606793013</v>
      </c>
      <c r="X3">
        <v>991823.5902480993</v>
      </c>
      <c r="Y3">
        <v>0</v>
      </c>
      <c r="Z3">
        <v>0</v>
      </c>
      <c r="AA3">
        <v>0</v>
      </c>
      <c r="AB3">
        <v>0</v>
      </c>
      <c r="AC3">
        <v>0</v>
      </c>
      <c r="AD3">
        <v>0</v>
      </c>
      <c r="AE3">
        <v>0</v>
      </c>
      <c r="AF3">
        <v>0</v>
      </c>
      <c r="AG3">
        <v>0</v>
      </c>
      <c r="AH3">
        <v>0</v>
      </c>
      <c r="AI3" s="79">
        <v>46226.615405092591</v>
      </c>
    </row>
    <row r="4" spans="1:35" x14ac:dyDescent="0.3">
      <c r="A4" t="s">
        <v>634</v>
      </c>
      <c r="B4">
        <v>12</v>
      </c>
      <c r="C4">
        <v>12</v>
      </c>
      <c r="D4">
        <v>1</v>
      </c>
      <c r="E4" s="78">
        <v>3515844.9342999998</v>
      </c>
      <c r="F4">
        <v>3515844.9347825721</v>
      </c>
      <c r="G4">
        <v>2364593.5933654904</v>
      </c>
      <c r="H4">
        <v>1423618.8816438532</v>
      </c>
      <c r="I4">
        <v>24162.022925371952</v>
      </c>
      <c r="J4">
        <v>153004.34475747778</v>
      </c>
      <c r="K4">
        <v>2550.3091080275285</v>
      </c>
      <c r="L4">
        <v>10000.000000000002</v>
      </c>
      <c r="M4">
        <v>14402.830577642966</v>
      </c>
      <c r="N4">
        <v>0</v>
      </c>
      <c r="O4">
        <v>0</v>
      </c>
      <c r="P4">
        <v>14807.618454477089</v>
      </c>
      <c r="Q4">
        <v>0</v>
      </c>
      <c r="R4">
        <v>0</v>
      </c>
      <c r="S4">
        <v>0</v>
      </c>
      <c r="T4">
        <v>0</v>
      </c>
      <c r="U4">
        <v>0</v>
      </c>
      <c r="V4">
        <v>159192.41330678514</v>
      </c>
      <c r="W4">
        <v>159663.32003739444</v>
      </c>
      <c r="X4">
        <v>444952.61069460859</v>
      </c>
      <c r="Y4">
        <v>1111808.5261464408</v>
      </c>
      <c r="Z4">
        <v>12489.675584970235</v>
      </c>
      <c r="AA4">
        <v>0</v>
      </c>
      <c r="AB4">
        <v>0</v>
      </c>
      <c r="AC4">
        <v>0</v>
      </c>
      <c r="AD4">
        <v>0</v>
      </c>
      <c r="AE4">
        <v>0</v>
      </c>
      <c r="AF4">
        <v>0</v>
      </c>
      <c r="AG4">
        <v>0</v>
      </c>
      <c r="AH4">
        <v>0</v>
      </c>
      <c r="AI4" s="79">
        <v>46226.615451388891</v>
      </c>
    </row>
    <row r="5" spans="1:35" x14ac:dyDescent="0.3">
      <c r="A5" t="s">
        <v>635</v>
      </c>
      <c r="B5">
        <v>13</v>
      </c>
      <c r="C5">
        <v>13</v>
      </c>
      <c r="D5">
        <v>1</v>
      </c>
      <c r="E5" s="78">
        <v>15581003.1721</v>
      </c>
      <c r="F5">
        <v>15581003.172120208</v>
      </c>
      <c r="G5">
        <v>15519077.841512728</v>
      </c>
      <c r="H5">
        <v>1620202.1703562276</v>
      </c>
      <c r="I5">
        <v>0</v>
      </c>
      <c r="J5">
        <v>0</v>
      </c>
      <c r="K5">
        <v>23016.7457828486</v>
      </c>
      <c r="L5">
        <v>38908.584824630401</v>
      </c>
      <c r="M5">
        <v>0</v>
      </c>
      <c r="N5">
        <v>0</v>
      </c>
      <c r="O5">
        <v>0</v>
      </c>
      <c r="P5">
        <v>0</v>
      </c>
      <c r="Q5">
        <v>0</v>
      </c>
      <c r="R5">
        <v>0</v>
      </c>
      <c r="S5">
        <v>0</v>
      </c>
      <c r="T5">
        <v>0</v>
      </c>
      <c r="U5">
        <v>0</v>
      </c>
      <c r="V5">
        <v>12574451.828209881</v>
      </c>
      <c r="W5">
        <v>901880.99088735564</v>
      </c>
      <c r="X5">
        <v>422542.85205927159</v>
      </c>
      <c r="Y5">
        <v>0</v>
      </c>
      <c r="Z5">
        <v>0</v>
      </c>
      <c r="AA5">
        <v>0</v>
      </c>
      <c r="AB5">
        <v>0</v>
      </c>
      <c r="AC5">
        <v>0</v>
      </c>
      <c r="AD5">
        <v>0</v>
      </c>
      <c r="AE5">
        <v>0</v>
      </c>
      <c r="AF5">
        <v>0</v>
      </c>
      <c r="AG5">
        <v>0</v>
      </c>
      <c r="AH5">
        <v>0</v>
      </c>
      <c r="AI5" s="79">
        <v>46226.61550925926</v>
      </c>
    </row>
    <row r="6" spans="1:35" x14ac:dyDescent="0.3">
      <c r="A6" t="s">
        <v>636</v>
      </c>
      <c r="B6">
        <v>14</v>
      </c>
      <c r="C6">
        <v>14</v>
      </c>
      <c r="D6">
        <v>1</v>
      </c>
      <c r="E6" s="78">
        <v>26866075.6129</v>
      </c>
      <c r="F6">
        <v>26866075.613012522</v>
      </c>
      <c r="G6">
        <v>26681868.089193054</v>
      </c>
      <c r="H6">
        <v>2742899.2335383873</v>
      </c>
      <c r="I6">
        <v>0</v>
      </c>
      <c r="J6">
        <v>0</v>
      </c>
      <c r="K6">
        <v>45000</v>
      </c>
      <c r="L6">
        <v>139207.5238194729</v>
      </c>
      <c r="M6">
        <v>0</v>
      </c>
      <c r="N6">
        <v>0</v>
      </c>
      <c r="O6">
        <v>0</v>
      </c>
      <c r="P6">
        <v>0</v>
      </c>
      <c r="Q6">
        <v>0</v>
      </c>
      <c r="R6">
        <v>0</v>
      </c>
      <c r="S6">
        <v>0</v>
      </c>
      <c r="T6">
        <v>0</v>
      </c>
      <c r="U6">
        <v>0</v>
      </c>
      <c r="V6">
        <v>21302652.578426186</v>
      </c>
      <c r="W6">
        <v>1845751.6394252414</v>
      </c>
      <c r="X6">
        <v>790564.63780323975</v>
      </c>
      <c r="Y6">
        <v>0</v>
      </c>
      <c r="Z6">
        <v>0</v>
      </c>
      <c r="AA6">
        <v>0</v>
      </c>
      <c r="AB6">
        <v>0</v>
      </c>
      <c r="AC6">
        <v>0</v>
      </c>
      <c r="AD6">
        <v>0</v>
      </c>
      <c r="AE6">
        <v>0</v>
      </c>
      <c r="AF6">
        <v>0</v>
      </c>
      <c r="AG6">
        <v>0</v>
      </c>
      <c r="AH6">
        <v>0</v>
      </c>
      <c r="AI6" s="79">
        <v>46226.615555555552</v>
      </c>
    </row>
    <row r="7" spans="1:35" x14ac:dyDescent="0.3">
      <c r="A7" t="s">
        <v>637</v>
      </c>
      <c r="B7">
        <v>15</v>
      </c>
      <c r="C7">
        <v>15</v>
      </c>
      <c r="D7">
        <v>1</v>
      </c>
      <c r="E7" s="78">
        <v>3958390.24</v>
      </c>
      <c r="F7">
        <v>3958390.240432776</v>
      </c>
      <c r="G7">
        <v>3820562.2001944459</v>
      </c>
      <c r="H7">
        <v>1964985.0388344522</v>
      </c>
      <c r="I7">
        <v>34179.618333274986</v>
      </c>
      <c r="J7">
        <v>248529.4530572723</v>
      </c>
      <c r="K7">
        <v>0</v>
      </c>
      <c r="L7">
        <v>0</v>
      </c>
      <c r="M7">
        <v>7926.6961841008097</v>
      </c>
      <c r="N7">
        <v>0</v>
      </c>
      <c r="O7">
        <v>0</v>
      </c>
      <c r="P7">
        <v>33049.325395016494</v>
      </c>
      <c r="Q7">
        <v>0</v>
      </c>
      <c r="R7">
        <v>0</v>
      </c>
      <c r="S7">
        <v>0</v>
      </c>
      <c r="T7">
        <v>0</v>
      </c>
      <c r="U7">
        <v>0</v>
      </c>
      <c r="V7">
        <v>311107.61060381989</v>
      </c>
      <c r="W7">
        <v>289426.69172900973</v>
      </c>
      <c r="X7">
        <v>972333.78763661685</v>
      </c>
      <c r="Y7">
        <v>117134.97712564596</v>
      </c>
      <c r="Z7">
        <v>12766.366928585117</v>
      </c>
      <c r="AA7">
        <v>0</v>
      </c>
      <c r="AB7">
        <v>0</v>
      </c>
      <c r="AC7">
        <v>0</v>
      </c>
      <c r="AD7">
        <v>0</v>
      </c>
      <c r="AE7">
        <v>0</v>
      </c>
      <c r="AF7">
        <v>0</v>
      </c>
      <c r="AG7">
        <v>0</v>
      </c>
      <c r="AH7">
        <v>0</v>
      </c>
      <c r="AI7" s="79">
        <v>46226.615613425929</v>
      </c>
    </row>
    <row r="8" spans="1:35" x14ac:dyDescent="0.3">
      <c r="A8" t="s">
        <v>638</v>
      </c>
      <c r="B8">
        <v>16</v>
      </c>
      <c r="C8">
        <v>16</v>
      </c>
      <c r="D8">
        <v>1</v>
      </c>
      <c r="E8" s="78">
        <v>3524638.5639</v>
      </c>
      <c r="F8">
        <v>3524638.5624861624</v>
      </c>
      <c r="G8">
        <v>1704435.5865921695</v>
      </c>
      <c r="H8">
        <v>64955.912697120119</v>
      </c>
      <c r="I8">
        <v>0</v>
      </c>
      <c r="J8">
        <v>0</v>
      </c>
      <c r="K8">
        <v>0</v>
      </c>
      <c r="L8">
        <v>0</v>
      </c>
      <c r="M8">
        <v>204112.62452100226</v>
      </c>
      <c r="N8">
        <v>0</v>
      </c>
      <c r="O8">
        <v>0</v>
      </c>
      <c r="P8">
        <v>0</v>
      </c>
      <c r="Q8">
        <v>0</v>
      </c>
      <c r="R8">
        <v>0</v>
      </c>
      <c r="S8">
        <v>0</v>
      </c>
      <c r="T8">
        <v>0</v>
      </c>
      <c r="U8">
        <v>0</v>
      </c>
      <c r="V8">
        <v>64880.880826414905</v>
      </c>
      <c r="W8">
        <v>587651.69331001269</v>
      </c>
      <c r="X8">
        <v>986947.09975862142</v>
      </c>
      <c r="Y8">
        <v>1147273.6073691379</v>
      </c>
      <c r="Z8">
        <v>468816.74400385207</v>
      </c>
      <c r="AA8">
        <v>0</v>
      </c>
      <c r="AB8">
        <v>0</v>
      </c>
      <c r="AC8">
        <v>0</v>
      </c>
      <c r="AD8">
        <v>0</v>
      </c>
      <c r="AE8">
        <v>0</v>
      </c>
      <c r="AF8">
        <v>0</v>
      </c>
      <c r="AG8">
        <v>0</v>
      </c>
      <c r="AH8">
        <v>0</v>
      </c>
      <c r="AI8" s="79">
        <v>46226.615659722222</v>
      </c>
    </row>
    <row r="9" spans="1:35" x14ac:dyDescent="0.3">
      <c r="A9" t="s">
        <v>639</v>
      </c>
      <c r="B9">
        <v>17</v>
      </c>
      <c r="C9">
        <v>17</v>
      </c>
      <c r="D9">
        <v>1</v>
      </c>
      <c r="E9" s="78">
        <v>5017849.9711999996</v>
      </c>
      <c r="F9">
        <v>5017849.9632939845</v>
      </c>
      <c r="G9">
        <v>4098554.8118843338</v>
      </c>
      <c r="H9">
        <v>1947471.574808656</v>
      </c>
      <c r="I9">
        <v>177738.06224973628</v>
      </c>
      <c r="J9">
        <v>537826.14606681699</v>
      </c>
      <c r="K9">
        <v>0</v>
      </c>
      <c r="L9">
        <v>0</v>
      </c>
      <c r="M9">
        <v>226445.82207908845</v>
      </c>
      <c r="N9">
        <v>0</v>
      </c>
      <c r="O9">
        <v>0</v>
      </c>
      <c r="P9">
        <v>166206.66788574378</v>
      </c>
      <c r="Q9">
        <v>0</v>
      </c>
      <c r="R9">
        <v>0</v>
      </c>
      <c r="S9">
        <v>0</v>
      </c>
      <c r="T9">
        <v>0</v>
      </c>
      <c r="U9">
        <v>0</v>
      </c>
      <c r="V9">
        <v>395832.65037949465</v>
      </c>
      <c r="W9">
        <v>234939.19265456547</v>
      </c>
      <c r="X9">
        <v>804747.18572507834</v>
      </c>
      <c r="Y9">
        <v>359350.48732689954</v>
      </c>
      <c r="Z9">
        <v>333498.84200366598</v>
      </c>
      <c r="AA9">
        <v>0</v>
      </c>
      <c r="AB9">
        <v>0</v>
      </c>
      <c r="AC9">
        <v>0</v>
      </c>
      <c r="AD9">
        <v>0</v>
      </c>
      <c r="AE9">
        <v>0</v>
      </c>
      <c r="AF9">
        <v>0</v>
      </c>
      <c r="AG9">
        <v>0</v>
      </c>
      <c r="AH9">
        <v>0</v>
      </c>
      <c r="AI9" s="79">
        <v>46226.615706018521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C5874-1F95-4F2A-B5FF-26320424E5CE}">
  <dimension ref="A1:H10"/>
  <sheetViews>
    <sheetView workbookViewId="0">
      <selection activeCell="B25" sqref="B25"/>
    </sheetView>
  </sheetViews>
  <sheetFormatPr defaultRowHeight="14.4" x14ac:dyDescent="0.3"/>
  <cols>
    <col min="1" max="1" width="49.21875" bestFit="1" customWidth="1"/>
    <col min="2" max="2" width="14.6640625" bestFit="1" customWidth="1"/>
    <col min="3" max="3" width="9.109375" bestFit="1" customWidth="1"/>
    <col min="4" max="4" width="7.6640625" bestFit="1" customWidth="1"/>
    <col min="5" max="5" width="5.6640625" bestFit="1" customWidth="1"/>
    <col min="7" max="7" width="13.6640625" bestFit="1" customWidth="1"/>
    <col min="8" max="8" width="18.21875" customWidth="1"/>
  </cols>
  <sheetData>
    <row r="1" spans="1:8" x14ac:dyDescent="0.3">
      <c r="A1" s="75" t="str" cm="1">
        <f t="array" ref="A1:C10">_xlfn.UNIQUE(Prereq_result!A:C)</f>
        <v>ILSName</v>
      </c>
      <c r="B1" s="75" t="str">
        <v>ILSInstrumentID</v>
      </c>
      <c r="C1" s="75" t="str">
        <v>ActivityID</v>
      </c>
      <c r="D1" s="75" t="s">
        <v>640</v>
      </c>
      <c r="E1" s="75" t="s">
        <v>641</v>
      </c>
    </row>
    <row r="2" spans="1:8" x14ac:dyDescent="0.3">
      <c r="A2" t="str">
        <v>CB-Lightning Re Ltd. Series 2023-1 Class A Reset 2025</v>
      </c>
      <c r="B2">
        <v>10</v>
      </c>
      <c r="C2">
        <v>10</v>
      </c>
      <c r="D2" s="81">
        <f>VLOOKUP(A2,Prereq_result!$A:$E,5,0)/VLOOKUP(A2,Prereq!$A:$E,5,0)</f>
        <v>1</v>
      </c>
      <c r="E2" t="b">
        <f>IF(D2=100%, TRUE,FALSE)</f>
        <v>1</v>
      </c>
      <c r="G2" s="82" t="s">
        <v>642</v>
      </c>
      <c r="H2" s="73" t="b">
        <f>AND(E2:E9)</f>
        <v>1</v>
      </c>
    </row>
    <row r="3" spans="1:8" x14ac:dyDescent="0.3">
      <c r="A3" t="str">
        <v>CB-Recoletos Re DAC Series 2024-1 Class A</v>
      </c>
      <c r="B3">
        <v>11</v>
      </c>
      <c r="C3">
        <v>11</v>
      </c>
      <c r="D3" s="81">
        <f>VLOOKUP(A3,Prereq_result!$A:$E,5,0)/VLOOKUP(A3,Prereq!$A:$E,5,0)</f>
        <v>1</v>
      </c>
      <c r="E3" t="b">
        <f>IF(D3=100%, TRUE,FALSE)</f>
        <v>1</v>
      </c>
    </row>
    <row r="4" spans="1:8" x14ac:dyDescent="0.3">
      <c r="A4" t="str">
        <v>CB-Stabilitas Re Ltd. Series 2023-1 Class A Reset 2025</v>
      </c>
      <c r="B4">
        <v>12</v>
      </c>
      <c r="C4">
        <v>12</v>
      </c>
      <c r="D4" s="81">
        <f>VLOOKUP(A4,Prereq_result!$A:$E,5,0)/VLOOKUP(A4,Prereq!$A:$E,5,0)</f>
        <v>1</v>
      </c>
      <c r="E4" t="b">
        <f t="shared" ref="E4:E9" si="0">IF(D4=100%, TRUE,FALSE)</f>
        <v>1</v>
      </c>
    </row>
    <row r="5" spans="1:8" x14ac:dyDescent="0.3">
      <c r="A5" t="str">
        <v>CB-Cape Lookout Re Ltd. Series 2023-1 Class A Reset 2025</v>
      </c>
      <c r="B5">
        <v>13</v>
      </c>
      <c r="C5">
        <v>13</v>
      </c>
      <c r="D5" s="81">
        <f>VLOOKUP(A5,Prereq_result!$A:$E,5,0)/VLOOKUP(A5,Prereq!$A:$E,5,0)</f>
        <v>1</v>
      </c>
      <c r="E5" t="b">
        <f t="shared" si="0"/>
        <v>1</v>
      </c>
    </row>
    <row r="6" spans="1:8" x14ac:dyDescent="0.3">
      <c r="A6" t="str">
        <v>CB-Cape Lookout Re Ltd. Series 2024-1 Class A Reset 2025</v>
      </c>
      <c r="B6">
        <v>14</v>
      </c>
      <c r="C6">
        <v>14</v>
      </c>
      <c r="D6" s="81">
        <f>VLOOKUP(A6,Prereq_result!$A:$E,5,0)/VLOOKUP(A6,Prereq!$A:$E,5,0)</f>
        <v>1</v>
      </c>
      <c r="E6" t="b">
        <f t="shared" si="0"/>
        <v>1</v>
      </c>
    </row>
    <row r="7" spans="1:8" x14ac:dyDescent="0.3">
      <c r="A7" t="str">
        <v>CB-Ashera Re Ltd. Series 2024-1 Class A Reset 2025</v>
      </c>
      <c r="B7">
        <v>15</v>
      </c>
      <c r="C7">
        <v>15</v>
      </c>
      <c r="D7" s="81">
        <f>VLOOKUP(A7,Prereq_result!$A:$E,5,0)/VLOOKUP(A7,Prereq!$A:$E,5,0)</f>
        <v>1</v>
      </c>
      <c r="E7" t="b">
        <f t="shared" si="0"/>
        <v>1</v>
      </c>
    </row>
    <row r="8" spans="1:8" x14ac:dyDescent="0.3">
      <c r="A8" t="str">
        <v>CB-Ramble Re Ltd. Series 2024-1 Class A Reset 2025</v>
      </c>
      <c r="B8">
        <v>16</v>
      </c>
      <c r="C8">
        <v>16</v>
      </c>
      <c r="D8" s="81">
        <f>VLOOKUP(A8,Prereq_result!$A:$E,5,0)/VLOOKUP(A8,Prereq!$A:$E,5,0)</f>
        <v>1</v>
      </c>
      <c r="E8" t="b">
        <f t="shared" si="0"/>
        <v>1</v>
      </c>
    </row>
    <row r="9" spans="1:8" x14ac:dyDescent="0.3">
      <c r="A9" t="str">
        <v>CB-Galileo Re Ltd. Series 2023-1 Class A Reset 2025</v>
      </c>
      <c r="B9">
        <v>17</v>
      </c>
      <c r="C9">
        <v>17</v>
      </c>
      <c r="D9" s="81">
        <f>VLOOKUP(A9,Prereq_result!$A:$E,5,0)/VLOOKUP(A9,Prereq!$A:$E,5,0)</f>
        <v>1</v>
      </c>
      <c r="E9" t="b">
        <f t="shared" si="0"/>
        <v>1</v>
      </c>
    </row>
    <row r="10" spans="1:8" x14ac:dyDescent="0.3">
      <c r="A10">
        <v>0</v>
      </c>
      <c r="B10">
        <v>0</v>
      </c>
      <c r="C10">
        <v>0</v>
      </c>
      <c r="D10" s="8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41"/>
  <sheetViews>
    <sheetView zoomScaleNormal="100" workbookViewId="0">
      <selection sqref="A1:B1"/>
    </sheetView>
  </sheetViews>
  <sheetFormatPr defaultColWidth="8.6640625" defaultRowHeight="14.4" x14ac:dyDescent="0.3"/>
  <cols>
    <col min="1" max="1" width="30" customWidth="1"/>
    <col min="2" max="2" width="70" customWidth="1"/>
  </cols>
  <sheetData>
    <row r="1" spans="1:2" ht="27.75" customHeight="1" x14ac:dyDescent="0.3">
      <c r="A1" s="126" t="s">
        <v>41</v>
      </c>
      <c r="B1" s="91"/>
    </row>
    <row r="2" spans="1:2" ht="15.75" customHeight="1" x14ac:dyDescent="0.3">
      <c r="A2" s="2" t="s">
        <v>42</v>
      </c>
      <c r="B2" s="3" t="s">
        <v>43</v>
      </c>
    </row>
    <row r="3" spans="1:2" ht="15.75" customHeight="1" x14ac:dyDescent="0.3">
      <c r="A3" s="4"/>
      <c r="B3" s="5"/>
    </row>
    <row r="4" spans="1:2" ht="15.75" customHeight="1" x14ac:dyDescent="0.3">
      <c r="A4" s="2" t="s">
        <v>44</v>
      </c>
      <c r="B4" s="3"/>
    </row>
    <row r="5" spans="1:2" ht="15.75" customHeight="1" x14ac:dyDescent="0.3">
      <c r="A5" s="6" t="s">
        <v>45</v>
      </c>
      <c r="B5" s="7" t="s">
        <v>46</v>
      </c>
    </row>
    <row r="6" spans="1:2" ht="15.75" customHeight="1" x14ac:dyDescent="0.3">
      <c r="A6" s="6" t="s">
        <v>47</v>
      </c>
      <c r="B6" s="7" t="s">
        <v>48</v>
      </c>
    </row>
    <row r="7" spans="1:2" ht="15.75" customHeight="1" x14ac:dyDescent="0.3">
      <c r="A7" s="6" t="s">
        <v>49</v>
      </c>
      <c r="B7" s="7" t="s">
        <v>50</v>
      </c>
    </row>
    <row r="8" spans="1:2" ht="15.75" customHeight="1" x14ac:dyDescent="0.3">
      <c r="A8" s="6" t="s">
        <v>51</v>
      </c>
      <c r="B8" s="7" t="s">
        <v>52</v>
      </c>
    </row>
    <row r="9" spans="1:2" ht="15.75" customHeight="1" x14ac:dyDescent="0.3">
      <c r="A9" s="6" t="s">
        <v>53</v>
      </c>
      <c r="B9" s="7" t="s">
        <v>54</v>
      </c>
    </row>
    <row r="10" spans="1:2" ht="15.75" customHeight="1" x14ac:dyDescent="0.3">
      <c r="A10" s="6" t="s">
        <v>55</v>
      </c>
      <c r="B10" s="7" t="s">
        <v>56</v>
      </c>
    </row>
    <row r="11" spans="1:2" ht="15.75" customHeight="1" x14ac:dyDescent="0.3">
      <c r="A11" s="6" t="s">
        <v>57</v>
      </c>
      <c r="B11" s="7" t="s">
        <v>58</v>
      </c>
    </row>
    <row r="12" spans="1:2" ht="15.75" customHeight="1" x14ac:dyDescent="0.3">
      <c r="A12" s="6" t="s">
        <v>59</v>
      </c>
      <c r="B12" s="7" t="s">
        <v>60</v>
      </c>
    </row>
    <row r="13" spans="1:2" ht="15.75" customHeight="1" x14ac:dyDescent="0.3">
      <c r="A13" s="6" t="s">
        <v>61</v>
      </c>
      <c r="B13" s="7" t="s">
        <v>62</v>
      </c>
    </row>
    <row r="14" spans="1:2" ht="15.75" customHeight="1" x14ac:dyDescent="0.3">
      <c r="A14" s="6" t="s">
        <v>63</v>
      </c>
      <c r="B14" s="7" t="s">
        <v>64</v>
      </c>
    </row>
    <row r="15" spans="1:2" ht="15.75" customHeight="1" x14ac:dyDescent="0.3">
      <c r="A15" s="4"/>
      <c r="B15" s="5"/>
    </row>
    <row r="16" spans="1:2" ht="15.75" customHeight="1" x14ac:dyDescent="0.3">
      <c r="A16" s="2" t="s">
        <v>65</v>
      </c>
      <c r="B16" s="3"/>
    </row>
    <row r="17" spans="1:2" ht="15.75" customHeight="1" x14ac:dyDescent="0.3">
      <c r="A17" s="6" t="s">
        <v>66</v>
      </c>
      <c r="B17" s="7" t="s">
        <v>67</v>
      </c>
    </row>
    <row r="18" spans="1:2" ht="15.75" customHeight="1" x14ac:dyDescent="0.3">
      <c r="A18" s="6" t="s">
        <v>68</v>
      </c>
      <c r="B18" s="7" t="s">
        <v>69</v>
      </c>
    </row>
    <row r="19" spans="1:2" ht="15.75" customHeight="1" x14ac:dyDescent="0.3">
      <c r="A19" s="6" t="s">
        <v>70</v>
      </c>
      <c r="B19" s="7" t="s">
        <v>71</v>
      </c>
    </row>
    <row r="20" spans="1:2" ht="15.75" customHeight="1" x14ac:dyDescent="0.3">
      <c r="A20" s="6" t="s">
        <v>72</v>
      </c>
      <c r="B20" s="7" t="s">
        <v>73</v>
      </c>
    </row>
    <row r="21" spans="1:2" ht="15.75" customHeight="1" x14ac:dyDescent="0.3">
      <c r="A21" s="6" t="s">
        <v>74</v>
      </c>
      <c r="B21" s="7" t="s">
        <v>75</v>
      </c>
    </row>
    <row r="22" spans="1:2" ht="15.75" customHeight="1" x14ac:dyDescent="0.3">
      <c r="A22" s="4"/>
      <c r="B22" s="5"/>
    </row>
    <row r="23" spans="1:2" ht="15.75" customHeight="1" x14ac:dyDescent="0.3">
      <c r="A23" s="2" t="s">
        <v>76</v>
      </c>
      <c r="B23" s="3"/>
    </row>
    <row r="24" spans="1:2" ht="15.75" customHeight="1" x14ac:dyDescent="0.3">
      <c r="A24" s="8" t="s">
        <v>77</v>
      </c>
      <c r="B24" s="7" t="s">
        <v>78</v>
      </c>
    </row>
    <row r="25" spans="1:2" ht="15.75" customHeight="1" x14ac:dyDescent="0.3">
      <c r="A25" s="8" t="s">
        <v>79</v>
      </c>
      <c r="B25" s="7" t="s">
        <v>80</v>
      </c>
    </row>
    <row r="26" spans="1:2" ht="15.75" customHeight="1" x14ac:dyDescent="0.3">
      <c r="A26" s="8" t="s">
        <v>81</v>
      </c>
      <c r="B26" s="7" t="s">
        <v>82</v>
      </c>
    </row>
    <row r="27" spans="1:2" ht="15.75" customHeight="1" x14ac:dyDescent="0.3">
      <c r="A27" s="8" t="s">
        <v>83</v>
      </c>
      <c r="B27" s="7" t="s">
        <v>84</v>
      </c>
    </row>
    <row r="28" spans="1:2" ht="15.75" customHeight="1" x14ac:dyDescent="0.3">
      <c r="A28" s="8" t="s">
        <v>85</v>
      </c>
      <c r="B28" s="7" t="s">
        <v>86</v>
      </c>
    </row>
    <row r="29" spans="1:2" ht="15.75" customHeight="1" x14ac:dyDescent="0.3">
      <c r="A29" s="8" t="s">
        <v>87</v>
      </c>
      <c r="B29" s="7" t="s">
        <v>88</v>
      </c>
    </row>
    <row r="30" spans="1:2" ht="15.75" customHeight="1" x14ac:dyDescent="0.3">
      <c r="A30" s="4"/>
      <c r="B30" s="5"/>
    </row>
    <row r="31" spans="1:2" ht="15.75" customHeight="1" x14ac:dyDescent="0.3">
      <c r="A31" s="2" t="s">
        <v>89</v>
      </c>
      <c r="B31" s="3"/>
    </row>
    <row r="32" spans="1:2" ht="15.75" customHeight="1" x14ac:dyDescent="0.3">
      <c r="A32" s="8" t="s">
        <v>90</v>
      </c>
      <c r="B32" s="7" t="s">
        <v>91</v>
      </c>
    </row>
    <row r="33" spans="1:2" ht="15.75" customHeight="1" x14ac:dyDescent="0.3">
      <c r="A33" s="8" t="s">
        <v>92</v>
      </c>
      <c r="B33" s="7" t="s">
        <v>93</v>
      </c>
    </row>
    <row r="34" spans="1:2" ht="15.75" customHeight="1" x14ac:dyDescent="0.3">
      <c r="A34" s="8" t="s">
        <v>94</v>
      </c>
      <c r="B34" s="7" t="s">
        <v>95</v>
      </c>
    </row>
    <row r="35" spans="1:2" ht="15.75" customHeight="1" x14ac:dyDescent="0.3">
      <c r="A35" s="8" t="s">
        <v>96</v>
      </c>
      <c r="B35" s="7" t="s">
        <v>97</v>
      </c>
    </row>
    <row r="36" spans="1:2" ht="15.75" customHeight="1" x14ac:dyDescent="0.3">
      <c r="A36" s="4"/>
      <c r="B36" s="5"/>
    </row>
    <row r="37" spans="1:2" ht="15.75" customHeight="1" x14ac:dyDescent="0.3">
      <c r="A37" s="2" t="s">
        <v>98</v>
      </c>
      <c r="B37" s="3"/>
    </row>
    <row r="38" spans="1:2" ht="15.75" customHeight="1" x14ac:dyDescent="0.3">
      <c r="A38" s="8" t="s">
        <v>99</v>
      </c>
      <c r="B38" s="7" t="s">
        <v>100</v>
      </c>
    </row>
    <row r="39" spans="1:2" ht="15.75" customHeight="1" x14ac:dyDescent="0.3">
      <c r="A39" s="8" t="s">
        <v>101</v>
      </c>
      <c r="B39" s="7" t="s">
        <v>102</v>
      </c>
    </row>
    <row r="40" spans="1:2" ht="15.75" customHeight="1" x14ac:dyDescent="0.3">
      <c r="A40" s="8" t="s">
        <v>103</v>
      </c>
      <c r="B40" s="7" t="s">
        <v>104</v>
      </c>
    </row>
    <row r="41" spans="1:2" ht="15.75" customHeight="1" x14ac:dyDescent="0.3">
      <c r="A41" s="8" t="s">
        <v>105</v>
      </c>
      <c r="B41" s="7" t="s">
        <v>106</v>
      </c>
    </row>
  </sheetData>
  <mergeCells count="1">
    <mergeCell ref="A1:B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filterMode="1"/>
  <dimension ref="A1:M40"/>
  <sheetViews>
    <sheetView zoomScale="112" zoomScaleNormal="112" workbookViewId="0">
      <pane ySplit="5" topLeftCell="A6" activePane="bottomLeft" state="frozen"/>
      <selection pane="bottomLeft" activeCell="C6" sqref="C6"/>
    </sheetView>
  </sheetViews>
  <sheetFormatPr defaultColWidth="8.6640625" defaultRowHeight="14.4" x14ac:dyDescent="0.3"/>
  <cols>
    <col min="1" max="1" width="14" customWidth="1"/>
    <col min="2" max="2" width="12" customWidth="1"/>
    <col min="3" max="3" width="22" customWidth="1"/>
    <col min="4" max="5" width="16" hidden="1" customWidth="1"/>
    <col min="6" max="6" width="20" hidden="1" customWidth="1"/>
    <col min="7" max="7" width="20" customWidth="1"/>
    <col min="8" max="10" width="20" hidden="1" customWidth="1"/>
    <col min="11" max="11" width="48.77734375" hidden="1" customWidth="1"/>
    <col min="12" max="12" width="54" customWidth="1"/>
    <col min="13" max="13" width="16.77734375" customWidth="1"/>
  </cols>
  <sheetData>
    <row r="1" spans="1:13" ht="16.8" x14ac:dyDescent="0.3">
      <c r="A1" s="90" t="s">
        <v>330</v>
      </c>
      <c r="B1" s="91"/>
      <c r="C1" s="91"/>
      <c r="D1" s="91"/>
      <c r="E1" s="91"/>
      <c r="F1" s="91"/>
      <c r="G1" s="91"/>
      <c r="H1" s="91"/>
      <c r="I1" s="91"/>
      <c r="J1" s="91"/>
      <c r="K1" s="91"/>
    </row>
    <row r="2" spans="1:13" x14ac:dyDescent="0.3">
      <c r="A2" s="92" t="s">
        <v>1</v>
      </c>
      <c r="B2" s="93"/>
      <c r="C2" s="92" t="s">
        <v>107</v>
      </c>
      <c r="D2" s="94"/>
      <c r="E2" s="93"/>
      <c r="F2" s="94"/>
      <c r="G2" s="94"/>
      <c r="H2" s="94"/>
      <c r="I2" s="94"/>
      <c r="J2" s="94"/>
      <c r="K2" s="93"/>
    </row>
    <row r="3" spans="1:13" x14ac:dyDescent="0.3">
      <c r="A3" s="9" t="s">
        <v>4</v>
      </c>
      <c r="B3" s="9" t="s">
        <v>5</v>
      </c>
      <c r="C3" s="9" t="s">
        <v>108</v>
      </c>
      <c r="D3" s="20" t="s">
        <v>109</v>
      </c>
      <c r="E3" s="10" t="s">
        <v>110</v>
      </c>
      <c r="F3" s="11" t="s">
        <v>11</v>
      </c>
      <c r="G3" s="11" t="s">
        <v>335</v>
      </c>
      <c r="H3" s="11" t="s">
        <v>336</v>
      </c>
      <c r="I3" s="11" t="s">
        <v>337</v>
      </c>
      <c r="J3" s="83" t="s">
        <v>892</v>
      </c>
      <c r="K3" s="10" t="s">
        <v>12</v>
      </c>
      <c r="L3" s="84" t="s">
        <v>894</v>
      </c>
      <c r="M3" s="85" t="s">
        <v>10</v>
      </c>
    </row>
    <row r="4" spans="1:13" ht="22.8" x14ac:dyDescent="0.3">
      <c r="A4" s="12" t="s">
        <v>13</v>
      </c>
      <c r="B4" s="12" t="s">
        <v>14</v>
      </c>
      <c r="C4" s="12" t="s">
        <v>111</v>
      </c>
      <c r="D4" s="21" t="s">
        <v>112</v>
      </c>
      <c r="E4" s="12" t="s">
        <v>113</v>
      </c>
      <c r="F4" s="12" t="s">
        <v>19</v>
      </c>
      <c r="G4" s="12"/>
      <c r="H4" s="12"/>
      <c r="I4" s="12"/>
      <c r="J4" s="73" t="s">
        <v>893</v>
      </c>
      <c r="K4" s="12" t="s">
        <v>19</v>
      </c>
      <c r="L4" s="86"/>
      <c r="M4" s="87" t="s">
        <v>19</v>
      </c>
    </row>
    <row r="5" spans="1:13" x14ac:dyDescent="0.3">
      <c r="A5" s="13" t="s">
        <v>20</v>
      </c>
      <c r="B5" s="13" t="s">
        <v>20</v>
      </c>
      <c r="C5" s="13" t="s">
        <v>20</v>
      </c>
      <c r="D5" s="22" t="s">
        <v>20</v>
      </c>
      <c r="E5" s="14" t="s">
        <v>21</v>
      </c>
      <c r="F5" s="15" t="s">
        <v>22</v>
      </c>
      <c r="G5" s="15"/>
      <c r="H5" s="15"/>
      <c r="I5" s="15"/>
      <c r="J5" s="73" t="s">
        <v>21</v>
      </c>
      <c r="K5" s="14" t="s">
        <v>21</v>
      </c>
      <c r="L5" s="86"/>
      <c r="M5" s="87" t="s">
        <v>22</v>
      </c>
    </row>
    <row r="6" spans="1:13" s="28" customFormat="1" x14ac:dyDescent="0.3">
      <c r="A6" s="30" t="s">
        <v>114</v>
      </c>
      <c r="B6" s="30" t="s">
        <v>23</v>
      </c>
      <c r="C6" s="30" t="s">
        <v>340</v>
      </c>
      <c r="D6" s="30" t="s">
        <v>115</v>
      </c>
      <c r="E6" s="31"/>
      <c r="F6" s="31"/>
      <c r="G6" s="30" t="s">
        <v>338</v>
      </c>
      <c r="H6" s="30" t="s">
        <v>338</v>
      </c>
      <c r="I6" s="30" t="s">
        <v>338</v>
      </c>
      <c r="J6" s="30" t="s">
        <v>338</v>
      </c>
      <c r="K6" s="89" t="s">
        <v>922</v>
      </c>
      <c r="L6" s="88" t="s">
        <v>895</v>
      </c>
    </row>
    <row r="7" spans="1:13" s="28" customFormat="1" x14ac:dyDescent="0.3">
      <c r="A7" s="30" t="s">
        <v>339</v>
      </c>
      <c r="B7" s="30" t="s">
        <v>23</v>
      </c>
      <c r="C7" s="30" t="s">
        <v>340</v>
      </c>
      <c r="D7" s="30" t="s">
        <v>115</v>
      </c>
      <c r="E7" s="31"/>
      <c r="F7" s="31"/>
      <c r="G7" s="30" t="s">
        <v>338</v>
      </c>
      <c r="H7" s="30" t="s">
        <v>359</v>
      </c>
      <c r="I7" s="30" t="s">
        <v>359</v>
      </c>
      <c r="J7" s="30" t="s">
        <v>338</v>
      </c>
      <c r="K7" s="89" t="s">
        <v>923</v>
      </c>
      <c r="L7" s="88" t="s">
        <v>896</v>
      </c>
    </row>
    <row r="8" spans="1:13" s="28" customFormat="1" x14ac:dyDescent="0.3">
      <c r="A8" s="30" t="s">
        <v>405</v>
      </c>
      <c r="B8" s="30" t="s">
        <v>23</v>
      </c>
      <c r="C8" s="30" t="s">
        <v>340</v>
      </c>
      <c r="D8" s="30" t="s">
        <v>115</v>
      </c>
      <c r="E8" s="31"/>
      <c r="F8" s="31"/>
      <c r="G8" s="30" t="s">
        <v>359</v>
      </c>
      <c r="H8" s="30" t="s">
        <v>359</v>
      </c>
      <c r="I8" s="30" t="s">
        <v>359</v>
      </c>
      <c r="J8" s="30" t="s">
        <v>338</v>
      </c>
      <c r="K8" s="89" t="s">
        <v>924</v>
      </c>
      <c r="L8" s="88" t="s">
        <v>897</v>
      </c>
    </row>
    <row r="9" spans="1:13" s="28" customFormat="1" hidden="1" x14ac:dyDescent="0.3">
      <c r="A9" s="30" t="s">
        <v>406</v>
      </c>
      <c r="B9" s="30" t="s">
        <v>23</v>
      </c>
      <c r="C9" s="30" t="s">
        <v>341</v>
      </c>
      <c r="D9" s="30" t="s">
        <v>115</v>
      </c>
      <c r="E9" s="31"/>
      <c r="F9" s="31"/>
      <c r="G9" s="30" t="s">
        <v>338</v>
      </c>
      <c r="H9" s="30" t="s">
        <v>338</v>
      </c>
      <c r="I9" s="30" t="s">
        <v>338</v>
      </c>
      <c r="J9" s="30" t="s">
        <v>338</v>
      </c>
      <c r="K9" s="89" t="s">
        <v>925</v>
      </c>
      <c r="L9" s="88" t="s">
        <v>898</v>
      </c>
    </row>
    <row r="10" spans="1:13" s="28" customFormat="1" hidden="1" x14ac:dyDescent="0.3">
      <c r="A10" s="30" t="s">
        <v>468</v>
      </c>
      <c r="B10" s="30" t="s">
        <v>23</v>
      </c>
      <c r="C10" s="30" t="s">
        <v>464</v>
      </c>
      <c r="D10" s="30" t="s">
        <v>115</v>
      </c>
      <c r="E10" s="31"/>
      <c r="F10" s="31"/>
      <c r="G10" s="30" t="s">
        <v>338</v>
      </c>
      <c r="H10" s="30" t="s">
        <v>338</v>
      </c>
      <c r="I10" s="30" t="s">
        <v>338</v>
      </c>
      <c r="J10" s="30" t="s">
        <v>338</v>
      </c>
      <c r="K10" s="89" t="s">
        <v>926</v>
      </c>
      <c r="L10" s="88" t="s">
        <v>899</v>
      </c>
    </row>
    <row r="11" spans="1:13" s="28" customFormat="1" hidden="1" x14ac:dyDescent="0.3">
      <c r="A11" s="30" t="s">
        <v>469</v>
      </c>
      <c r="B11" s="30" t="s">
        <v>23</v>
      </c>
      <c r="C11" s="30" t="s">
        <v>407</v>
      </c>
      <c r="D11" s="30" t="s">
        <v>115</v>
      </c>
      <c r="E11" s="31"/>
      <c r="F11" s="31"/>
      <c r="G11" s="30" t="s">
        <v>338</v>
      </c>
      <c r="H11" s="30" t="s">
        <v>338</v>
      </c>
      <c r="I11" s="30" t="s">
        <v>338</v>
      </c>
      <c r="J11" s="30" t="s">
        <v>338</v>
      </c>
      <c r="K11" s="89" t="s">
        <v>926</v>
      </c>
      <c r="L11" s="88" t="s">
        <v>900</v>
      </c>
    </row>
    <row r="12" spans="1:13" s="28" customFormat="1" x14ac:dyDescent="0.3">
      <c r="A12" s="30" t="s">
        <v>470</v>
      </c>
      <c r="B12" s="30" t="s">
        <v>23</v>
      </c>
      <c r="C12" s="30" t="s">
        <v>340</v>
      </c>
      <c r="D12" s="30" t="s">
        <v>115</v>
      </c>
      <c r="E12" s="31"/>
      <c r="F12" s="31"/>
      <c r="G12" s="30" t="s">
        <v>338</v>
      </c>
      <c r="H12" s="30" t="s">
        <v>338</v>
      </c>
      <c r="I12" s="30" t="s">
        <v>338</v>
      </c>
      <c r="J12" s="30" t="s">
        <v>338</v>
      </c>
      <c r="K12" s="89" t="s">
        <v>926</v>
      </c>
      <c r="L12" s="88" t="s">
        <v>901</v>
      </c>
    </row>
    <row r="13" spans="1:13" s="28" customFormat="1" hidden="1" x14ac:dyDescent="0.3">
      <c r="A13" s="30" t="s">
        <v>473</v>
      </c>
      <c r="B13" s="30" t="s">
        <v>23</v>
      </c>
      <c r="C13" s="30" t="s">
        <v>341</v>
      </c>
      <c r="D13" s="30" t="s">
        <v>115</v>
      </c>
      <c r="E13" s="31"/>
      <c r="F13" s="31"/>
      <c r="G13" s="30" t="s">
        <v>359</v>
      </c>
      <c r="H13" s="30" t="s">
        <v>338</v>
      </c>
      <c r="I13" s="30" t="s">
        <v>359</v>
      </c>
      <c r="J13" s="30" t="s">
        <v>338</v>
      </c>
      <c r="K13" s="89" t="s">
        <v>926</v>
      </c>
      <c r="L13" s="88" t="s">
        <v>902</v>
      </c>
    </row>
    <row r="14" spans="1:13" s="28" customFormat="1" hidden="1" x14ac:dyDescent="0.3">
      <c r="A14" s="30" t="s">
        <v>471</v>
      </c>
      <c r="B14" s="30" t="s">
        <v>23</v>
      </c>
      <c r="C14" s="30" t="s">
        <v>341</v>
      </c>
      <c r="D14" s="30" t="s">
        <v>115</v>
      </c>
      <c r="E14" s="31"/>
      <c r="F14" s="31"/>
      <c r="G14" s="30" t="s">
        <v>359</v>
      </c>
      <c r="H14" s="30" t="s">
        <v>338</v>
      </c>
      <c r="I14" s="30" t="s">
        <v>359</v>
      </c>
      <c r="J14" s="30" t="s">
        <v>338</v>
      </c>
      <c r="K14" s="89" t="s">
        <v>926</v>
      </c>
      <c r="L14" s="88" t="s">
        <v>902</v>
      </c>
    </row>
    <row r="15" spans="1:13" s="28" customFormat="1" hidden="1" x14ac:dyDescent="0.3">
      <c r="A15" s="30" t="s">
        <v>474</v>
      </c>
      <c r="B15" s="30" t="s">
        <v>23</v>
      </c>
      <c r="C15" s="30" t="s">
        <v>341</v>
      </c>
      <c r="D15" s="30" t="s">
        <v>115</v>
      </c>
      <c r="E15" s="31"/>
      <c r="F15" s="31"/>
      <c r="G15" s="30" t="s">
        <v>359</v>
      </c>
      <c r="H15" s="30" t="s">
        <v>338</v>
      </c>
      <c r="I15" s="30" t="s">
        <v>359</v>
      </c>
      <c r="J15" s="30" t="s">
        <v>338</v>
      </c>
      <c r="K15" s="89" t="s">
        <v>926</v>
      </c>
      <c r="L15" s="88" t="s">
        <v>902</v>
      </c>
    </row>
    <row r="16" spans="1:13" s="28" customFormat="1" hidden="1" x14ac:dyDescent="0.3">
      <c r="A16" s="30" t="s">
        <v>475</v>
      </c>
      <c r="B16" s="30" t="s">
        <v>23</v>
      </c>
      <c r="C16" s="30" t="s">
        <v>341</v>
      </c>
      <c r="D16" s="30" t="s">
        <v>115</v>
      </c>
      <c r="E16" s="31"/>
      <c r="F16" s="31"/>
      <c r="G16" s="30" t="s">
        <v>359</v>
      </c>
      <c r="H16" s="30" t="s">
        <v>338</v>
      </c>
      <c r="I16" s="30" t="s">
        <v>359</v>
      </c>
      <c r="J16" s="30" t="s">
        <v>338</v>
      </c>
      <c r="K16" s="89" t="s">
        <v>926</v>
      </c>
      <c r="L16" s="88" t="s">
        <v>902</v>
      </c>
    </row>
    <row r="17" spans="1:12" s="28" customFormat="1" hidden="1" x14ac:dyDescent="0.3">
      <c r="A17" s="30" t="s">
        <v>476</v>
      </c>
      <c r="B17" s="30" t="s">
        <v>23</v>
      </c>
      <c r="C17" s="30" t="s">
        <v>341</v>
      </c>
      <c r="D17" s="30" t="s">
        <v>115</v>
      </c>
      <c r="E17" s="31"/>
      <c r="F17" s="31"/>
      <c r="G17" s="30" t="s">
        <v>359</v>
      </c>
      <c r="H17" s="30" t="s">
        <v>338</v>
      </c>
      <c r="I17" s="30" t="s">
        <v>359</v>
      </c>
      <c r="J17" s="30" t="s">
        <v>338</v>
      </c>
      <c r="K17" s="89" t="s">
        <v>926</v>
      </c>
      <c r="L17" s="88" t="s">
        <v>902</v>
      </c>
    </row>
    <row r="18" spans="1:12" s="28" customFormat="1" hidden="1" x14ac:dyDescent="0.3">
      <c r="A18" s="30" t="s">
        <v>478</v>
      </c>
      <c r="B18" s="30" t="s">
        <v>23</v>
      </c>
      <c r="C18" s="30" t="s">
        <v>341</v>
      </c>
      <c r="D18" s="30" t="s">
        <v>115</v>
      </c>
      <c r="E18" s="31"/>
      <c r="F18" s="31"/>
      <c r="G18" s="30" t="s">
        <v>359</v>
      </c>
      <c r="H18" s="30" t="s">
        <v>338</v>
      </c>
      <c r="I18" s="30" t="s">
        <v>359</v>
      </c>
      <c r="J18" s="30" t="s">
        <v>338</v>
      </c>
      <c r="K18" s="89" t="s">
        <v>926</v>
      </c>
      <c r="L18" s="88" t="s">
        <v>902</v>
      </c>
    </row>
    <row r="19" spans="1:12" s="28" customFormat="1" hidden="1" x14ac:dyDescent="0.3">
      <c r="A19" s="30" t="s">
        <v>479</v>
      </c>
      <c r="B19" s="30" t="s">
        <v>23</v>
      </c>
      <c r="C19" s="30" t="s">
        <v>341</v>
      </c>
      <c r="D19" s="30" t="s">
        <v>115</v>
      </c>
      <c r="E19" s="31"/>
      <c r="F19" s="31"/>
      <c r="G19" s="30" t="s">
        <v>359</v>
      </c>
      <c r="H19" s="30" t="s">
        <v>338</v>
      </c>
      <c r="I19" s="30" t="s">
        <v>359</v>
      </c>
      <c r="J19" s="30" t="s">
        <v>338</v>
      </c>
      <c r="K19" s="89" t="s">
        <v>926</v>
      </c>
      <c r="L19" s="88" t="s">
        <v>902</v>
      </c>
    </row>
    <row r="20" spans="1:12" s="28" customFormat="1" hidden="1" x14ac:dyDescent="0.3">
      <c r="A20" s="30" t="s">
        <v>480</v>
      </c>
      <c r="B20" s="30" t="s">
        <v>23</v>
      </c>
      <c r="C20" s="30" t="s">
        <v>341</v>
      </c>
      <c r="D20" s="30" t="s">
        <v>115</v>
      </c>
      <c r="E20" s="31"/>
      <c r="F20" s="31"/>
      <c r="G20" s="30" t="s">
        <v>359</v>
      </c>
      <c r="H20" s="30" t="s">
        <v>338</v>
      </c>
      <c r="I20" s="30" t="s">
        <v>359</v>
      </c>
      <c r="J20" s="30" t="s">
        <v>338</v>
      </c>
      <c r="K20" s="89" t="s">
        <v>926</v>
      </c>
      <c r="L20" s="88" t="s">
        <v>902</v>
      </c>
    </row>
    <row r="21" spans="1:12" s="28" customFormat="1" hidden="1" x14ac:dyDescent="0.3">
      <c r="A21" s="30" t="s">
        <v>481</v>
      </c>
      <c r="B21" s="30" t="s">
        <v>23</v>
      </c>
      <c r="C21" s="30" t="s">
        <v>341</v>
      </c>
      <c r="D21" s="30" t="s">
        <v>115</v>
      </c>
      <c r="E21" s="31"/>
      <c r="F21" s="31"/>
      <c r="G21" s="30" t="s">
        <v>359</v>
      </c>
      <c r="H21" s="30" t="s">
        <v>338</v>
      </c>
      <c r="I21" s="30" t="s">
        <v>359</v>
      </c>
      <c r="J21" s="30" t="s">
        <v>338</v>
      </c>
      <c r="K21" s="89" t="s">
        <v>926</v>
      </c>
      <c r="L21" s="88" t="s">
        <v>902</v>
      </c>
    </row>
    <row r="22" spans="1:12" s="28" customFormat="1" ht="34.200000000000003" hidden="1" x14ac:dyDescent="0.3">
      <c r="A22" s="30" t="s">
        <v>472</v>
      </c>
      <c r="B22" s="30" t="s">
        <v>23</v>
      </c>
      <c r="C22" s="30" t="s">
        <v>409</v>
      </c>
      <c r="D22" s="30" t="s">
        <v>115</v>
      </c>
      <c r="E22" s="31"/>
      <c r="F22" s="31"/>
      <c r="G22" s="30" t="s">
        <v>338</v>
      </c>
      <c r="H22" s="30" t="s">
        <v>338</v>
      </c>
      <c r="I22" s="30" t="s">
        <v>338</v>
      </c>
      <c r="J22" s="30" t="s">
        <v>338</v>
      </c>
      <c r="K22" s="89" t="s">
        <v>926</v>
      </c>
      <c r="L22" s="88" t="s">
        <v>903</v>
      </c>
    </row>
    <row r="23" spans="1:12" s="28" customFormat="1" ht="22.8" hidden="1" x14ac:dyDescent="0.3">
      <c r="A23" s="30" t="s">
        <v>482</v>
      </c>
      <c r="B23" s="30" t="s">
        <v>23</v>
      </c>
      <c r="C23" s="30" t="s">
        <v>412</v>
      </c>
      <c r="D23" s="30" t="s">
        <v>115</v>
      </c>
      <c r="E23" s="31"/>
      <c r="F23" s="31"/>
      <c r="G23" s="30" t="s">
        <v>338</v>
      </c>
      <c r="H23" s="30" t="s">
        <v>338</v>
      </c>
      <c r="I23" s="30" t="s">
        <v>338</v>
      </c>
      <c r="J23" s="30" t="s">
        <v>338</v>
      </c>
      <c r="K23" s="89" t="s">
        <v>926</v>
      </c>
      <c r="L23" s="88" t="s">
        <v>904</v>
      </c>
    </row>
    <row r="24" spans="1:12" s="28" customFormat="1" ht="22.8" hidden="1" x14ac:dyDescent="0.3">
      <c r="A24" s="30" t="s">
        <v>483</v>
      </c>
      <c r="B24" s="30" t="s">
        <v>23</v>
      </c>
      <c r="C24" s="30" t="s">
        <v>414</v>
      </c>
      <c r="D24" s="30" t="s">
        <v>115</v>
      </c>
      <c r="E24" s="31"/>
      <c r="F24" s="31"/>
      <c r="G24" s="30" t="s">
        <v>338</v>
      </c>
      <c r="H24" s="30" t="s">
        <v>338</v>
      </c>
      <c r="I24" s="30" t="s">
        <v>338</v>
      </c>
      <c r="J24" s="30" t="s">
        <v>338</v>
      </c>
      <c r="K24" s="89" t="s">
        <v>926</v>
      </c>
      <c r="L24" s="88" t="s">
        <v>905</v>
      </c>
    </row>
    <row r="25" spans="1:12" s="28" customFormat="1" hidden="1" x14ac:dyDescent="0.3">
      <c r="A25" s="30" t="s">
        <v>484</v>
      </c>
      <c r="B25" s="30" t="s">
        <v>23</v>
      </c>
      <c r="C25" s="30" t="s">
        <v>415</v>
      </c>
      <c r="D25" s="30" t="s">
        <v>115</v>
      </c>
      <c r="E25" s="31"/>
      <c r="F25" s="31"/>
      <c r="G25" s="30" t="s">
        <v>338</v>
      </c>
      <c r="H25" s="30" t="s">
        <v>338</v>
      </c>
      <c r="I25" s="30" t="s">
        <v>338</v>
      </c>
      <c r="J25" s="30" t="s">
        <v>338</v>
      </c>
      <c r="K25" s="89" t="s">
        <v>926</v>
      </c>
      <c r="L25" s="88" t="s">
        <v>906</v>
      </c>
    </row>
    <row r="26" spans="1:12" s="28" customFormat="1" hidden="1" x14ac:dyDescent="0.3">
      <c r="A26" s="30" t="s">
        <v>485</v>
      </c>
      <c r="B26" s="30" t="s">
        <v>23</v>
      </c>
      <c r="C26" s="30" t="s">
        <v>416</v>
      </c>
      <c r="D26" s="30" t="s">
        <v>115</v>
      </c>
      <c r="E26" s="31"/>
      <c r="F26" s="31"/>
      <c r="G26" s="30" t="s">
        <v>338</v>
      </c>
      <c r="H26" s="30" t="s">
        <v>338</v>
      </c>
      <c r="I26" s="30" t="s">
        <v>338</v>
      </c>
      <c r="J26" s="30" t="s">
        <v>338</v>
      </c>
      <c r="K26" s="89" t="s">
        <v>926</v>
      </c>
      <c r="L26" s="88" t="s">
        <v>907</v>
      </c>
    </row>
    <row r="27" spans="1:12" s="28" customFormat="1" hidden="1" x14ac:dyDescent="0.3">
      <c r="A27" s="30" t="s">
        <v>486</v>
      </c>
      <c r="B27" s="30" t="s">
        <v>23</v>
      </c>
      <c r="C27" s="30" t="s">
        <v>417</v>
      </c>
      <c r="D27" s="30" t="s">
        <v>115</v>
      </c>
      <c r="E27" s="31"/>
      <c r="F27" s="31"/>
      <c r="G27" s="30" t="s">
        <v>338</v>
      </c>
      <c r="H27" s="30" t="s">
        <v>338</v>
      </c>
      <c r="I27" s="30" t="s">
        <v>338</v>
      </c>
      <c r="J27" s="30" t="s">
        <v>338</v>
      </c>
      <c r="K27" s="89" t="s">
        <v>926</v>
      </c>
      <c r="L27" s="88" t="s">
        <v>908</v>
      </c>
    </row>
    <row r="28" spans="1:12" s="28" customFormat="1" hidden="1" x14ac:dyDescent="0.3">
      <c r="A28" s="30" t="s">
        <v>487</v>
      </c>
      <c r="B28" s="30" t="s">
        <v>23</v>
      </c>
      <c r="C28" s="30" t="s">
        <v>418</v>
      </c>
      <c r="D28" s="30" t="s">
        <v>115</v>
      </c>
      <c r="E28" s="31"/>
      <c r="F28" s="31"/>
      <c r="G28" s="30" t="s">
        <v>338</v>
      </c>
      <c r="H28" s="30" t="s">
        <v>338</v>
      </c>
      <c r="I28" s="30" t="s">
        <v>338</v>
      </c>
      <c r="J28" s="30" t="s">
        <v>338</v>
      </c>
      <c r="K28" s="89" t="s">
        <v>926</v>
      </c>
      <c r="L28" s="88" t="s">
        <v>909</v>
      </c>
    </row>
    <row r="29" spans="1:12" s="28" customFormat="1" hidden="1" x14ac:dyDescent="0.3">
      <c r="A29" s="30" t="s">
        <v>488</v>
      </c>
      <c r="B29" s="30" t="s">
        <v>23</v>
      </c>
      <c r="C29" s="30" t="s">
        <v>419</v>
      </c>
      <c r="D29" s="30" t="s">
        <v>115</v>
      </c>
      <c r="E29" s="31"/>
      <c r="F29" s="31"/>
      <c r="G29" s="30" t="s">
        <v>338</v>
      </c>
      <c r="H29" s="30" t="s">
        <v>338</v>
      </c>
      <c r="I29" s="30" t="s">
        <v>338</v>
      </c>
      <c r="J29" s="30" t="s">
        <v>338</v>
      </c>
      <c r="K29" s="89" t="s">
        <v>926</v>
      </c>
      <c r="L29" s="88" t="s">
        <v>910</v>
      </c>
    </row>
    <row r="30" spans="1:12" s="28" customFormat="1" ht="22.8" hidden="1" x14ac:dyDescent="0.3">
      <c r="A30" s="30" t="s">
        <v>489</v>
      </c>
      <c r="B30" s="30" t="s">
        <v>23</v>
      </c>
      <c r="C30" s="30" t="s">
        <v>420</v>
      </c>
      <c r="D30" s="30" t="s">
        <v>115</v>
      </c>
      <c r="E30" s="31"/>
      <c r="F30" s="31"/>
      <c r="G30" s="30" t="s">
        <v>338</v>
      </c>
      <c r="H30" s="30" t="s">
        <v>338</v>
      </c>
      <c r="I30" s="30" t="s">
        <v>338</v>
      </c>
      <c r="J30" s="30" t="s">
        <v>338</v>
      </c>
      <c r="K30" s="89"/>
      <c r="L30" s="88" t="s">
        <v>911</v>
      </c>
    </row>
    <row r="31" spans="1:12" s="28" customFormat="1" ht="22.8" hidden="1" x14ac:dyDescent="0.3">
      <c r="A31" s="30" t="s">
        <v>490</v>
      </c>
      <c r="B31" s="30" t="s">
        <v>23</v>
      </c>
      <c r="C31" s="30" t="s">
        <v>421</v>
      </c>
      <c r="D31" s="30" t="s">
        <v>115</v>
      </c>
      <c r="E31" s="31"/>
      <c r="F31" s="31"/>
      <c r="G31" s="30" t="s">
        <v>338</v>
      </c>
      <c r="H31" s="30" t="s">
        <v>338</v>
      </c>
      <c r="I31" s="30" t="s">
        <v>338</v>
      </c>
      <c r="J31" s="30" t="s">
        <v>338</v>
      </c>
      <c r="K31" s="89"/>
      <c r="L31" s="88" t="s">
        <v>912</v>
      </c>
    </row>
    <row r="32" spans="1:12" s="28" customFormat="1" ht="22.8" hidden="1" x14ac:dyDescent="0.3">
      <c r="A32" s="30" t="s">
        <v>491</v>
      </c>
      <c r="B32" s="30" t="s">
        <v>23</v>
      </c>
      <c r="C32" s="30" t="s">
        <v>422</v>
      </c>
      <c r="D32" s="30" t="s">
        <v>115</v>
      </c>
      <c r="E32" s="31"/>
      <c r="F32" s="31"/>
      <c r="G32" s="30" t="s">
        <v>338</v>
      </c>
      <c r="H32" s="30" t="s">
        <v>338</v>
      </c>
      <c r="I32" s="30" t="s">
        <v>338</v>
      </c>
      <c r="J32" s="30" t="s">
        <v>338</v>
      </c>
      <c r="K32" s="89"/>
      <c r="L32" s="88" t="s">
        <v>913</v>
      </c>
    </row>
    <row r="33" spans="1:12" s="28" customFormat="1" ht="22.8" hidden="1" x14ac:dyDescent="0.3">
      <c r="A33" s="30" t="s">
        <v>492</v>
      </c>
      <c r="B33" s="30" t="s">
        <v>23</v>
      </c>
      <c r="C33" s="30" t="s">
        <v>423</v>
      </c>
      <c r="D33" s="30" t="s">
        <v>115</v>
      </c>
      <c r="E33" s="31"/>
      <c r="F33" s="31"/>
      <c r="G33" s="30" t="s">
        <v>338</v>
      </c>
      <c r="H33" s="30" t="s">
        <v>338</v>
      </c>
      <c r="I33" s="30" t="s">
        <v>338</v>
      </c>
      <c r="J33" s="30" t="s">
        <v>338</v>
      </c>
      <c r="K33" s="89"/>
      <c r="L33" s="88" t="s">
        <v>914</v>
      </c>
    </row>
    <row r="34" spans="1:12" s="28" customFormat="1" hidden="1" x14ac:dyDescent="0.3">
      <c r="A34" s="30" t="s">
        <v>493</v>
      </c>
      <c r="B34" s="30" t="s">
        <v>23</v>
      </c>
      <c r="C34" s="30" t="s">
        <v>424</v>
      </c>
      <c r="D34" s="30" t="s">
        <v>115</v>
      </c>
      <c r="E34" s="31"/>
      <c r="F34" s="31"/>
      <c r="G34" s="30" t="s">
        <v>338</v>
      </c>
      <c r="H34" s="30" t="s">
        <v>338</v>
      </c>
      <c r="I34" s="30" t="s">
        <v>338</v>
      </c>
      <c r="J34" s="30" t="s">
        <v>338</v>
      </c>
      <c r="K34" s="89"/>
      <c r="L34" s="88" t="s">
        <v>915</v>
      </c>
    </row>
    <row r="35" spans="1:12" s="28" customFormat="1" hidden="1" x14ac:dyDescent="0.3">
      <c r="A35" s="30" t="s">
        <v>494</v>
      </c>
      <c r="B35" s="30" t="s">
        <v>23</v>
      </c>
      <c r="C35" s="30" t="s">
        <v>425</v>
      </c>
      <c r="D35" s="30" t="s">
        <v>115</v>
      </c>
      <c r="E35" s="31"/>
      <c r="F35" s="31"/>
      <c r="G35" s="30" t="s">
        <v>338</v>
      </c>
      <c r="H35" s="30" t="s">
        <v>338</v>
      </c>
      <c r="I35" s="30" t="s">
        <v>338</v>
      </c>
      <c r="J35" s="30" t="s">
        <v>338</v>
      </c>
      <c r="K35" s="89"/>
      <c r="L35" s="88" t="s">
        <v>916</v>
      </c>
    </row>
    <row r="36" spans="1:12" s="28" customFormat="1" hidden="1" x14ac:dyDescent="0.3">
      <c r="A36" s="30" t="s">
        <v>495</v>
      </c>
      <c r="B36" s="30" t="s">
        <v>23</v>
      </c>
      <c r="C36" s="30" t="s">
        <v>426</v>
      </c>
      <c r="D36" s="30" t="s">
        <v>115</v>
      </c>
      <c r="E36" s="31"/>
      <c r="F36" s="31"/>
      <c r="G36" s="30" t="s">
        <v>338</v>
      </c>
      <c r="H36" s="30" t="s">
        <v>338</v>
      </c>
      <c r="I36" s="30" t="s">
        <v>338</v>
      </c>
      <c r="J36" s="30" t="s">
        <v>338</v>
      </c>
      <c r="K36" s="89"/>
      <c r="L36" s="88" t="s">
        <v>917</v>
      </c>
    </row>
    <row r="37" spans="1:12" s="28" customFormat="1" hidden="1" x14ac:dyDescent="0.3">
      <c r="A37" s="30" t="s">
        <v>496</v>
      </c>
      <c r="B37" s="30" t="s">
        <v>23</v>
      </c>
      <c r="C37" s="30" t="s">
        <v>427</v>
      </c>
      <c r="D37" s="30" t="s">
        <v>115</v>
      </c>
      <c r="E37" s="31"/>
      <c r="F37" s="31"/>
      <c r="G37" s="30" t="s">
        <v>338</v>
      </c>
      <c r="H37" s="30" t="s">
        <v>338</v>
      </c>
      <c r="I37" s="30" t="s">
        <v>338</v>
      </c>
      <c r="J37" s="30" t="s">
        <v>338</v>
      </c>
      <c r="K37" s="89"/>
      <c r="L37" s="88" t="s">
        <v>918</v>
      </c>
    </row>
    <row r="38" spans="1:12" s="28" customFormat="1" hidden="1" x14ac:dyDescent="0.3">
      <c r="A38" s="30" t="s">
        <v>497</v>
      </c>
      <c r="B38" s="30" t="s">
        <v>23</v>
      </c>
      <c r="C38" s="30" t="s">
        <v>439</v>
      </c>
      <c r="D38" s="30" t="s">
        <v>115</v>
      </c>
      <c r="E38" s="31"/>
      <c r="F38" s="31"/>
      <c r="G38" s="30" t="s">
        <v>338</v>
      </c>
      <c r="H38" s="30" t="s">
        <v>338</v>
      </c>
      <c r="I38" s="30" t="s">
        <v>338</v>
      </c>
      <c r="J38" s="30" t="s">
        <v>338</v>
      </c>
      <c r="K38" s="89"/>
      <c r="L38" s="88" t="s">
        <v>919</v>
      </c>
    </row>
    <row r="39" spans="1:12" s="28" customFormat="1" ht="22.8" hidden="1" x14ac:dyDescent="0.3">
      <c r="A39" s="30" t="s">
        <v>498</v>
      </c>
      <c r="B39" s="30" t="s">
        <v>23</v>
      </c>
      <c r="C39" s="30" t="s">
        <v>452</v>
      </c>
      <c r="D39" s="30" t="s">
        <v>115</v>
      </c>
      <c r="E39" s="31"/>
      <c r="F39" s="31"/>
      <c r="G39" s="30" t="s">
        <v>338</v>
      </c>
      <c r="H39" s="30" t="s">
        <v>338</v>
      </c>
      <c r="I39" s="30" t="s">
        <v>338</v>
      </c>
      <c r="J39" s="30" t="s">
        <v>338</v>
      </c>
      <c r="K39" s="89"/>
      <c r="L39" s="88" t="s">
        <v>920</v>
      </c>
    </row>
    <row r="40" spans="1:12" s="28" customFormat="1" ht="22.8" hidden="1" x14ac:dyDescent="0.3">
      <c r="A40" s="30" t="s">
        <v>499</v>
      </c>
      <c r="B40" s="30" t="s">
        <v>23</v>
      </c>
      <c r="C40" s="30" t="s">
        <v>500</v>
      </c>
      <c r="D40" s="30" t="s">
        <v>115</v>
      </c>
      <c r="E40" s="31"/>
      <c r="F40" s="31"/>
      <c r="G40" s="30" t="s">
        <v>338</v>
      </c>
      <c r="H40" s="30" t="s">
        <v>338</v>
      </c>
      <c r="I40" s="30" t="s">
        <v>338</v>
      </c>
      <c r="J40" s="30" t="s">
        <v>338</v>
      </c>
      <c r="K40" s="89"/>
      <c r="L40" s="88" t="s">
        <v>921</v>
      </c>
    </row>
  </sheetData>
  <autoFilter ref="A5:M40" xr:uid="{00000000-0001-0000-0100-000000000000}">
    <filterColumn colId="2">
      <filters>
        <filter val="Test_Portfolio_001"/>
      </filters>
    </filterColumn>
  </autoFilter>
  <mergeCells count="4">
    <mergeCell ref="C2:E2"/>
    <mergeCell ref="A2:B2"/>
    <mergeCell ref="F2:K2"/>
    <mergeCell ref="A1:K1"/>
  </mergeCells>
  <phoneticPr fontId="19"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1311"/>
  <sheetViews>
    <sheetView tabSelected="1" zoomScaleNormal="100" workbookViewId="0">
      <pane ySplit="5" topLeftCell="A6" activePane="bottomLeft" state="frozen"/>
      <selection pane="bottomLeft" activeCell="A6" sqref="A6"/>
    </sheetView>
  </sheetViews>
  <sheetFormatPr defaultColWidth="8.6640625" defaultRowHeight="14.4" x14ac:dyDescent="0.3"/>
  <cols>
    <col min="1" max="1" width="14" customWidth="1"/>
    <col min="2" max="2" width="12" customWidth="1"/>
    <col min="3" max="3" width="16" customWidth="1"/>
    <col min="4" max="4" width="22" customWidth="1"/>
    <col min="5" max="5" width="24" customWidth="1"/>
    <col min="6" max="7" width="16" customWidth="1"/>
    <col min="8" max="9" width="18" customWidth="1"/>
    <col min="10" max="10" width="40" customWidth="1"/>
  </cols>
  <sheetData>
    <row r="1" spans="1:10" ht="25.5" customHeight="1" x14ac:dyDescent="0.3">
      <c r="A1" s="90" t="s">
        <v>331</v>
      </c>
      <c r="B1" s="91"/>
      <c r="C1" s="91"/>
      <c r="D1" s="91"/>
      <c r="E1" s="91"/>
      <c r="F1" s="91"/>
      <c r="G1" s="91"/>
      <c r="H1" s="91"/>
      <c r="I1" s="91"/>
      <c r="J1" s="91"/>
    </row>
    <row r="2" spans="1:10" ht="19.5" customHeight="1" x14ac:dyDescent="0.3">
      <c r="A2" s="92" t="s">
        <v>1</v>
      </c>
      <c r="B2" s="93"/>
      <c r="C2" s="1" t="s">
        <v>171</v>
      </c>
      <c r="D2" s="92" t="s">
        <v>172</v>
      </c>
      <c r="E2" s="93"/>
      <c r="F2" s="92" t="s">
        <v>173</v>
      </c>
      <c r="G2" s="94"/>
      <c r="H2" s="94"/>
      <c r="I2" s="93"/>
      <c r="J2" s="27"/>
    </row>
    <row r="3" spans="1:10" ht="36" customHeight="1" x14ac:dyDescent="0.3">
      <c r="A3" s="9" t="s">
        <v>4</v>
      </c>
      <c r="B3" s="9" t="s">
        <v>5</v>
      </c>
      <c r="C3" s="9" t="s">
        <v>174</v>
      </c>
      <c r="D3" s="9" t="s">
        <v>175</v>
      </c>
      <c r="E3" s="10" t="s">
        <v>176</v>
      </c>
      <c r="F3" s="10" t="s">
        <v>177</v>
      </c>
      <c r="G3" s="10" t="s">
        <v>178</v>
      </c>
      <c r="H3" s="10" t="s">
        <v>179</v>
      </c>
      <c r="I3" s="10" t="s">
        <v>180</v>
      </c>
      <c r="J3" s="10" t="s">
        <v>12</v>
      </c>
    </row>
    <row r="4" spans="1:10" ht="24" customHeight="1" x14ac:dyDescent="0.3">
      <c r="A4" s="12" t="s">
        <v>13</v>
      </c>
      <c r="B4" s="12" t="s">
        <v>14</v>
      </c>
      <c r="C4" s="12" t="s">
        <v>181</v>
      </c>
      <c r="D4" s="12" t="s">
        <v>182</v>
      </c>
      <c r="E4" s="12" t="s">
        <v>183</v>
      </c>
      <c r="F4" s="12" t="s">
        <v>184</v>
      </c>
      <c r="G4" s="12" t="s">
        <v>185</v>
      </c>
      <c r="H4" s="12" t="s">
        <v>186</v>
      </c>
      <c r="I4" s="12" t="s">
        <v>187</v>
      </c>
      <c r="J4" s="12" t="s">
        <v>19</v>
      </c>
    </row>
    <row r="5" spans="1:10" ht="18" customHeight="1" x14ac:dyDescent="0.3">
      <c r="A5" s="23" t="s">
        <v>20</v>
      </c>
      <c r="B5" s="23" t="s">
        <v>20</v>
      </c>
      <c r="C5" s="23" t="s">
        <v>20</v>
      </c>
      <c r="D5" s="23" t="s">
        <v>20</v>
      </c>
      <c r="E5" s="24" t="s">
        <v>21</v>
      </c>
      <c r="F5" s="24" t="s">
        <v>21</v>
      </c>
      <c r="G5" s="24" t="s">
        <v>21</v>
      </c>
      <c r="H5" s="24" t="s">
        <v>21</v>
      </c>
      <c r="I5" s="24" t="s">
        <v>21</v>
      </c>
      <c r="J5" s="24" t="s">
        <v>21</v>
      </c>
    </row>
    <row r="6" spans="1:10" ht="18" customHeight="1" x14ac:dyDescent="0.3">
      <c r="A6" s="32" t="s">
        <v>114</v>
      </c>
      <c r="B6" s="33" t="s">
        <v>23</v>
      </c>
      <c r="C6" s="33">
        <v>1</v>
      </c>
      <c r="D6" s="34" t="s">
        <v>188</v>
      </c>
      <c r="E6" s="34" t="s">
        <v>189</v>
      </c>
      <c r="F6" s="33">
        <v>0</v>
      </c>
      <c r="G6" s="33">
        <v>0.15</v>
      </c>
      <c r="H6" s="33"/>
      <c r="I6" s="33">
        <v>0</v>
      </c>
      <c r="J6" s="25"/>
    </row>
    <row r="7" spans="1:10" ht="18" customHeight="1" x14ac:dyDescent="0.3">
      <c r="A7" s="32" t="s">
        <v>114</v>
      </c>
      <c r="B7" s="33" t="s">
        <v>23</v>
      </c>
      <c r="C7" s="33">
        <v>1</v>
      </c>
      <c r="D7" s="34" t="s">
        <v>190</v>
      </c>
      <c r="E7" s="34" t="s">
        <v>198</v>
      </c>
      <c r="F7" s="33">
        <v>0</v>
      </c>
      <c r="G7" s="33">
        <v>0.3</v>
      </c>
      <c r="H7" s="33"/>
      <c r="I7" s="33">
        <v>0</v>
      </c>
      <c r="J7" s="25"/>
    </row>
    <row r="8" spans="1:10" ht="18" customHeight="1" x14ac:dyDescent="0.3">
      <c r="A8" s="32" t="s">
        <v>114</v>
      </c>
      <c r="B8" s="33" t="s">
        <v>23</v>
      </c>
      <c r="C8" s="33">
        <v>1</v>
      </c>
      <c r="D8" s="34" t="s">
        <v>197</v>
      </c>
      <c r="E8" s="34" t="s">
        <v>198</v>
      </c>
      <c r="F8" s="33">
        <v>0</v>
      </c>
      <c r="G8" s="33">
        <v>0.05</v>
      </c>
      <c r="H8" s="33"/>
      <c r="I8" s="33">
        <v>0</v>
      </c>
      <c r="J8" s="25"/>
    </row>
    <row r="9" spans="1:10" ht="18" customHeight="1" x14ac:dyDescent="0.3">
      <c r="A9" s="32" t="s">
        <v>114</v>
      </c>
      <c r="B9" s="33" t="s">
        <v>23</v>
      </c>
      <c r="C9" s="33">
        <v>1</v>
      </c>
      <c r="D9" s="34" t="s">
        <v>197</v>
      </c>
      <c r="E9" s="34" t="s">
        <v>199</v>
      </c>
      <c r="F9" s="33">
        <v>0</v>
      </c>
      <c r="G9" s="33">
        <v>0</v>
      </c>
      <c r="H9" s="33"/>
      <c r="I9" s="33">
        <v>0</v>
      </c>
      <c r="J9" s="25"/>
    </row>
    <row r="10" spans="1:10" ht="18" customHeight="1" x14ac:dyDescent="0.3">
      <c r="A10" s="32" t="s">
        <v>114</v>
      </c>
      <c r="B10" s="33" t="s">
        <v>23</v>
      </c>
      <c r="C10" s="33">
        <v>1</v>
      </c>
      <c r="D10" s="34" t="s">
        <v>200</v>
      </c>
      <c r="E10" s="34" t="s">
        <v>201</v>
      </c>
      <c r="F10" s="33">
        <v>0</v>
      </c>
      <c r="G10" s="33">
        <v>0.35</v>
      </c>
      <c r="H10" s="33" t="s">
        <v>202</v>
      </c>
      <c r="I10" s="33">
        <v>100</v>
      </c>
      <c r="J10" s="25"/>
    </row>
    <row r="11" spans="1:10" ht="18" customHeight="1" x14ac:dyDescent="0.3">
      <c r="A11" s="32" t="s">
        <v>114</v>
      </c>
      <c r="B11" s="33" t="s">
        <v>23</v>
      </c>
      <c r="C11" s="33">
        <v>1</v>
      </c>
      <c r="D11" s="34" t="s">
        <v>200</v>
      </c>
      <c r="E11" s="34" t="s">
        <v>203</v>
      </c>
      <c r="F11" s="33">
        <v>0</v>
      </c>
      <c r="G11" s="33">
        <v>0.3</v>
      </c>
      <c r="H11" s="33" t="s">
        <v>202</v>
      </c>
      <c r="I11" s="33">
        <v>100</v>
      </c>
      <c r="J11" s="25"/>
    </row>
    <row r="12" spans="1:10" ht="18" customHeight="1" x14ac:dyDescent="0.3">
      <c r="A12" s="32" t="s">
        <v>114</v>
      </c>
      <c r="B12" s="33" t="s">
        <v>23</v>
      </c>
      <c r="C12" s="33">
        <v>1</v>
      </c>
      <c r="D12" s="34" t="s">
        <v>200</v>
      </c>
      <c r="E12" s="34" t="s">
        <v>204</v>
      </c>
      <c r="F12" s="33">
        <v>0</v>
      </c>
      <c r="G12" s="33">
        <v>0.3</v>
      </c>
      <c r="H12" s="33" t="s">
        <v>202</v>
      </c>
      <c r="I12" s="33">
        <v>100</v>
      </c>
      <c r="J12" s="25"/>
    </row>
    <row r="13" spans="1:10" ht="18" customHeight="1" x14ac:dyDescent="0.3">
      <c r="A13" s="32" t="s">
        <v>114</v>
      </c>
      <c r="B13" s="33" t="s">
        <v>23</v>
      </c>
      <c r="C13" s="33">
        <v>1</v>
      </c>
      <c r="D13" s="34" t="s">
        <v>200</v>
      </c>
      <c r="E13" s="34" t="s">
        <v>205</v>
      </c>
      <c r="F13" s="33">
        <v>0</v>
      </c>
      <c r="G13" s="33">
        <v>0.3</v>
      </c>
      <c r="H13" s="33" t="s">
        <v>202</v>
      </c>
      <c r="I13" s="33">
        <v>100</v>
      </c>
      <c r="J13" s="25"/>
    </row>
    <row r="14" spans="1:10" ht="18" customHeight="1" x14ac:dyDescent="0.3">
      <c r="A14" s="32" t="s">
        <v>114</v>
      </c>
      <c r="B14" s="33" t="s">
        <v>23</v>
      </c>
      <c r="C14" s="33">
        <v>1</v>
      </c>
      <c r="D14" s="34" t="s">
        <v>200</v>
      </c>
      <c r="E14" s="34" t="s">
        <v>206</v>
      </c>
      <c r="F14" s="33">
        <v>0</v>
      </c>
      <c r="G14" s="33">
        <v>0.3</v>
      </c>
      <c r="H14" s="33" t="s">
        <v>202</v>
      </c>
      <c r="I14" s="33">
        <v>100</v>
      </c>
      <c r="J14" s="25"/>
    </row>
    <row r="15" spans="1:10" ht="18" customHeight="1" x14ac:dyDescent="0.3">
      <c r="A15" s="32" t="s">
        <v>114</v>
      </c>
      <c r="B15" s="33" t="s">
        <v>23</v>
      </c>
      <c r="C15" s="33">
        <v>1</v>
      </c>
      <c r="D15" s="34" t="s">
        <v>200</v>
      </c>
      <c r="E15" s="34" t="s">
        <v>207</v>
      </c>
      <c r="F15" s="33">
        <v>0</v>
      </c>
      <c r="G15" s="33">
        <v>0.2</v>
      </c>
      <c r="H15" s="33" t="s">
        <v>202</v>
      </c>
      <c r="I15" s="33">
        <v>100</v>
      </c>
      <c r="J15" s="25"/>
    </row>
    <row r="16" spans="1:10" ht="18" customHeight="1" x14ac:dyDescent="0.3">
      <c r="A16" s="32" t="s">
        <v>114</v>
      </c>
      <c r="B16" s="33" t="s">
        <v>23</v>
      </c>
      <c r="C16" s="33">
        <v>1</v>
      </c>
      <c r="D16" s="34" t="s">
        <v>200</v>
      </c>
      <c r="E16" s="34" t="s">
        <v>208</v>
      </c>
      <c r="F16" s="33">
        <v>0</v>
      </c>
      <c r="G16" s="33">
        <v>0.2</v>
      </c>
      <c r="H16" s="33" t="s">
        <v>202</v>
      </c>
      <c r="I16" s="33">
        <v>100</v>
      </c>
      <c r="J16" s="25"/>
    </row>
    <row r="17" spans="1:10" ht="18" customHeight="1" x14ac:dyDescent="0.3">
      <c r="A17" s="32" t="s">
        <v>114</v>
      </c>
      <c r="B17" s="33" t="s">
        <v>23</v>
      </c>
      <c r="C17" s="33">
        <v>1</v>
      </c>
      <c r="D17" s="34" t="s">
        <v>200</v>
      </c>
      <c r="E17" s="34" t="s">
        <v>209</v>
      </c>
      <c r="F17" s="33">
        <v>0</v>
      </c>
      <c r="G17" s="33">
        <v>0.3</v>
      </c>
      <c r="H17" s="33" t="s">
        <v>202</v>
      </c>
      <c r="I17" s="33">
        <v>100</v>
      </c>
      <c r="J17" s="25"/>
    </row>
    <row r="18" spans="1:10" ht="18" customHeight="1" x14ac:dyDescent="0.3">
      <c r="A18" s="32" t="s">
        <v>114</v>
      </c>
      <c r="B18" s="33" t="s">
        <v>23</v>
      </c>
      <c r="C18" s="33">
        <v>1</v>
      </c>
      <c r="D18" s="34" t="s">
        <v>200</v>
      </c>
      <c r="E18" s="34" t="s">
        <v>210</v>
      </c>
      <c r="F18" s="33">
        <v>0</v>
      </c>
      <c r="G18" s="33">
        <v>0.2</v>
      </c>
      <c r="H18" s="33" t="s">
        <v>202</v>
      </c>
      <c r="I18" s="33">
        <v>100</v>
      </c>
      <c r="J18" s="25"/>
    </row>
    <row r="19" spans="1:10" ht="18" customHeight="1" x14ac:dyDescent="0.3">
      <c r="A19" s="32" t="s">
        <v>114</v>
      </c>
      <c r="B19" s="33" t="s">
        <v>23</v>
      </c>
      <c r="C19" s="33">
        <v>1</v>
      </c>
      <c r="D19" s="34" t="s">
        <v>200</v>
      </c>
      <c r="E19" s="34" t="s">
        <v>211</v>
      </c>
      <c r="F19" s="33">
        <v>0</v>
      </c>
      <c r="G19" s="33">
        <v>0.15</v>
      </c>
      <c r="H19" s="33" t="s">
        <v>202</v>
      </c>
      <c r="I19" s="33">
        <v>100</v>
      </c>
      <c r="J19" s="25"/>
    </row>
    <row r="20" spans="1:10" ht="18" customHeight="1" x14ac:dyDescent="0.3">
      <c r="A20" s="32" t="s">
        <v>114</v>
      </c>
      <c r="B20" s="33" t="s">
        <v>23</v>
      </c>
      <c r="C20" s="33">
        <v>1</v>
      </c>
      <c r="D20" s="34" t="s">
        <v>200</v>
      </c>
      <c r="E20" s="34" t="s">
        <v>212</v>
      </c>
      <c r="F20" s="33">
        <v>0</v>
      </c>
      <c r="G20" s="33">
        <v>0.15</v>
      </c>
      <c r="H20" s="33" t="s">
        <v>202</v>
      </c>
      <c r="I20" s="33">
        <v>100</v>
      </c>
      <c r="J20" s="25"/>
    </row>
    <row r="21" spans="1:10" ht="18" customHeight="1" x14ac:dyDescent="0.3">
      <c r="A21" s="32" t="s">
        <v>114</v>
      </c>
      <c r="B21" s="33" t="s">
        <v>23</v>
      </c>
      <c r="C21" s="33">
        <v>1</v>
      </c>
      <c r="D21" s="34" t="s">
        <v>200</v>
      </c>
      <c r="E21" s="34" t="s">
        <v>213</v>
      </c>
      <c r="F21" s="33">
        <v>0</v>
      </c>
      <c r="G21" s="33">
        <v>0.15</v>
      </c>
      <c r="H21" s="33" t="s">
        <v>202</v>
      </c>
      <c r="I21" s="33">
        <v>100</v>
      </c>
      <c r="J21" s="25"/>
    </row>
    <row r="22" spans="1:10" ht="18" customHeight="1" x14ac:dyDescent="0.3">
      <c r="A22" s="32" t="s">
        <v>114</v>
      </c>
      <c r="B22" s="33" t="s">
        <v>23</v>
      </c>
      <c r="C22" s="33">
        <v>1</v>
      </c>
      <c r="D22" s="34" t="s">
        <v>200</v>
      </c>
      <c r="E22" s="34" t="s">
        <v>214</v>
      </c>
      <c r="F22" s="33">
        <v>0</v>
      </c>
      <c r="G22" s="33">
        <v>0.15</v>
      </c>
      <c r="H22" s="33" t="s">
        <v>202</v>
      </c>
      <c r="I22" s="33">
        <v>100</v>
      </c>
      <c r="J22" s="25"/>
    </row>
    <row r="23" spans="1:10" ht="18" customHeight="1" x14ac:dyDescent="0.3">
      <c r="A23" s="32" t="s">
        <v>114</v>
      </c>
      <c r="B23" s="33" t="s">
        <v>23</v>
      </c>
      <c r="C23" s="33">
        <v>1</v>
      </c>
      <c r="D23" s="34" t="s">
        <v>200</v>
      </c>
      <c r="E23" s="34" t="s">
        <v>201</v>
      </c>
      <c r="F23" s="33">
        <v>0</v>
      </c>
      <c r="G23" s="33">
        <v>0.5</v>
      </c>
      <c r="H23" s="33" t="s">
        <v>215</v>
      </c>
      <c r="I23" s="33">
        <v>500</v>
      </c>
      <c r="J23" s="25"/>
    </row>
    <row r="24" spans="1:10" ht="18" customHeight="1" x14ac:dyDescent="0.3">
      <c r="A24" s="32" t="s">
        <v>114</v>
      </c>
      <c r="B24" s="33" t="s">
        <v>23</v>
      </c>
      <c r="C24" s="33">
        <v>1</v>
      </c>
      <c r="D24" s="34" t="s">
        <v>200</v>
      </c>
      <c r="E24" s="34" t="s">
        <v>203</v>
      </c>
      <c r="F24" s="33">
        <v>0</v>
      </c>
      <c r="G24" s="33">
        <v>0.5</v>
      </c>
      <c r="H24" s="33" t="s">
        <v>215</v>
      </c>
      <c r="I24" s="33">
        <v>500</v>
      </c>
      <c r="J24" s="25"/>
    </row>
    <row r="25" spans="1:10" ht="18" customHeight="1" x14ac:dyDescent="0.3">
      <c r="A25" s="32" t="s">
        <v>114</v>
      </c>
      <c r="B25" s="33" t="s">
        <v>23</v>
      </c>
      <c r="C25" s="33">
        <v>1</v>
      </c>
      <c r="D25" s="34" t="s">
        <v>200</v>
      </c>
      <c r="E25" s="34" t="s">
        <v>204</v>
      </c>
      <c r="F25" s="33">
        <v>0</v>
      </c>
      <c r="G25" s="33">
        <v>0.5</v>
      </c>
      <c r="H25" s="33" t="s">
        <v>215</v>
      </c>
      <c r="I25" s="33">
        <v>500</v>
      </c>
      <c r="J25" s="25"/>
    </row>
    <row r="26" spans="1:10" ht="18" customHeight="1" x14ac:dyDescent="0.3">
      <c r="A26" s="32" t="s">
        <v>114</v>
      </c>
      <c r="B26" s="33" t="s">
        <v>23</v>
      </c>
      <c r="C26" s="33">
        <v>1</v>
      </c>
      <c r="D26" s="34" t="s">
        <v>200</v>
      </c>
      <c r="E26" s="34" t="s">
        <v>205</v>
      </c>
      <c r="F26" s="33">
        <v>0</v>
      </c>
      <c r="G26" s="33">
        <v>0.5</v>
      </c>
      <c r="H26" s="33" t="s">
        <v>215</v>
      </c>
      <c r="I26" s="33">
        <v>500</v>
      </c>
      <c r="J26" s="25"/>
    </row>
    <row r="27" spans="1:10" ht="18" customHeight="1" x14ac:dyDescent="0.3">
      <c r="A27" s="32" t="s">
        <v>114</v>
      </c>
      <c r="B27" s="33" t="s">
        <v>23</v>
      </c>
      <c r="C27" s="33">
        <v>1</v>
      </c>
      <c r="D27" s="34" t="s">
        <v>200</v>
      </c>
      <c r="E27" s="34" t="s">
        <v>206</v>
      </c>
      <c r="F27" s="33">
        <v>0</v>
      </c>
      <c r="G27" s="33">
        <v>0.5</v>
      </c>
      <c r="H27" s="33" t="s">
        <v>215</v>
      </c>
      <c r="I27" s="33">
        <v>500</v>
      </c>
      <c r="J27" s="25"/>
    </row>
    <row r="28" spans="1:10" ht="18" customHeight="1" x14ac:dyDescent="0.3">
      <c r="A28" s="32" t="s">
        <v>114</v>
      </c>
      <c r="B28" s="33" t="s">
        <v>23</v>
      </c>
      <c r="C28" s="33">
        <v>1</v>
      </c>
      <c r="D28" s="34" t="s">
        <v>200</v>
      </c>
      <c r="E28" s="34" t="s">
        <v>207</v>
      </c>
      <c r="F28" s="33">
        <v>0</v>
      </c>
      <c r="G28" s="33">
        <v>0.35</v>
      </c>
      <c r="H28" s="33" t="s">
        <v>215</v>
      </c>
      <c r="I28" s="33">
        <v>500</v>
      </c>
      <c r="J28" s="25"/>
    </row>
    <row r="29" spans="1:10" ht="18" customHeight="1" x14ac:dyDescent="0.3">
      <c r="A29" s="32" t="s">
        <v>114</v>
      </c>
      <c r="B29" s="33" t="s">
        <v>23</v>
      </c>
      <c r="C29" s="33">
        <v>1</v>
      </c>
      <c r="D29" s="34" t="s">
        <v>200</v>
      </c>
      <c r="E29" s="34" t="s">
        <v>208</v>
      </c>
      <c r="F29" s="33">
        <v>0</v>
      </c>
      <c r="G29" s="33">
        <v>0.3</v>
      </c>
      <c r="H29" s="33" t="s">
        <v>215</v>
      </c>
      <c r="I29" s="33">
        <v>500</v>
      </c>
      <c r="J29" s="25"/>
    </row>
    <row r="30" spans="1:10" ht="18" customHeight="1" x14ac:dyDescent="0.3">
      <c r="A30" s="32" t="s">
        <v>114</v>
      </c>
      <c r="B30" s="33" t="s">
        <v>23</v>
      </c>
      <c r="C30" s="33">
        <v>1</v>
      </c>
      <c r="D30" s="34" t="s">
        <v>200</v>
      </c>
      <c r="E30" s="34" t="s">
        <v>209</v>
      </c>
      <c r="F30" s="33">
        <v>0</v>
      </c>
      <c r="G30" s="33">
        <v>0.5</v>
      </c>
      <c r="H30" s="33" t="s">
        <v>215</v>
      </c>
      <c r="I30" s="33">
        <v>500</v>
      </c>
      <c r="J30" s="25"/>
    </row>
    <row r="31" spans="1:10" ht="18" customHeight="1" x14ac:dyDescent="0.3">
      <c r="A31" s="32" t="s">
        <v>114</v>
      </c>
      <c r="B31" s="33" t="s">
        <v>23</v>
      </c>
      <c r="C31" s="33">
        <v>1</v>
      </c>
      <c r="D31" s="34" t="s">
        <v>200</v>
      </c>
      <c r="E31" s="34" t="s">
        <v>210</v>
      </c>
      <c r="F31" s="33">
        <v>0</v>
      </c>
      <c r="G31" s="33">
        <v>0.3</v>
      </c>
      <c r="H31" s="33" t="s">
        <v>215</v>
      </c>
      <c r="I31" s="33">
        <v>500</v>
      </c>
      <c r="J31" s="25"/>
    </row>
    <row r="32" spans="1:10" ht="18" customHeight="1" x14ac:dyDescent="0.3">
      <c r="A32" s="32" t="s">
        <v>114</v>
      </c>
      <c r="B32" s="33" t="s">
        <v>23</v>
      </c>
      <c r="C32" s="33">
        <v>1</v>
      </c>
      <c r="D32" s="34" t="s">
        <v>200</v>
      </c>
      <c r="E32" s="34" t="s">
        <v>211</v>
      </c>
      <c r="F32" s="33">
        <v>0</v>
      </c>
      <c r="G32" s="33">
        <v>0.25</v>
      </c>
      <c r="H32" s="33" t="s">
        <v>215</v>
      </c>
      <c r="I32" s="33">
        <v>500</v>
      </c>
      <c r="J32" s="25"/>
    </row>
    <row r="33" spans="1:10" ht="18" customHeight="1" x14ac:dyDescent="0.3">
      <c r="A33" s="32" t="s">
        <v>114</v>
      </c>
      <c r="B33" s="33" t="s">
        <v>23</v>
      </c>
      <c r="C33" s="33">
        <v>1</v>
      </c>
      <c r="D33" s="34" t="s">
        <v>200</v>
      </c>
      <c r="E33" s="34" t="s">
        <v>212</v>
      </c>
      <c r="F33" s="33">
        <v>0</v>
      </c>
      <c r="G33" s="33">
        <v>0.25</v>
      </c>
      <c r="H33" s="33" t="s">
        <v>215</v>
      </c>
      <c r="I33" s="33">
        <v>500</v>
      </c>
      <c r="J33" s="25"/>
    </row>
    <row r="34" spans="1:10" ht="18" customHeight="1" x14ac:dyDescent="0.3">
      <c r="A34" s="32" t="s">
        <v>114</v>
      </c>
      <c r="B34" s="33" t="s">
        <v>23</v>
      </c>
      <c r="C34" s="33">
        <v>1</v>
      </c>
      <c r="D34" s="34" t="s">
        <v>200</v>
      </c>
      <c r="E34" s="34" t="s">
        <v>213</v>
      </c>
      <c r="F34" s="33">
        <v>0</v>
      </c>
      <c r="G34" s="33">
        <v>0.25</v>
      </c>
      <c r="H34" s="33" t="s">
        <v>215</v>
      </c>
      <c r="I34" s="33">
        <v>500</v>
      </c>
      <c r="J34" s="25"/>
    </row>
    <row r="35" spans="1:10" ht="18" customHeight="1" x14ac:dyDescent="0.3">
      <c r="A35" s="32" t="s">
        <v>114</v>
      </c>
      <c r="B35" s="33" t="s">
        <v>23</v>
      </c>
      <c r="C35" s="33">
        <v>1</v>
      </c>
      <c r="D35" s="34" t="s">
        <v>200</v>
      </c>
      <c r="E35" s="34" t="s">
        <v>214</v>
      </c>
      <c r="F35" s="33">
        <v>0</v>
      </c>
      <c r="G35" s="33">
        <v>0.25</v>
      </c>
      <c r="H35" s="33" t="s">
        <v>215</v>
      </c>
      <c r="I35" s="33">
        <v>500</v>
      </c>
      <c r="J35" s="25"/>
    </row>
    <row r="36" spans="1:10" ht="18" customHeight="1" x14ac:dyDescent="0.3">
      <c r="A36" s="32" t="s">
        <v>114</v>
      </c>
      <c r="B36" s="33" t="s">
        <v>23</v>
      </c>
      <c r="C36" s="33">
        <v>1</v>
      </c>
      <c r="D36" s="34" t="s">
        <v>200</v>
      </c>
      <c r="E36" s="34" t="s">
        <v>216</v>
      </c>
      <c r="F36" s="33">
        <v>0</v>
      </c>
      <c r="G36" s="33">
        <v>0.3</v>
      </c>
      <c r="H36" s="33" t="s">
        <v>202</v>
      </c>
      <c r="I36" s="33">
        <v>100</v>
      </c>
      <c r="J36" s="25"/>
    </row>
    <row r="37" spans="1:10" ht="18" customHeight="1" x14ac:dyDescent="0.3">
      <c r="A37" s="32" t="s">
        <v>114</v>
      </c>
      <c r="B37" s="33" t="s">
        <v>23</v>
      </c>
      <c r="C37" s="33">
        <v>1</v>
      </c>
      <c r="D37" s="34" t="s">
        <v>200</v>
      </c>
      <c r="E37" s="34" t="s">
        <v>216</v>
      </c>
      <c r="F37" s="33">
        <v>0</v>
      </c>
      <c r="G37" s="33">
        <v>0.45</v>
      </c>
      <c r="H37" s="33" t="s">
        <v>215</v>
      </c>
      <c r="I37" s="33">
        <v>500</v>
      </c>
      <c r="J37" s="25"/>
    </row>
    <row r="38" spans="1:10" ht="18" customHeight="1" x14ac:dyDescent="0.3">
      <c r="A38" s="32" t="s">
        <v>114</v>
      </c>
      <c r="B38" s="33" t="s">
        <v>23</v>
      </c>
      <c r="C38" s="33">
        <v>1</v>
      </c>
      <c r="D38" s="34" t="s">
        <v>200</v>
      </c>
      <c r="E38" s="34" t="s">
        <v>217</v>
      </c>
      <c r="F38" s="33">
        <v>0</v>
      </c>
      <c r="G38" s="33">
        <v>0.2</v>
      </c>
      <c r="H38" s="33" t="s">
        <v>202</v>
      </c>
      <c r="I38" s="33">
        <v>100</v>
      </c>
      <c r="J38" s="25"/>
    </row>
    <row r="39" spans="1:10" ht="18" customHeight="1" x14ac:dyDescent="0.3">
      <c r="A39" s="32" t="s">
        <v>114</v>
      </c>
      <c r="B39" s="33" t="s">
        <v>23</v>
      </c>
      <c r="C39" s="33">
        <v>1</v>
      </c>
      <c r="D39" s="34" t="s">
        <v>200</v>
      </c>
      <c r="E39" s="34" t="s">
        <v>218</v>
      </c>
      <c r="F39" s="33">
        <v>0</v>
      </c>
      <c r="G39" s="33">
        <v>0.2</v>
      </c>
      <c r="H39" s="33" t="s">
        <v>202</v>
      </c>
      <c r="I39" s="33">
        <v>100</v>
      </c>
      <c r="J39" s="25"/>
    </row>
    <row r="40" spans="1:10" ht="18" customHeight="1" x14ac:dyDescent="0.3">
      <c r="A40" s="32" t="s">
        <v>114</v>
      </c>
      <c r="B40" s="33" t="s">
        <v>23</v>
      </c>
      <c r="C40" s="33">
        <v>1</v>
      </c>
      <c r="D40" s="34" t="s">
        <v>200</v>
      </c>
      <c r="E40" s="34" t="s">
        <v>219</v>
      </c>
      <c r="F40" s="33">
        <v>0</v>
      </c>
      <c r="G40" s="33">
        <v>0.2</v>
      </c>
      <c r="H40" s="33" t="s">
        <v>202</v>
      </c>
      <c r="I40" s="33">
        <v>100</v>
      </c>
      <c r="J40" s="25"/>
    </row>
    <row r="41" spans="1:10" ht="18" customHeight="1" x14ac:dyDescent="0.3">
      <c r="A41" s="32" t="s">
        <v>114</v>
      </c>
      <c r="B41" s="33" t="s">
        <v>23</v>
      </c>
      <c r="C41" s="33">
        <v>1</v>
      </c>
      <c r="D41" s="34" t="s">
        <v>200</v>
      </c>
      <c r="E41" s="34" t="s">
        <v>220</v>
      </c>
      <c r="F41" s="33">
        <v>0</v>
      </c>
      <c r="G41" s="33">
        <v>0.2</v>
      </c>
      <c r="H41" s="33" t="s">
        <v>202</v>
      </c>
      <c r="I41" s="33">
        <v>100</v>
      </c>
      <c r="J41" s="25"/>
    </row>
    <row r="42" spans="1:10" ht="18" customHeight="1" x14ac:dyDescent="0.3">
      <c r="A42" s="32" t="s">
        <v>114</v>
      </c>
      <c r="B42" s="33" t="s">
        <v>23</v>
      </c>
      <c r="C42" s="33">
        <v>1</v>
      </c>
      <c r="D42" s="34" t="s">
        <v>200</v>
      </c>
      <c r="E42" s="34" t="s">
        <v>217</v>
      </c>
      <c r="F42" s="33">
        <v>0</v>
      </c>
      <c r="G42" s="33">
        <v>0.35</v>
      </c>
      <c r="H42" s="33" t="s">
        <v>215</v>
      </c>
      <c r="I42" s="33">
        <v>500</v>
      </c>
      <c r="J42" s="25"/>
    </row>
    <row r="43" spans="1:10" ht="18" customHeight="1" x14ac:dyDescent="0.3">
      <c r="A43" s="32" t="s">
        <v>114</v>
      </c>
      <c r="B43" s="33" t="s">
        <v>23</v>
      </c>
      <c r="C43" s="33">
        <v>1</v>
      </c>
      <c r="D43" s="34" t="s">
        <v>200</v>
      </c>
      <c r="E43" s="34" t="s">
        <v>218</v>
      </c>
      <c r="F43" s="33">
        <v>0</v>
      </c>
      <c r="G43" s="33">
        <v>0.35</v>
      </c>
      <c r="H43" s="33" t="s">
        <v>215</v>
      </c>
      <c r="I43" s="33">
        <v>500</v>
      </c>
      <c r="J43" s="25"/>
    </row>
    <row r="44" spans="1:10" ht="18" customHeight="1" x14ac:dyDescent="0.3">
      <c r="A44" s="32" t="s">
        <v>114</v>
      </c>
      <c r="B44" s="33" t="s">
        <v>23</v>
      </c>
      <c r="C44" s="33">
        <v>1</v>
      </c>
      <c r="D44" s="34" t="s">
        <v>200</v>
      </c>
      <c r="E44" s="34" t="s">
        <v>219</v>
      </c>
      <c r="F44" s="33">
        <v>0</v>
      </c>
      <c r="G44" s="33">
        <v>0.35</v>
      </c>
      <c r="H44" s="33" t="s">
        <v>215</v>
      </c>
      <c r="I44" s="33">
        <v>500</v>
      </c>
      <c r="J44" s="25"/>
    </row>
    <row r="45" spans="1:10" ht="18" customHeight="1" x14ac:dyDescent="0.3">
      <c r="A45" s="32" t="s">
        <v>114</v>
      </c>
      <c r="B45" s="33" t="s">
        <v>23</v>
      </c>
      <c r="C45" s="33">
        <v>1</v>
      </c>
      <c r="D45" s="34" t="s">
        <v>200</v>
      </c>
      <c r="E45" s="34" t="s">
        <v>220</v>
      </c>
      <c r="F45" s="33">
        <v>0</v>
      </c>
      <c r="G45" s="33">
        <v>0.35</v>
      </c>
      <c r="H45" s="33" t="s">
        <v>215</v>
      </c>
      <c r="I45" s="33">
        <v>500</v>
      </c>
      <c r="J45" s="25"/>
    </row>
    <row r="46" spans="1:10" ht="18" customHeight="1" x14ac:dyDescent="0.3">
      <c r="A46" s="32" t="s">
        <v>114</v>
      </c>
      <c r="B46" s="33" t="s">
        <v>23</v>
      </c>
      <c r="C46" s="33">
        <v>1</v>
      </c>
      <c r="D46" s="34" t="s">
        <v>221</v>
      </c>
      <c r="E46" s="34" t="s">
        <v>198</v>
      </c>
      <c r="F46" s="33">
        <v>0</v>
      </c>
      <c r="G46" s="33">
        <v>0.5</v>
      </c>
      <c r="H46" s="33"/>
      <c r="I46" s="33">
        <v>0</v>
      </c>
      <c r="J46" s="25"/>
    </row>
    <row r="47" spans="1:10" ht="18" customHeight="1" x14ac:dyDescent="0.3">
      <c r="A47" s="32" t="s">
        <v>339</v>
      </c>
      <c r="B47" s="33" t="s">
        <v>23</v>
      </c>
      <c r="C47" s="33">
        <v>1</v>
      </c>
      <c r="D47" s="34" t="s">
        <v>190</v>
      </c>
      <c r="E47" s="34" t="s">
        <v>198</v>
      </c>
      <c r="F47" s="33">
        <v>0</v>
      </c>
      <c r="G47" s="33">
        <v>0.3</v>
      </c>
      <c r="H47" s="33"/>
      <c r="I47" s="33">
        <v>0</v>
      </c>
      <c r="J47" s="25"/>
    </row>
    <row r="48" spans="1:10" ht="18" customHeight="1" x14ac:dyDescent="0.3">
      <c r="A48" s="32" t="s">
        <v>339</v>
      </c>
      <c r="B48" s="33" t="s">
        <v>23</v>
      </c>
      <c r="C48" s="33">
        <v>1</v>
      </c>
      <c r="D48" s="34" t="s">
        <v>197</v>
      </c>
      <c r="E48" s="34" t="s">
        <v>198</v>
      </c>
      <c r="F48" s="33">
        <v>0</v>
      </c>
      <c r="G48" s="33">
        <v>0.05</v>
      </c>
      <c r="H48" s="33"/>
      <c r="I48" s="33">
        <v>0</v>
      </c>
      <c r="J48" s="25"/>
    </row>
    <row r="49" spans="1:10" ht="18" customHeight="1" x14ac:dyDescent="0.3">
      <c r="A49" s="32" t="s">
        <v>339</v>
      </c>
      <c r="B49" s="33" t="s">
        <v>23</v>
      </c>
      <c r="C49" s="33">
        <v>1</v>
      </c>
      <c r="D49" s="34" t="s">
        <v>197</v>
      </c>
      <c r="E49" s="34" t="s">
        <v>199</v>
      </c>
      <c r="F49" s="33">
        <v>0</v>
      </c>
      <c r="G49" s="33">
        <v>0</v>
      </c>
      <c r="H49" s="33"/>
      <c r="I49" s="33">
        <v>0</v>
      </c>
      <c r="J49" s="25"/>
    </row>
    <row r="50" spans="1:10" ht="18" customHeight="1" x14ac:dyDescent="0.3">
      <c r="A50" s="32" t="s">
        <v>339</v>
      </c>
      <c r="B50" s="33" t="s">
        <v>23</v>
      </c>
      <c r="C50" s="33">
        <v>1</v>
      </c>
      <c r="D50" s="34" t="s">
        <v>200</v>
      </c>
      <c r="E50" s="34" t="s">
        <v>201</v>
      </c>
      <c r="F50" s="33">
        <v>0</v>
      </c>
      <c r="G50" s="33">
        <v>0.35</v>
      </c>
      <c r="H50" s="33" t="s">
        <v>202</v>
      </c>
      <c r="I50" s="33">
        <v>100</v>
      </c>
      <c r="J50" s="25"/>
    </row>
    <row r="51" spans="1:10" ht="18" customHeight="1" x14ac:dyDescent="0.3">
      <c r="A51" s="32" t="s">
        <v>339</v>
      </c>
      <c r="B51" s="33" t="s">
        <v>23</v>
      </c>
      <c r="C51" s="33">
        <v>1</v>
      </c>
      <c r="D51" s="34" t="s">
        <v>200</v>
      </c>
      <c r="E51" s="34" t="s">
        <v>203</v>
      </c>
      <c r="F51" s="33">
        <v>0</v>
      </c>
      <c r="G51" s="33">
        <v>0.3</v>
      </c>
      <c r="H51" s="33" t="s">
        <v>202</v>
      </c>
      <c r="I51" s="33">
        <v>100</v>
      </c>
      <c r="J51" s="25"/>
    </row>
    <row r="52" spans="1:10" ht="18" customHeight="1" x14ac:dyDescent="0.3">
      <c r="A52" s="32" t="s">
        <v>339</v>
      </c>
      <c r="B52" s="33" t="s">
        <v>23</v>
      </c>
      <c r="C52" s="33">
        <v>1</v>
      </c>
      <c r="D52" s="34" t="s">
        <v>200</v>
      </c>
      <c r="E52" s="34" t="s">
        <v>204</v>
      </c>
      <c r="F52" s="33">
        <v>0</v>
      </c>
      <c r="G52" s="33">
        <v>0.3</v>
      </c>
      <c r="H52" s="33" t="s">
        <v>202</v>
      </c>
      <c r="I52" s="33">
        <v>100</v>
      </c>
      <c r="J52" s="25"/>
    </row>
    <row r="53" spans="1:10" ht="18" customHeight="1" x14ac:dyDescent="0.3">
      <c r="A53" s="32" t="s">
        <v>339</v>
      </c>
      <c r="B53" s="33" t="s">
        <v>23</v>
      </c>
      <c r="C53" s="33">
        <v>1</v>
      </c>
      <c r="D53" s="34" t="s">
        <v>200</v>
      </c>
      <c r="E53" s="34" t="s">
        <v>206</v>
      </c>
      <c r="F53" s="33">
        <v>0</v>
      </c>
      <c r="G53" s="33">
        <v>0.3</v>
      </c>
      <c r="H53" s="33" t="s">
        <v>202</v>
      </c>
      <c r="I53" s="33">
        <v>100</v>
      </c>
      <c r="J53" s="25"/>
    </row>
    <row r="54" spans="1:10" ht="18" customHeight="1" x14ac:dyDescent="0.3">
      <c r="A54" s="32" t="s">
        <v>339</v>
      </c>
      <c r="B54" s="33" t="s">
        <v>23</v>
      </c>
      <c r="C54" s="33">
        <v>1</v>
      </c>
      <c r="D54" s="34" t="s">
        <v>200</v>
      </c>
      <c r="E54" s="34" t="s">
        <v>209</v>
      </c>
      <c r="F54" s="33">
        <v>0</v>
      </c>
      <c r="G54" s="33">
        <v>0.3</v>
      </c>
      <c r="H54" s="33" t="s">
        <v>202</v>
      </c>
      <c r="I54" s="33">
        <v>100</v>
      </c>
      <c r="J54" s="25"/>
    </row>
    <row r="55" spans="1:10" ht="18" customHeight="1" x14ac:dyDescent="0.3">
      <c r="A55" s="32" t="s">
        <v>339</v>
      </c>
      <c r="B55" s="33" t="s">
        <v>23</v>
      </c>
      <c r="C55" s="33">
        <v>1</v>
      </c>
      <c r="D55" s="34" t="s">
        <v>200</v>
      </c>
      <c r="E55" s="34" t="s">
        <v>201</v>
      </c>
      <c r="F55" s="33">
        <v>0</v>
      </c>
      <c r="G55" s="33">
        <v>0.5</v>
      </c>
      <c r="H55" s="33" t="s">
        <v>215</v>
      </c>
      <c r="I55" s="33">
        <v>500</v>
      </c>
      <c r="J55" s="25"/>
    </row>
    <row r="56" spans="1:10" ht="18" customHeight="1" x14ac:dyDescent="0.3">
      <c r="A56" s="32" t="s">
        <v>339</v>
      </c>
      <c r="B56" s="33" t="s">
        <v>23</v>
      </c>
      <c r="C56" s="33">
        <v>1</v>
      </c>
      <c r="D56" s="34" t="s">
        <v>200</v>
      </c>
      <c r="E56" s="34" t="s">
        <v>203</v>
      </c>
      <c r="F56" s="33">
        <v>0</v>
      </c>
      <c r="G56" s="33">
        <v>0.5</v>
      </c>
      <c r="H56" s="33" t="s">
        <v>215</v>
      </c>
      <c r="I56" s="33">
        <v>500</v>
      </c>
      <c r="J56" s="25"/>
    </row>
    <row r="57" spans="1:10" ht="18" customHeight="1" x14ac:dyDescent="0.3">
      <c r="A57" s="32" t="s">
        <v>339</v>
      </c>
      <c r="B57" s="33" t="s">
        <v>23</v>
      </c>
      <c r="C57" s="33">
        <v>1</v>
      </c>
      <c r="D57" s="34" t="s">
        <v>200</v>
      </c>
      <c r="E57" s="34" t="s">
        <v>204</v>
      </c>
      <c r="F57" s="33">
        <v>0</v>
      </c>
      <c r="G57" s="33">
        <v>0.5</v>
      </c>
      <c r="H57" s="33" t="s">
        <v>215</v>
      </c>
      <c r="I57" s="33">
        <v>500</v>
      </c>
      <c r="J57" s="25"/>
    </row>
    <row r="58" spans="1:10" ht="18" customHeight="1" x14ac:dyDescent="0.3">
      <c r="A58" s="32" t="s">
        <v>339</v>
      </c>
      <c r="B58" s="33" t="s">
        <v>23</v>
      </c>
      <c r="C58" s="33">
        <v>1</v>
      </c>
      <c r="D58" s="34" t="s">
        <v>200</v>
      </c>
      <c r="E58" s="34" t="s">
        <v>206</v>
      </c>
      <c r="F58" s="33">
        <v>0</v>
      </c>
      <c r="G58" s="33">
        <v>0.5</v>
      </c>
      <c r="H58" s="33" t="s">
        <v>215</v>
      </c>
      <c r="I58" s="33">
        <v>500</v>
      </c>
      <c r="J58" s="25"/>
    </row>
    <row r="59" spans="1:10" ht="18" customHeight="1" x14ac:dyDescent="0.3">
      <c r="A59" s="32" t="s">
        <v>339</v>
      </c>
      <c r="B59" s="33" t="s">
        <v>23</v>
      </c>
      <c r="C59" s="33">
        <v>1</v>
      </c>
      <c r="D59" s="34" t="s">
        <v>200</v>
      </c>
      <c r="E59" s="34" t="s">
        <v>209</v>
      </c>
      <c r="F59" s="33">
        <v>0</v>
      </c>
      <c r="G59" s="33">
        <v>0.5</v>
      </c>
      <c r="H59" s="33" t="s">
        <v>215</v>
      </c>
      <c r="I59" s="33">
        <v>500</v>
      </c>
      <c r="J59" s="25"/>
    </row>
    <row r="60" spans="1:10" ht="18" customHeight="1" x14ac:dyDescent="0.3">
      <c r="A60" s="32" t="s">
        <v>339</v>
      </c>
      <c r="B60" s="33" t="s">
        <v>23</v>
      </c>
      <c r="C60" s="33">
        <v>1</v>
      </c>
      <c r="D60" s="34" t="s">
        <v>221</v>
      </c>
      <c r="E60" s="34" t="s">
        <v>198</v>
      </c>
      <c r="F60" s="33">
        <v>0</v>
      </c>
      <c r="G60" s="33">
        <v>0.5</v>
      </c>
      <c r="H60" s="33"/>
      <c r="I60" s="33">
        <v>0</v>
      </c>
      <c r="J60" s="25"/>
    </row>
    <row r="61" spans="1:10" x14ac:dyDescent="0.3">
      <c r="A61" s="30" t="s">
        <v>406</v>
      </c>
      <c r="B61" s="33" t="s">
        <v>23</v>
      </c>
      <c r="C61" s="33">
        <v>1</v>
      </c>
      <c r="D61" s="34" t="s">
        <v>188</v>
      </c>
      <c r="E61" s="34" t="s">
        <v>189</v>
      </c>
      <c r="F61" s="33">
        <v>0</v>
      </c>
      <c r="G61" s="33">
        <v>0.15</v>
      </c>
      <c r="H61" s="33"/>
      <c r="I61" s="33">
        <v>0</v>
      </c>
    </row>
    <row r="62" spans="1:10" x14ac:dyDescent="0.3">
      <c r="A62" s="30" t="s">
        <v>406</v>
      </c>
      <c r="B62" s="33" t="s">
        <v>23</v>
      </c>
      <c r="C62" s="33">
        <v>1</v>
      </c>
      <c r="D62" s="34" t="s">
        <v>190</v>
      </c>
      <c r="E62" s="34" t="s">
        <v>198</v>
      </c>
      <c r="F62" s="33">
        <v>0</v>
      </c>
      <c r="G62" s="33">
        <v>0.3</v>
      </c>
      <c r="H62" s="33"/>
      <c r="I62" s="33">
        <v>0</v>
      </c>
    </row>
    <row r="63" spans="1:10" x14ac:dyDescent="0.3">
      <c r="A63" s="30" t="s">
        <v>406</v>
      </c>
      <c r="B63" s="33" t="s">
        <v>23</v>
      </c>
      <c r="C63" s="33">
        <v>1</v>
      </c>
      <c r="D63" s="34" t="s">
        <v>197</v>
      </c>
      <c r="E63" s="34" t="s">
        <v>198</v>
      </c>
      <c r="F63" s="33">
        <v>0</v>
      </c>
      <c r="G63" s="33">
        <v>0.05</v>
      </c>
      <c r="H63" s="33"/>
      <c r="I63" s="33">
        <v>0</v>
      </c>
    </row>
    <row r="64" spans="1:10" x14ac:dyDescent="0.3">
      <c r="A64" s="30" t="s">
        <v>406</v>
      </c>
      <c r="B64" s="33" t="s">
        <v>23</v>
      </c>
      <c r="C64" s="33">
        <v>1</v>
      </c>
      <c r="D64" s="34" t="s">
        <v>197</v>
      </c>
      <c r="E64" s="34" t="s">
        <v>199</v>
      </c>
      <c r="F64" s="33">
        <v>0</v>
      </c>
      <c r="G64" s="33">
        <v>0</v>
      </c>
      <c r="H64" s="33"/>
      <c r="I64" s="33">
        <v>0</v>
      </c>
    </row>
    <row r="65" spans="1:9" x14ac:dyDescent="0.3">
      <c r="A65" s="30" t="s">
        <v>406</v>
      </c>
      <c r="B65" s="33" t="s">
        <v>23</v>
      </c>
      <c r="C65" s="33">
        <v>1</v>
      </c>
      <c r="D65" s="34" t="s">
        <v>200</v>
      </c>
      <c r="E65" s="34" t="s">
        <v>207</v>
      </c>
      <c r="F65" s="33">
        <v>0</v>
      </c>
      <c r="G65" s="33">
        <v>0.2</v>
      </c>
      <c r="H65" s="33" t="s">
        <v>202</v>
      </c>
      <c r="I65" s="33">
        <v>100</v>
      </c>
    </row>
    <row r="66" spans="1:9" x14ac:dyDescent="0.3">
      <c r="A66" s="30" t="s">
        <v>406</v>
      </c>
      <c r="B66" s="33" t="s">
        <v>23</v>
      </c>
      <c r="C66" s="33">
        <v>1</v>
      </c>
      <c r="D66" s="34" t="s">
        <v>200</v>
      </c>
      <c r="E66" s="34" t="s">
        <v>207</v>
      </c>
      <c r="F66" s="33">
        <v>0</v>
      </c>
      <c r="G66" s="33">
        <v>0.35</v>
      </c>
      <c r="H66" s="33" t="s">
        <v>215</v>
      </c>
      <c r="I66" s="33">
        <v>500</v>
      </c>
    </row>
    <row r="67" spans="1:9" x14ac:dyDescent="0.3">
      <c r="A67" s="30" t="s">
        <v>406</v>
      </c>
      <c r="B67" s="33" t="s">
        <v>23</v>
      </c>
      <c r="C67" s="33">
        <v>1</v>
      </c>
      <c r="D67" s="34" t="s">
        <v>200</v>
      </c>
      <c r="E67" s="34" t="s">
        <v>216</v>
      </c>
      <c r="F67" s="33">
        <v>0</v>
      </c>
      <c r="G67" s="33">
        <v>0.3</v>
      </c>
      <c r="H67" s="33" t="s">
        <v>202</v>
      </c>
      <c r="I67" s="33">
        <v>100</v>
      </c>
    </row>
    <row r="68" spans="1:9" x14ac:dyDescent="0.3">
      <c r="A68" s="30" t="s">
        <v>406</v>
      </c>
      <c r="B68" s="33" t="s">
        <v>23</v>
      </c>
      <c r="C68" s="33">
        <v>1</v>
      </c>
      <c r="D68" s="34" t="s">
        <v>200</v>
      </c>
      <c r="E68" s="34" t="s">
        <v>216</v>
      </c>
      <c r="F68" s="33">
        <v>0</v>
      </c>
      <c r="G68" s="33">
        <v>0.45</v>
      </c>
      <c r="H68" s="33" t="s">
        <v>215</v>
      </c>
      <c r="I68" s="33">
        <v>500</v>
      </c>
    </row>
    <row r="69" spans="1:9" x14ac:dyDescent="0.3">
      <c r="A69" s="30" t="s">
        <v>406</v>
      </c>
      <c r="B69" s="33" t="s">
        <v>23</v>
      </c>
      <c r="C69" s="33">
        <v>1</v>
      </c>
      <c r="D69" s="34" t="s">
        <v>221</v>
      </c>
      <c r="E69" s="34" t="s">
        <v>198</v>
      </c>
      <c r="F69" s="33">
        <v>0</v>
      </c>
      <c r="G69" s="33">
        <v>0.5</v>
      </c>
      <c r="H69" s="33"/>
      <c r="I69" s="33">
        <v>0</v>
      </c>
    </row>
    <row r="70" spans="1:9" x14ac:dyDescent="0.3">
      <c r="A70" s="30" t="s">
        <v>468</v>
      </c>
      <c r="B70" s="33" t="s">
        <v>23</v>
      </c>
      <c r="C70" s="33">
        <v>1</v>
      </c>
      <c r="D70" s="34" t="s">
        <v>188</v>
      </c>
      <c r="E70" s="34" t="s">
        <v>189</v>
      </c>
      <c r="F70" s="33">
        <v>0</v>
      </c>
      <c r="G70" s="33">
        <v>0.15</v>
      </c>
      <c r="H70" s="33"/>
      <c r="I70" s="33">
        <v>0</v>
      </c>
    </row>
    <row r="71" spans="1:9" x14ac:dyDescent="0.3">
      <c r="A71" s="30" t="s">
        <v>468</v>
      </c>
      <c r="B71" s="33" t="s">
        <v>23</v>
      </c>
      <c r="C71" s="33">
        <v>1</v>
      </c>
      <c r="D71" s="34" t="s">
        <v>190</v>
      </c>
      <c r="E71" s="34" t="s">
        <v>198</v>
      </c>
      <c r="F71" s="33">
        <v>0</v>
      </c>
      <c r="G71" s="33">
        <v>0.3</v>
      </c>
      <c r="H71" s="33"/>
      <c r="I71" s="33">
        <v>0</v>
      </c>
    </row>
    <row r="72" spans="1:9" x14ac:dyDescent="0.3">
      <c r="A72" s="30" t="s">
        <v>468</v>
      </c>
      <c r="B72" s="33" t="s">
        <v>23</v>
      </c>
      <c r="C72" s="33">
        <v>1</v>
      </c>
      <c r="D72" s="34" t="s">
        <v>197</v>
      </c>
      <c r="E72" s="34" t="s">
        <v>198</v>
      </c>
      <c r="F72" s="33">
        <v>0</v>
      </c>
      <c r="G72" s="33">
        <v>0.05</v>
      </c>
      <c r="H72" s="33"/>
      <c r="I72" s="33">
        <v>0</v>
      </c>
    </row>
    <row r="73" spans="1:9" x14ac:dyDescent="0.3">
      <c r="A73" s="30" t="s">
        <v>468</v>
      </c>
      <c r="B73" s="33" t="s">
        <v>23</v>
      </c>
      <c r="C73" s="33">
        <v>1</v>
      </c>
      <c r="D73" s="34" t="s">
        <v>197</v>
      </c>
      <c r="E73" s="34" t="s">
        <v>199</v>
      </c>
      <c r="F73" s="33">
        <v>0</v>
      </c>
      <c r="G73" s="33">
        <v>0</v>
      </c>
      <c r="H73" s="33"/>
      <c r="I73" s="33">
        <v>0</v>
      </c>
    </row>
    <row r="74" spans="1:9" x14ac:dyDescent="0.3">
      <c r="A74" s="30" t="s">
        <v>468</v>
      </c>
      <c r="B74" s="33" t="s">
        <v>23</v>
      </c>
      <c r="C74" s="33">
        <v>1</v>
      </c>
      <c r="D74" s="34" t="s">
        <v>200</v>
      </c>
      <c r="E74" s="34" t="s">
        <v>201</v>
      </c>
      <c r="F74" s="33">
        <v>0</v>
      </c>
      <c r="G74" s="33">
        <v>0.35</v>
      </c>
      <c r="H74" s="33" t="s">
        <v>202</v>
      </c>
      <c r="I74" s="33">
        <v>100</v>
      </c>
    </row>
    <row r="75" spans="1:9" x14ac:dyDescent="0.3">
      <c r="A75" s="30" t="s">
        <v>468</v>
      </c>
      <c r="B75" s="33" t="s">
        <v>23</v>
      </c>
      <c r="C75" s="33">
        <v>1</v>
      </c>
      <c r="D75" s="34" t="s">
        <v>200</v>
      </c>
      <c r="E75" s="34" t="s">
        <v>203</v>
      </c>
      <c r="F75" s="33">
        <v>0</v>
      </c>
      <c r="G75" s="33">
        <v>0.3</v>
      </c>
      <c r="H75" s="33" t="s">
        <v>202</v>
      </c>
      <c r="I75" s="33">
        <v>100</v>
      </c>
    </row>
    <row r="76" spans="1:9" x14ac:dyDescent="0.3">
      <c r="A76" s="30" t="s">
        <v>468</v>
      </c>
      <c r="B76" s="33" t="s">
        <v>23</v>
      </c>
      <c r="C76" s="33">
        <v>1</v>
      </c>
      <c r="D76" s="34" t="s">
        <v>200</v>
      </c>
      <c r="E76" s="34" t="s">
        <v>204</v>
      </c>
      <c r="F76" s="33">
        <v>0</v>
      </c>
      <c r="G76" s="33">
        <v>0.3</v>
      </c>
      <c r="H76" s="33" t="s">
        <v>202</v>
      </c>
      <c r="I76" s="33">
        <v>100</v>
      </c>
    </row>
    <row r="77" spans="1:9" x14ac:dyDescent="0.3">
      <c r="A77" s="30" t="s">
        <v>468</v>
      </c>
      <c r="B77" s="33" t="s">
        <v>23</v>
      </c>
      <c r="C77" s="33">
        <v>1</v>
      </c>
      <c r="D77" s="34" t="s">
        <v>200</v>
      </c>
      <c r="E77" s="34" t="s">
        <v>206</v>
      </c>
      <c r="F77" s="33">
        <v>0</v>
      </c>
      <c r="G77" s="33">
        <v>0.3</v>
      </c>
      <c r="H77" s="33" t="s">
        <v>202</v>
      </c>
      <c r="I77" s="33">
        <v>100</v>
      </c>
    </row>
    <row r="78" spans="1:9" x14ac:dyDescent="0.3">
      <c r="A78" s="30" t="s">
        <v>468</v>
      </c>
      <c r="B78" s="33" t="s">
        <v>23</v>
      </c>
      <c r="C78" s="33">
        <v>1</v>
      </c>
      <c r="D78" s="34" t="s">
        <v>200</v>
      </c>
      <c r="E78" s="34" t="s">
        <v>207</v>
      </c>
      <c r="F78" s="33">
        <v>0</v>
      </c>
      <c r="G78" s="33">
        <v>0.2</v>
      </c>
      <c r="H78" s="33" t="s">
        <v>202</v>
      </c>
      <c r="I78" s="33">
        <v>100</v>
      </c>
    </row>
    <row r="79" spans="1:9" x14ac:dyDescent="0.3">
      <c r="A79" s="30" t="s">
        <v>468</v>
      </c>
      <c r="B79" s="33" t="s">
        <v>23</v>
      </c>
      <c r="C79" s="33">
        <v>1</v>
      </c>
      <c r="D79" s="34" t="s">
        <v>200</v>
      </c>
      <c r="E79" s="34" t="s">
        <v>201</v>
      </c>
      <c r="F79" s="33">
        <v>0</v>
      </c>
      <c r="G79" s="33">
        <v>0.5</v>
      </c>
      <c r="H79" s="33" t="s">
        <v>215</v>
      </c>
      <c r="I79" s="33">
        <v>500</v>
      </c>
    </row>
    <row r="80" spans="1:9" x14ac:dyDescent="0.3">
      <c r="A80" s="30" t="s">
        <v>468</v>
      </c>
      <c r="B80" s="33" t="s">
        <v>23</v>
      </c>
      <c r="C80" s="33">
        <v>1</v>
      </c>
      <c r="D80" s="34" t="s">
        <v>200</v>
      </c>
      <c r="E80" s="34" t="s">
        <v>203</v>
      </c>
      <c r="F80" s="33">
        <v>0</v>
      </c>
      <c r="G80" s="33">
        <v>0.5</v>
      </c>
      <c r="H80" s="33" t="s">
        <v>215</v>
      </c>
      <c r="I80" s="33">
        <v>500</v>
      </c>
    </row>
    <row r="81" spans="1:9" x14ac:dyDescent="0.3">
      <c r="A81" s="30" t="s">
        <v>468</v>
      </c>
      <c r="B81" s="33" t="s">
        <v>23</v>
      </c>
      <c r="C81" s="33">
        <v>1</v>
      </c>
      <c r="D81" s="34" t="s">
        <v>200</v>
      </c>
      <c r="E81" s="34" t="s">
        <v>204</v>
      </c>
      <c r="F81" s="33">
        <v>0</v>
      </c>
      <c r="G81" s="33">
        <v>0.5</v>
      </c>
      <c r="H81" s="33" t="s">
        <v>215</v>
      </c>
      <c r="I81" s="33">
        <v>500</v>
      </c>
    </row>
    <row r="82" spans="1:9" x14ac:dyDescent="0.3">
      <c r="A82" s="30" t="s">
        <v>468</v>
      </c>
      <c r="B82" s="33" t="s">
        <v>23</v>
      </c>
      <c r="C82" s="33">
        <v>1</v>
      </c>
      <c r="D82" s="34" t="s">
        <v>200</v>
      </c>
      <c r="E82" s="34" t="s">
        <v>206</v>
      </c>
      <c r="F82" s="33">
        <v>0</v>
      </c>
      <c r="G82" s="33">
        <v>0.5</v>
      </c>
      <c r="H82" s="33" t="s">
        <v>215</v>
      </c>
      <c r="I82" s="33">
        <v>500</v>
      </c>
    </row>
    <row r="83" spans="1:9" x14ac:dyDescent="0.3">
      <c r="A83" s="30" t="s">
        <v>468</v>
      </c>
      <c r="B83" s="33" t="s">
        <v>23</v>
      </c>
      <c r="C83" s="33">
        <v>1</v>
      </c>
      <c r="D83" s="34" t="s">
        <v>200</v>
      </c>
      <c r="E83" s="34" t="s">
        <v>207</v>
      </c>
      <c r="F83" s="33">
        <v>0</v>
      </c>
      <c r="G83" s="33">
        <v>0.35</v>
      </c>
      <c r="H83" s="33" t="s">
        <v>215</v>
      </c>
      <c r="I83" s="33">
        <v>500</v>
      </c>
    </row>
    <row r="84" spans="1:9" x14ac:dyDescent="0.3">
      <c r="A84" s="30" t="s">
        <v>468</v>
      </c>
      <c r="B84" s="33" t="s">
        <v>23</v>
      </c>
      <c r="C84" s="33">
        <v>1</v>
      </c>
      <c r="D84" s="34" t="s">
        <v>200</v>
      </c>
      <c r="E84" s="34" t="s">
        <v>216</v>
      </c>
      <c r="F84" s="33">
        <v>0</v>
      </c>
      <c r="G84" s="33">
        <v>0.3</v>
      </c>
      <c r="H84" s="33" t="s">
        <v>202</v>
      </c>
      <c r="I84" s="33">
        <v>100</v>
      </c>
    </row>
    <row r="85" spans="1:9" x14ac:dyDescent="0.3">
      <c r="A85" s="30" t="s">
        <v>468</v>
      </c>
      <c r="B85" s="33" t="s">
        <v>23</v>
      </c>
      <c r="C85" s="33">
        <v>1</v>
      </c>
      <c r="D85" s="34" t="s">
        <v>200</v>
      </c>
      <c r="E85" s="34" t="s">
        <v>216</v>
      </c>
      <c r="F85" s="33">
        <v>0</v>
      </c>
      <c r="G85" s="33">
        <v>0.45</v>
      </c>
      <c r="H85" s="33" t="s">
        <v>215</v>
      </c>
      <c r="I85" s="33">
        <v>500</v>
      </c>
    </row>
    <row r="86" spans="1:9" x14ac:dyDescent="0.3">
      <c r="A86" s="30" t="s">
        <v>468</v>
      </c>
      <c r="B86" s="33" t="s">
        <v>23</v>
      </c>
      <c r="C86" s="33">
        <v>1</v>
      </c>
      <c r="D86" s="34" t="s">
        <v>200</v>
      </c>
      <c r="E86" s="34" t="s">
        <v>217</v>
      </c>
      <c r="F86" s="33">
        <v>0</v>
      </c>
      <c r="G86" s="33">
        <v>0.2</v>
      </c>
      <c r="H86" s="33" t="s">
        <v>202</v>
      </c>
      <c r="I86" s="33">
        <v>100</v>
      </c>
    </row>
    <row r="87" spans="1:9" x14ac:dyDescent="0.3">
      <c r="A87" s="30" t="s">
        <v>468</v>
      </c>
      <c r="B87" s="33" t="s">
        <v>23</v>
      </c>
      <c r="C87" s="33">
        <v>1</v>
      </c>
      <c r="D87" s="34" t="s">
        <v>200</v>
      </c>
      <c r="E87" s="34" t="s">
        <v>218</v>
      </c>
      <c r="F87" s="33">
        <v>0</v>
      </c>
      <c r="G87" s="33">
        <v>0.2</v>
      </c>
      <c r="H87" s="33" t="s">
        <v>202</v>
      </c>
      <c r="I87" s="33">
        <v>100</v>
      </c>
    </row>
    <row r="88" spans="1:9" x14ac:dyDescent="0.3">
      <c r="A88" s="30" t="s">
        <v>468</v>
      </c>
      <c r="B88" s="33" t="s">
        <v>23</v>
      </c>
      <c r="C88" s="33">
        <v>1</v>
      </c>
      <c r="D88" s="34" t="s">
        <v>200</v>
      </c>
      <c r="E88" s="34" t="s">
        <v>219</v>
      </c>
      <c r="F88" s="33">
        <v>0</v>
      </c>
      <c r="G88" s="33">
        <v>0.2</v>
      </c>
      <c r="H88" s="33" t="s">
        <v>202</v>
      </c>
      <c r="I88" s="33">
        <v>100</v>
      </c>
    </row>
    <row r="89" spans="1:9" x14ac:dyDescent="0.3">
      <c r="A89" s="30" t="s">
        <v>468</v>
      </c>
      <c r="B89" s="33" t="s">
        <v>23</v>
      </c>
      <c r="C89" s="33">
        <v>1</v>
      </c>
      <c r="D89" s="34" t="s">
        <v>200</v>
      </c>
      <c r="E89" s="34" t="s">
        <v>220</v>
      </c>
      <c r="F89" s="33">
        <v>0</v>
      </c>
      <c r="G89" s="33">
        <v>0.2</v>
      </c>
      <c r="H89" s="33" t="s">
        <v>202</v>
      </c>
      <c r="I89" s="33">
        <v>100</v>
      </c>
    </row>
    <row r="90" spans="1:9" x14ac:dyDescent="0.3">
      <c r="A90" s="30" t="s">
        <v>468</v>
      </c>
      <c r="B90" s="33" t="s">
        <v>23</v>
      </c>
      <c r="C90" s="33">
        <v>1</v>
      </c>
      <c r="D90" s="34" t="s">
        <v>200</v>
      </c>
      <c r="E90" s="34" t="s">
        <v>217</v>
      </c>
      <c r="F90" s="33">
        <v>0</v>
      </c>
      <c r="G90" s="33">
        <v>0.35</v>
      </c>
      <c r="H90" s="33" t="s">
        <v>215</v>
      </c>
      <c r="I90" s="33">
        <v>500</v>
      </c>
    </row>
    <row r="91" spans="1:9" x14ac:dyDescent="0.3">
      <c r="A91" s="30" t="s">
        <v>468</v>
      </c>
      <c r="B91" s="33" t="s">
        <v>23</v>
      </c>
      <c r="C91" s="33">
        <v>1</v>
      </c>
      <c r="D91" s="34" t="s">
        <v>200</v>
      </c>
      <c r="E91" s="34" t="s">
        <v>218</v>
      </c>
      <c r="F91" s="33">
        <v>0</v>
      </c>
      <c r="G91" s="33">
        <v>0.35</v>
      </c>
      <c r="H91" s="33" t="s">
        <v>215</v>
      </c>
      <c r="I91" s="33">
        <v>500</v>
      </c>
    </row>
    <row r="92" spans="1:9" x14ac:dyDescent="0.3">
      <c r="A92" s="30" t="s">
        <v>468</v>
      </c>
      <c r="B92" s="33" t="s">
        <v>23</v>
      </c>
      <c r="C92" s="33">
        <v>1</v>
      </c>
      <c r="D92" s="34" t="s">
        <v>200</v>
      </c>
      <c r="E92" s="34" t="s">
        <v>219</v>
      </c>
      <c r="F92" s="33">
        <v>0</v>
      </c>
      <c r="G92" s="33">
        <v>0.35</v>
      </c>
      <c r="H92" s="33" t="s">
        <v>215</v>
      </c>
      <c r="I92" s="33">
        <v>500</v>
      </c>
    </row>
    <row r="93" spans="1:9" x14ac:dyDescent="0.3">
      <c r="A93" s="30" t="s">
        <v>468</v>
      </c>
      <c r="B93" s="33" t="s">
        <v>23</v>
      </c>
      <c r="C93" s="33">
        <v>1</v>
      </c>
      <c r="D93" s="34" t="s">
        <v>200</v>
      </c>
      <c r="E93" s="34" t="s">
        <v>220</v>
      </c>
      <c r="F93" s="33">
        <v>0</v>
      </c>
      <c r="G93" s="33">
        <v>0.35</v>
      </c>
      <c r="H93" s="33" t="s">
        <v>215</v>
      </c>
      <c r="I93" s="33">
        <v>500</v>
      </c>
    </row>
    <row r="94" spans="1:9" x14ac:dyDescent="0.3">
      <c r="A94" s="30" t="s">
        <v>468</v>
      </c>
      <c r="B94" s="33" t="s">
        <v>23</v>
      </c>
      <c r="C94" s="33">
        <v>1</v>
      </c>
      <c r="D94" s="34" t="s">
        <v>221</v>
      </c>
      <c r="E94" s="34" t="s">
        <v>198</v>
      </c>
      <c r="F94" s="33">
        <v>0</v>
      </c>
      <c r="G94" s="33">
        <v>0.5</v>
      </c>
      <c r="H94" s="33"/>
      <c r="I94" s="33">
        <v>0</v>
      </c>
    </row>
    <row r="95" spans="1:9" x14ac:dyDescent="0.3">
      <c r="A95" s="30" t="s">
        <v>469</v>
      </c>
      <c r="B95" s="33" t="s">
        <v>23</v>
      </c>
      <c r="C95" s="33">
        <v>1</v>
      </c>
      <c r="D95" s="34" t="s">
        <v>188</v>
      </c>
      <c r="E95" s="34" t="s">
        <v>189</v>
      </c>
      <c r="F95" s="33">
        <v>0</v>
      </c>
      <c r="G95" s="33">
        <v>0.15</v>
      </c>
      <c r="H95" s="33"/>
      <c r="I95" s="33">
        <v>0</v>
      </c>
    </row>
    <row r="96" spans="1:9" x14ac:dyDescent="0.3">
      <c r="A96" s="30" t="s">
        <v>469</v>
      </c>
      <c r="B96" s="33" t="s">
        <v>23</v>
      </c>
      <c r="C96" s="33">
        <v>1</v>
      </c>
      <c r="D96" s="34" t="s">
        <v>190</v>
      </c>
      <c r="E96" s="34" t="s">
        <v>198</v>
      </c>
      <c r="F96" s="33">
        <v>0</v>
      </c>
      <c r="G96" s="33">
        <v>0.3</v>
      </c>
      <c r="H96" s="33"/>
      <c r="I96" s="33">
        <v>0</v>
      </c>
    </row>
    <row r="97" spans="1:9" x14ac:dyDescent="0.3">
      <c r="A97" s="30" t="s">
        <v>469</v>
      </c>
      <c r="B97" s="33" t="s">
        <v>23</v>
      </c>
      <c r="C97" s="33">
        <v>1</v>
      </c>
      <c r="D97" s="34" t="s">
        <v>197</v>
      </c>
      <c r="E97" s="34" t="s">
        <v>198</v>
      </c>
      <c r="F97" s="33">
        <v>0</v>
      </c>
      <c r="G97" s="33">
        <v>0.05</v>
      </c>
      <c r="H97" s="33"/>
      <c r="I97" s="33">
        <v>0</v>
      </c>
    </row>
    <row r="98" spans="1:9" x14ac:dyDescent="0.3">
      <c r="A98" s="30" t="s">
        <v>469</v>
      </c>
      <c r="B98" s="33" t="s">
        <v>23</v>
      </c>
      <c r="C98" s="33">
        <v>1</v>
      </c>
      <c r="D98" s="34" t="s">
        <v>197</v>
      </c>
      <c r="E98" s="34" t="s">
        <v>199</v>
      </c>
      <c r="F98" s="33">
        <v>0</v>
      </c>
      <c r="G98" s="33">
        <v>0</v>
      </c>
      <c r="H98" s="33"/>
      <c r="I98" s="33">
        <v>0</v>
      </c>
    </row>
    <row r="99" spans="1:9" x14ac:dyDescent="0.3">
      <c r="A99" s="30" t="s">
        <v>469</v>
      </c>
      <c r="B99" s="33" t="s">
        <v>23</v>
      </c>
      <c r="C99" s="33">
        <v>1</v>
      </c>
      <c r="D99" s="34" t="s">
        <v>200</v>
      </c>
      <c r="E99" s="34" t="s">
        <v>201</v>
      </c>
      <c r="F99" s="33">
        <v>0</v>
      </c>
      <c r="G99" s="33">
        <v>0.35</v>
      </c>
      <c r="H99" s="33" t="s">
        <v>202</v>
      </c>
      <c r="I99" s="33">
        <v>100</v>
      </c>
    </row>
    <row r="100" spans="1:9" x14ac:dyDescent="0.3">
      <c r="A100" s="30" t="s">
        <v>469</v>
      </c>
      <c r="B100" s="33" t="s">
        <v>23</v>
      </c>
      <c r="C100" s="33">
        <v>1</v>
      </c>
      <c r="D100" s="34" t="s">
        <v>200</v>
      </c>
      <c r="E100" s="34" t="s">
        <v>203</v>
      </c>
      <c r="F100" s="33">
        <v>0</v>
      </c>
      <c r="G100" s="33">
        <v>0.3</v>
      </c>
      <c r="H100" s="33" t="s">
        <v>202</v>
      </c>
      <c r="I100" s="33">
        <v>100</v>
      </c>
    </row>
    <row r="101" spans="1:9" x14ac:dyDescent="0.3">
      <c r="A101" s="30" t="s">
        <v>469</v>
      </c>
      <c r="B101" s="33" t="s">
        <v>23</v>
      </c>
      <c r="C101" s="33">
        <v>1</v>
      </c>
      <c r="D101" s="34" t="s">
        <v>200</v>
      </c>
      <c r="E101" s="34" t="s">
        <v>204</v>
      </c>
      <c r="F101" s="33">
        <v>0</v>
      </c>
      <c r="G101" s="33">
        <v>0.3</v>
      </c>
      <c r="H101" s="33" t="s">
        <v>202</v>
      </c>
      <c r="I101" s="33">
        <v>100</v>
      </c>
    </row>
    <row r="102" spans="1:9" x14ac:dyDescent="0.3">
      <c r="A102" s="30" t="s">
        <v>469</v>
      </c>
      <c r="B102" s="33" t="s">
        <v>23</v>
      </c>
      <c r="C102" s="33">
        <v>1</v>
      </c>
      <c r="D102" s="34" t="s">
        <v>200</v>
      </c>
      <c r="E102" s="34" t="s">
        <v>205</v>
      </c>
      <c r="F102" s="33">
        <v>0</v>
      </c>
      <c r="G102" s="33">
        <v>0.3</v>
      </c>
      <c r="H102" s="33" t="s">
        <v>202</v>
      </c>
      <c r="I102" s="33">
        <v>100</v>
      </c>
    </row>
    <row r="103" spans="1:9" x14ac:dyDescent="0.3">
      <c r="A103" s="30" t="s">
        <v>469</v>
      </c>
      <c r="B103" s="33" t="s">
        <v>23</v>
      </c>
      <c r="C103" s="33">
        <v>1</v>
      </c>
      <c r="D103" s="34" t="s">
        <v>200</v>
      </c>
      <c r="E103" s="34" t="s">
        <v>206</v>
      </c>
      <c r="F103" s="33">
        <v>0</v>
      </c>
      <c r="G103" s="33">
        <v>0.3</v>
      </c>
      <c r="H103" s="33" t="s">
        <v>202</v>
      </c>
      <c r="I103" s="33">
        <v>100</v>
      </c>
    </row>
    <row r="104" spans="1:9" x14ac:dyDescent="0.3">
      <c r="A104" s="30" t="s">
        <v>469</v>
      </c>
      <c r="B104" s="33" t="s">
        <v>23</v>
      </c>
      <c r="C104" s="33">
        <v>1</v>
      </c>
      <c r="D104" s="34" t="s">
        <v>200</v>
      </c>
      <c r="E104" s="34" t="s">
        <v>207</v>
      </c>
      <c r="F104" s="33">
        <v>0</v>
      </c>
      <c r="G104" s="33">
        <v>0.2</v>
      </c>
      <c r="H104" s="33" t="s">
        <v>202</v>
      </c>
      <c r="I104" s="33">
        <v>100</v>
      </c>
    </row>
    <row r="105" spans="1:9" x14ac:dyDescent="0.3">
      <c r="A105" s="30" t="s">
        <v>469</v>
      </c>
      <c r="B105" s="33" t="s">
        <v>23</v>
      </c>
      <c r="C105" s="33">
        <v>1</v>
      </c>
      <c r="D105" s="34" t="s">
        <v>200</v>
      </c>
      <c r="E105" s="34" t="s">
        <v>208</v>
      </c>
      <c r="F105" s="33">
        <v>0</v>
      </c>
      <c r="G105" s="33">
        <v>0.2</v>
      </c>
      <c r="H105" s="33" t="s">
        <v>202</v>
      </c>
      <c r="I105" s="33">
        <v>100</v>
      </c>
    </row>
    <row r="106" spans="1:9" x14ac:dyDescent="0.3">
      <c r="A106" s="30" t="s">
        <v>469</v>
      </c>
      <c r="B106" s="33" t="s">
        <v>23</v>
      </c>
      <c r="C106" s="33">
        <v>1</v>
      </c>
      <c r="D106" s="34" t="s">
        <v>200</v>
      </c>
      <c r="E106" s="34" t="s">
        <v>209</v>
      </c>
      <c r="F106" s="33">
        <v>0</v>
      </c>
      <c r="G106" s="33">
        <v>0.3</v>
      </c>
      <c r="H106" s="33" t="s">
        <v>202</v>
      </c>
      <c r="I106" s="33">
        <v>100</v>
      </c>
    </row>
    <row r="107" spans="1:9" x14ac:dyDescent="0.3">
      <c r="A107" s="30" t="s">
        <v>469</v>
      </c>
      <c r="B107" s="33" t="s">
        <v>23</v>
      </c>
      <c r="C107" s="33">
        <v>1</v>
      </c>
      <c r="D107" s="34" t="s">
        <v>200</v>
      </c>
      <c r="E107" s="34" t="s">
        <v>210</v>
      </c>
      <c r="F107" s="33">
        <v>0</v>
      </c>
      <c r="G107" s="33">
        <v>0.2</v>
      </c>
      <c r="H107" s="33" t="s">
        <v>202</v>
      </c>
      <c r="I107" s="33">
        <v>100</v>
      </c>
    </row>
    <row r="108" spans="1:9" x14ac:dyDescent="0.3">
      <c r="A108" s="30" t="s">
        <v>469</v>
      </c>
      <c r="B108" s="33" t="s">
        <v>23</v>
      </c>
      <c r="C108" s="33">
        <v>1</v>
      </c>
      <c r="D108" s="34" t="s">
        <v>200</v>
      </c>
      <c r="E108" s="34" t="s">
        <v>211</v>
      </c>
      <c r="F108" s="33">
        <v>0</v>
      </c>
      <c r="G108" s="33">
        <v>0.15</v>
      </c>
      <c r="H108" s="33" t="s">
        <v>202</v>
      </c>
      <c r="I108" s="33">
        <v>100</v>
      </c>
    </row>
    <row r="109" spans="1:9" x14ac:dyDescent="0.3">
      <c r="A109" s="30" t="s">
        <v>469</v>
      </c>
      <c r="B109" s="33" t="s">
        <v>23</v>
      </c>
      <c r="C109" s="33">
        <v>1</v>
      </c>
      <c r="D109" s="34" t="s">
        <v>200</v>
      </c>
      <c r="E109" s="34" t="s">
        <v>212</v>
      </c>
      <c r="F109" s="33">
        <v>0</v>
      </c>
      <c r="G109" s="33">
        <v>0.15</v>
      </c>
      <c r="H109" s="33" t="s">
        <v>202</v>
      </c>
      <c r="I109" s="33">
        <v>100</v>
      </c>
    </row>
    <row r="110" spans="1:9" x14ac:dyDescent="0.3">
      <c r="A110" s="30" t="s">
        <v>469</v>
      </c>
      <c r="B110" s="33" t="s">
        <v>23</v>
      </c>
      <c r="C110" s="33">
        <v>1</v>
      </c>
      <c r="D110" s="34" t="s">
        <v>200</v>
      </c>
      <c r="E110" s="34" t="s">
        <v>213</v>
      </c>
      <c r="F110" s="33">
        <v>0</v>
      </c>
      <c r="G110" s="33">
        <v>0.15</v>
      </c>
      <c r="H110" s="33" t="s">
        <v>202</v>
      </c>
      <c r="I110" s="33">
        <v>100</v>
      </c>
    </row>
    <row r="111" spans="1:9" x14ac:dyDescent="0.3">
      <c r="A111" s="30" t="s">
        <v>469</v>
      </c>
      <c r="B111" s="33" t="s">
        <v>23</v>
      </c>
      <c r="C111" s="33">
        <v>1</v>
      </c>
      <c r="D111" s="34" t="s">
        <v>200</v>
      </c>
      <c r="E111" s="34" t="s">
        <v>214</v>
      </c>
      <c r="F111" s="33">
        <v>0</v>
      </c>
      <c r="G111" s="33">
        <v>0.15</v>
      </c>
      <c r="H111" s="33" t="s">
        <v>202</v>
      </c>
      <c r="I111" s="33">
        <v>100</v>
      </c>
    </row>
    <row r="112" spans="1:9" x14ac:dyDescent="0.3">
      <c r="A112" s="30" t="s">
        <v>469</v>
      </c>
      <c r="B112" s="33" t="s">
        <v>23</v>
      </c>
      <c r="C112" s="33">
        <v>1</v>
      </c>
      <c r="D112" s="34" t="s">
        <v>200</v>
      </c>
      <c r="E112" s="34" t="s">
        <v>201</v>
      </c>
      <c r="F112" s="33">
        <v>0</v>
      </c>
      <c r="G112" s="33">
        <v>0.5</v>
      </c>
      <c r="H112" s="33" t="s">
        <v>215</v>
      </c>
      <c r="I112" s="33">
        <v>500</v>
      </c>
    </row>
    <row r="113" spans="1:9" x14ac:dyDescent="0.3">
      <c r="A113" s="30" t="s">
        <v>469</v>
      </c>
      <c r="B113" s="33" t="s">
        <v>23</v>
      </c>
      <c r="C113" s="33">
        <v>1</v>
      </c>
      <c r="D113" s="34" t="s">
        <v>200</v>
      </c>
      <c r="E113" s="34" t="s">
        <v>203</v>
      </c>
      <c r="F113" s="33">
        <v>0</v>
      </c>
      <c r="G113" s="33">
        <v>0.5</v>
      </c>
      <c r="H113" s="33" t="s">
        <v>215</v>
      </c>
      <c r="I113" s="33">
        <v>500</v>
      </c>
    </row>
    <row r="114" spans="1:9" x14ac:dyDescent="0.3">
      <c r="A114" s="30" t="s">
        <v>469</v>
      </c>
      <c r="B114" s="33" t="s">
        <v>23</v>
      </c>
      <c r="C114" s="33">
        <v>1</v>
      </c>
      <c r="D114" s="34" t="s">
        <v>200</v>
      </c>
      <c r="E114" s="34" t="s">
        <v>204</v>
      </c>
      <c r="F114" s="33">
        <v>0</v>
      </c>
      <c r="G114" s="33">
        <v>0.5</v>
      </c>
      <c r="H114" s="33" t="s">
        <v>215</v>
      </c>
      <c r="I114" s="33">
        <v>500</v>
      </c>
    </row>
    <row r="115" spans="1:9" x14ac:dyDescent="0.3">
      <c r="A115" s="30" t="s">
        <v>469</v>
      </c>
      <c r="B115" s="33" t="s">
        <v>23</v>
      </c>
      <c r="C115" s="33">
        <v>1</v>
      </c>
      <c r="D115" s="34" t="s">
        <v>200</v>
      </c>
      <c r="E115" s="34" t="s">
        <v>205</v>
      </c>
      <c r="F115" s="33">
        <v>0</v>
      </c>
      <c r="G115" s="33">
        <v>0.5</v>
      </c>
      <c r="H115" s="33" t="s">
        <v>215</v>
      </c>
      <c r="I115" s="33">
        <v>500</v>
      </c>
    </row>
    <row r="116" spans="1:9" x14ac:dyDescent="0.3">
      <c r="A116" s="30" t="s">
        <v>469</v>
      </c>
      <c r="B116" s="33" t="s">
        <v>23</v>
      </c>
      <c r="C116" s="33">
        <v>1</v>
      </c>
      <c r="D116" s="34" t="s">
        <v>200</v>
      </c>
      <c r="E116" s="34" t="s">
        <v>206</v>
      </c>
      <c r="F116" s="33">
        <v>0</v>
      </c>
      <c r="G116" s="33">
        <v>0.5</v>
      </c>
      <c r="H116" s="33" t="s">
        <v>215</v>
      </c>
      <c r="I116" s="33">
        <v>500</v>
      </c>
    </row>
    <row r="117" spans="1:9" x14ac:dyDescent="0.3">
      <c r="A117" s="30" t="s">
        <v>469</v>
      </c>
      <c r="B117" s="33" t="s">
        <v>23</v>
      </c>
      <c r="C117" s="33">
        <v>1</v>
      </c>
      <c r="D117" s="34" t="s">
        <v>200</v>
      </c>
      <c r="E117" s="34" t="s">
        <v>207</v>
      </c>
      <c r="F117" s="33">
        <v>0</v>
      </c>
      <c r="G117" s="33">
        <v>0.35</v>
      </c>
      <c r="H117" s="33" t="s">
        <v>215</v>
      </c>
      <c r="I117" s="33">
        <v>500</v>
      </c>
    </row>
    <row r="118" spans="1:9" x14ac:dyDescent="0.3">
      <c r="A118" s="30" t="s">
        <v>469</v>
      </c>
      <c r="B118" s="33" t="s">
        <v>23</v>
      </c>
      <c r="C118" s="33">
        <v>1</v>
      </c>
      <c r="D118" s="34" t="s">
        <v>200</v>
      </c>
      <c r="E118" s="34" t="s">
        <v>208</v>
      </c>
      <c r="F118" s="33">
        <v>0</v>
      </c>
      <c r="G118" s="33">
        <v>0.3</v>
      </c>
      <c r="H118" s="33" t="s">
        <v>215</v>
      </c>
      <c r="I118" s="33">
        <v>500</v>
      </c>
    </row>
    <row r="119" spans="1:9" x14ac:dyDescent="0.3">
      <c r="A119" s="30" t="s">
        <v>469</v>
      </c>
      <c r="B119" s="33" t="s">
        <v>23</v>
      </c>
      <c r="C119" s="33">
        <v>1</v>
      </c>
      <c r="D119" s="34" t="s">
        <v>200</v>
      </c>
      <c r="E119" s="34" t="s">
        <v>209</v>
      </c>
      <c r="F119" s="33">
        <v>0</v>
      </c>
      <c r="G119" s="33">
        <v>0.5</v>
      </c>
      <c r="H119" s="33" t="s">
        <v>215</v>
      </c>
      <c r="I119" s="33">
        <v>500</v>
      </c>
    </row>
    <row r="120" spans="1:9" x14ac:dyDescent="0.3">
      <c r="A120" s="30" t="s">
        <v>469</v>
      </c>
      <c r="B120" s="33" t="s">
        <v>23</v>
      </c>
      <c r="C120" s="33">
        <v>1</v>
      </c>
      <c r="D120" s="34" t="s">
        <v>200</v>
      </c>
      <c r="E120" s="34" t="s">
        <v>210</v>
      </c>
      <c r="F120" s="33">
        <v>0</v>
      </c>
      <c r="G120" s="33">
        <v>0.3</v>
      </c>
      <c r="H120" s="33" t="s">
        <v>215</v>
      </c>
      <c r="I120" s="33">
        <v>500</v>
      </c>
    </row>
    <row r="121" spans="1:9" x14ac:dyDescent="0.3">
      <c r="A121" s="30" t="s">
        <v>469</v>
      </c>
      <c r="B121" s="33" t="s">
        <v>23</v>
      </c>
      <c r="C121" s="33">
        <v>1</v>
      </c>
      <c r="D121" s="34" t="s">
        <v>200</v>
      </c>
      <c r="E121" s="34" t="s">
        <v>211</v>
      </c>
      <c r="F121" s="33">
        <v>0</v>
      </c>
      <c r="G121" s="33">
        <v>0.25</v>
      </c>
      <c r="H121" s="33" t="s">
        <v>215</v>
      </c>
      <c r="I121" s="33">
        <v>500</v>
      </c>
    </row>
    <row r="122" spans="1:9" x14ac:dyDescent="0.3">
      <c r="A122" s="30" t="s">
        <v>469</v>
      </c>
      <c r="B122" s="33" t="s">
        <v>23</v>
      </c>
      <c r="C122" s="33">
        <v>1</v>
      </c>
      <c r="D122" s="34" t="s">
        <v>200</v>
      </c>
      <c r="E122" s="34" t="s">
        <v>212</v>
      </c>
      <c r="F122" s="33">
        <v>0</v>
      </c>
      <c r="G122" s="33">
        <v>0.25</v>
      </c>
      <c r="H122" s="33" t="s">
        <v>215</v>
      </c>
      <c r="I122" s="33">
        <v>500</v>
      </c>
    </row>
    <row r="123" spans="1:9" x14ac:dyDescent="0.3">
      <c r="A123" s="30" t="s">
        <v>469</v>
      </c>
      <c r="B123" s="33" t="s">
        <v>23</v>
      </c>
      <c r="C123" s="33">
        <v>1</v>
      </c>
      <c r="D123" s="34" t="s">
        <v>200</v>
      </c>
      <c r="E123" s="34" t="s">
        <v>213</v>
      </c>
      <c r="F123" s="33">
        <v>0</v>
      </c>
      <c r="G123" s="33">
        <v>0.25</v>
      </c>
      <c r="H123" s="33" t="s">
        <v>215</v>
      </c>
      <c r="I123" s="33">
        <v>500</v>
      </c>
    </row>
    <row r="124" spans="1:9" x14ac:dyDescent="0.3">
      <c r="A124" s="30" t="s">
        <v>469</v>
      </c>
      <c r="B124" s="33" t="s">
        <v>23</v>
      </c>
      <c r="C124" s="33">
        <v>1</v>
      </c>
      <c r="D124" s="34" t="s">
        <v>200</v>
      </c>
      <c r="E124" s="34" t="s">
        <v>214</v>
      </c>
      <c r="F124" s="33">
        <v>0</v>
      </c>
      <c r="G124" s="33">
        <v>0.25</v>
      </c>
      <c r="H124" s="33" t="s">
        <v>215</v>
      </c>
      <c r="I124" s="33">
        <v>500</v>
      </c>
    </row>
    <row r="125" spans="1:9" x14ac:dyDescent="0.3">
      <c r="A125" s="30" t="s">
        <v>469</v>
      </c>
      <c r="B125" s="33" t="s">
        <v>23</v>
      </c>
      <c r="C125" s="33">
        <v>1</v>
      </c>
      <c r="D125" s="34" t="s">
        <v>200</v>
      </c>
      <c r="E125" s="34" t="s">
        <v>216</v>
      </c>
      <c r="F125" s="33">
        <v>0</v>
      </c>
      <c r="G125" s="33">
        <v>0.3</v>
      </c>
      <c r="H125" s="33" t="s">
        <v>202</v>
      </c>
      <c r="I125" s="33">
        <v>100</v>
      </c>
    </row>
    <row r="126" spans="1:9" x14ac:dyDescent="0.3">
      <c r="A126" s="30" t="s">
        <v>469</v>
      </c>
      <c r="B126" s="33" t="s">
        <v>23</v>
      </c>
      <c r="C126" s="33">
        <v>1</v>
      </c>
      <c r="D126" s="34" t="s">
        <v>200</v>
      </c>
      <c r="E126" s="34" t="s">
        <v>216</v>
      </c>
      <c r="F126" s="33">
        <v>0</v>
      </c>
      <c r="G126" s="33">
        <v>0.45</v>
      </c>
      <c r="H126" s="33" t="s">
        <v>215</v>
      </c>
      <c r="I126" s="33">
        <v>500</v>
      </c>
    </row>
    <row r="127" spans="1:9" x14ac:dyDescent="0.3">
      <c r="A127" s="30" t="s">
        <v>469</v>
      </c>
      <c r="B127" s="33" t="s">
        <v>23</v>
      </c>
      <c r="C127" s="33">
        <v>1</v>
      </c>
      <c r="D127" s="34" t="s">
        <v>200</v>
      </c>
      <c r="E127" s="34" t="s">
        <v>217</v>
      </c>
      <c r="F127" s="33">
        <v>0</v>
      </c>
      <c r="G127" s="33">
        <v>0.2</v>
      </c>
      <c r="H127" s="33" t="s">
        <v>202</v>
      </c>
      <c r="I127" s="33">
        <v>100</v>
      </c>
    </row>
    <row r="128" spans="1:9" x14ac:dyDescent="0.3">
      <c r="A128" s="30" t="s">
        <v>469</v>
      </c>
      <c r="B128" s="33" t="s">
        <v>23</v>
      </c>
      <c r="C128" s="33">
        <v>1</v>
      </c>
      <c r="D128" s="34" t="s">
        <v>200</v>
      </c>
      <c r="E128" s="34" t="s">
        <v>218</v>
      </c>
      <c r="F128" s="33">
        <v>0</v>
      </c>
      <c r="G128" s="33">
        <v>0.2</v>
      </c>
      <c r="H128" s="33" t="s">
        <v>202</v>
      </c>
      <c r="I128" s="33">
        <v>100</v>
      </c>
    </row>
    <row r="129" spans="1:9" x14ac:dyDescent="0.3">
      <c r="A129" s="30" t="s">
        <v>469</v>
      </c>
      <c r="B129" s="33" t="s">
        <v>23</v>
      </c>
      <c r="C129" s="33">
        <v>1</v>
      </c>
      <c r="D129" s="34" t="s">
        <v>200</v>
      </c>
      <c r="E129" s="34" t="s">
        <v>219</v>
      </c>
      <c r="F129" s="33">
        <v>0</v>
      </c>
      <c r="G129" s="33">
        <v>0.2</v>
      </c>
      <c r="H129" s="33" t="s">
        <v>202</v>
      </c>
      <c r="I129" s="33">
        <v>100</v>
      </c>
    </row>
    <row r="130" spans="1:9" x14ac:dyDescent="0.3">
      <c r="A130" s="30" t="s">
        <v>469</v>
      </c>
      <c r="B130" s="33" t="s">
        <v>23</v>
      </c>
      <c r="C130" s="33">
        <v>1</v>
      </c>
      <c r="D130" s="34" t="s">
        <v>200</v>
      </c>
      <c r="E130" s="34" t="s">
        <v>220</v>
      </c>
      <c r="F130" s="33">
        <v>0</v>
      </c>
      <c r="G130" s="33">
        <v>0.2</v>
      </c>
      <c r="H130" s="33" t="s">
        <v>202</v>
      </c>
      <c r="I130" s="33">
        <v>100</v>
      </c>
    </row>
    <row r="131" spans="1:9" x14ac:dyDescent="0.3">
      <c r="A131" s="30" t="s">
        <v>469</v>
      </c>
      <c r="B131" s="33" t="s">
        <v>23</v>
      </c>
      <c r="C131" s="33">
        <v>1</v>
      </c>
      <c r="D131" s="34" t="s">
        <v>200</v>
      </c>
      <c r="E131" s="34" t="s">
        <v>217</v>
      </c>
      <c r="F131" s="33">
        <v>0</v>
      </c>
      <c r="G131" s="33">
        <v>0.35</v>
      </c>
      <c r="H131" s="33" t="s">
        <v>215</v>
      </c>
      <c r="I131" s="33">
        <v>500</v>
      </c>
    </row>
    <row r="132" spans="1:9" x14ac:dyDescent="0.3">
      <c r="A132" s="30" t="s">
        <v>469</v>
      </c>
      <c r="B132" s="33" t="s">
        <v>23</v>
      </c>
      <c r="C132" s="33">
        <v>1</v>
      </c>
      <c r="D132" s="34" t="s">
        <v>200</v>
      </c>
      <c r="E132" s="34" t="s">
        <v>218</v>
      </c>
      <c r="F132" s="33">
        <v>0</v>
      </c>
      <c r="G132" s="33">
        <v>0.35</v>
      </c>
      <c r="H132" s="33" t="s">
        <v>215</v>
      </c>
      <c r="I132" s="33">
        <v>500</v>
      </c>
    </row>
    <row r="133" spans="1:9" x14ac:dyDescent="0.3">
      <c r="A133" s="30" t="s">
        <v>469</v>
      </c>
      <c r="B133" s="33" t="s">
        <v>23</v>
      </c>
      <c r="C133" s="33">
        <v>1</v>
      </c>
      <c r="D133" s="34" t="s">
        <v>200</v>
      </c>
      <c r="E133" s="34" t="s">
        <v>219</v>
      </c>
      <c r="F133" s="33">
        <v>0</v>
      </c>
      <c r="G133" s="33">
        <v>0.35</v>
      </c>
      <c r="H133" s="33" t="s">
        <v>215</v>
      </c>
      <c r="I133" s="33">
        <v>500</v>
      </c>
    </row>
    <row r="134" spans="1:9" x14ac:dyDescent="0.3">
      <c r="A134" s="30" t="s">
        <v>469</v>
      </c>
      <c r="B134" s="33" t="s">
        <v>23</v>
      </c>
      <c r="C134" s="33">
        <v>1</v>
      </c>
      <c r="D134" s="34" t="s">
        <v>200</v>
      </c>
      <c r="E134" s="34" t="s">
        <v>220</v>
      </c>
      <c r="F134" s="33">
        <v>0</v>
      </c>
      <c r="G134" s="33">
        <v>0.35</v>
      </c>
      <c r="H134" s="33" t="s">
        <v>215</v>
      </c>
      <c r="I134" s="33">
        <v>500</v>
      </c>
    </row>
    <row r="135" spans="1:9" x14ac:dyDescent="0.3">
      <c r="A135" s="30" t="s">
        <v>469</v>
      </c>
      <c r="B135" s="33" t="s">
        <v>23</v>
      </c>
      <c r="C135" s="33">
        <v>1</v>
      </c>
      <c r="D135" s="34" t="s">
        <v>221</v>
      </c>
      <c r="E135" s="34" t="s">
        <v>198</v>
      </c>
      <c r="F135" s="33">
        <v>0</v>
      </c>
      <c r="G135" s="33">
        <v>0.5</v>
      </c>
      <c r="H135" s="33"/>
      <c r="I135" s="33">
        <v>0</v>
      </c>
    </row>
    <row r="136" spans="1:9" x14ac:dyDescent="0.3">
      <c r="A136" s="30" t="s">
        <v>473</v>
      </c>
      <c r="B136" s="33" t="s">
        <v>23</v>
      </c>
      <c r="C136" s="33">
        <v>1</v>
      </c>
      <c r="D136" s="34" t="s">
        <v>188</v>
      </c>
      <c r="E136" s="34" t="s">
        <v>189</v>
      </c>
      <c r="F136" s="33">
        <v>0</v>
      </c>
      <c r="G136" s="33">
        <v>0.15</v>
      </c>
      <c r="H136" s="33"/>
      <c r="I136" s="33">
        <v>0</v>
      </c>
    </row>
    <row r="137" spans="1:9" x14ac:dyDescent="0.3">
      <c r="A137" s="30" t="s">
        <v>473</v>
      </c>
      <c r="B137" s="33" t="s">
        <v>23</v>
      </c>
      <c r="C137" s="33">
        <v>1</v>
      </c>
      <c r="D137" s="34" t="s">
        <v>190</v>
      </c>
      <c r="E137" s="34" t="s">
        <v>198</v>
      </c>
      <c r="F137" s="33">
        <v>0</v>
      </c>
      <c r="G137" s="33">
        <v>0.3</v>
      </c>
      <c r="H137" s="33"/>
      <c r="I137" s="33">
        <v>0</v>
      </c>
    </row>
    <row r="138" spans="1:9" x14ac:dyDescent="0.3">
      <c r="A138" s="30" t="s">
        <v>473</v>
      </c>
      <c r="B138" s="33" t="s">
        <v>23</v>
      </c>
      <c r="C138" s="33">
        <v>1</v>
      </c>
      <c r="D138" s="34" t="s">
        <v>197</v>
      </c>
      <c r="E138" s="34" t="s">
        <v>198</v>
      </c>
      <c r="F138" s="33">
        <v>0</v>
      </c>
      <c r="G138" s="33">
        <v>0.05</v>
      </c>
      <c r="H138" s="33"/>
      <c r="I138" s="33">
        <v>0</v>
      </c>
    </row>
    <row r="139" spans="1:9" x14ac:dyDescent="0.3">
      <c r="A139" s="30" t="s">
        <v>473</v>
      </c>
      <c r="B139" s="33" t="s">
        <v>23</v>
      </c>
      <c r="C139" s="33">
        <v>1</v>
      </c>
      <c r="D139" s="34" t="s">
        <v>197</v>
      </c>
      <c r="E139" s="34" t="s">
        <v>199</v>
      </c>
      <c r="F139" s="33">
        <v>0</v>
      </c>
      <c r="G139" s="33">
        <v>0</v>
      </c>
      <c r="H139" s="33"/>
      <c r="I139" s="33">
        <v>0</v>
      </c>
    </row>
    <row r="140" spans="1:9" x14ac:dyDescent="0.3">
      <c r="A140" s="30" t="s">
        <v>473</v>
      </c>
      <c r="B140" s="33" t="s">
        <v>23</v>
      </c>
      <c r="C140" s="33">
        <v>1</v>
      </c>
      <c r="D140" s="34" t="s">
        <v>200</v>
      </c>
      <c r="E140" s="34" t="s">
        <v>201</v>
      </c>
      <c r="F140" s="33">
        <v>0</v>
      </c>
      <c r="G140" s="33">
        <v>0.35</v>
      </c>
      <c r="H140" s="33" t="s">
        <v>202</v>
      </c>
      <c r="I140" s="33">
        <v>100</v>
      </c>
    </row>
    <row r="141" spans="1:9" x14ac:dyDescent="0.3">
      <c r="A141" s="30" t="s">
        <v>473</v>
      </c>
      <c r="B141" s="33" t="s">
        <v>23</v>
      </c>
      <c r="C141" s="33">
        <v>1</v>
      </c>
      <c r="D141" s="34" t="s">
        <v>200</v>
      </c>
      <c r="E141" s="34" t="s">
        <v>203</v>
      </c>
      <c r="F141" s="33">
        <v>0</v>
      </c>
      <c r="G141" s="33">
        <v>0.3</v>
      </c>
      <c r="H141" s="33" t="s">
        <v>202</v>
      </c>
      <c r="I141" s="33">
        <v>100</v>
      </c>
    </row>
    <row r="142" spans="1:9" x14ac:dyDescent="0.3">
      <c r="A142" s="30" t="s">
        <v>473</v>
      </c>
      <c r="B142" s="33" t="s">
        <v>23</v>
      </c>
      <c r="C142" s="33">
        <v>1</v>
      </c>
      <c r="D142" s="34" t="s">
        <v>200</v>
      </c>
      <c r="E142" s="34" t="s">
        <v>204</v>
      </c>
      <c r="F142" s="33">
        <v>0</v>
      </c>
      <c r="G142" s="33">
        <v>0.3</v>
      </c>
      <c r="H142" s="33" t="s">
        <v>202</v>
      </c>
      <c r="I142" s="33">
        <v>100</v>
      </c>
    </row>
    <row r="143" spans="1:9" x14ac:dyDescent="0.3">
      <c r="A143" s="30" t="s">
        <v>473</v>
      </c>
      <c r="B143" s="33" t="s">
        <v>23</v>
      </c>
      <c r="C143" s="33">
        <v>1</v>
      </c>
      <c r="D143" s="34" t="s">
        <v>200</v>
      </c>
      <c r="E143" s="34" t="s">
        <v>205</v>
      </c>
      <c r="F143" s="33">
        <v>0</v>
      </c>
      <c r="G143" s="33">
        <v>0.3</v>
      </c>
      <c r="H143" s="33" t="s">
        <v>202</v>
      </c>
      <c r="I143" s="33">
        <v>100</v>
      </c>
    </row>
    <row r="144" spans="1:9" x14ac:dyDescent="0.3">
      <c r="A144" s="30" t="s">
        <v>473</v>
      </c>
      <c r="B144" s="33" t="s">
        <v>23</v>
      </c>
      <c r="C144" s="33">
        <v>1</v>
      </c>
      <c r="D144" s="34" t="s">
        <v>200</v>
      </c>
      <c r="E144" s="34" t="s">
        <v>206</v>
      </c>
      <c r="F144" s="33">
        <v>0</v>
      </c>
      <c r="G144" s="33">
        <v>0.3</v>
      </c>
      <c r="H144" s="33" t="s">
        <v>202</v>
      </c>
      <c r="I144" s="33">
        <v>100</v>
      </c>
    </row>
    <row r="145" spans="1:9" x14ac:dyDescent="0.3">
      <c r="A145" s="30" t="s">
        <v>473</v>
      </c>
      <c r="B145" s="33" t="s">
        <v>23</v>
      </c>
      <c r="C145" s="33">
        <v>1</v>
      </c>
      <c r="D145" s="34" t="s">
        <v>200</v>
      </c>
      <c r="E145" s="34" t="s">
        <v>207</v>
      </c>
      <c r="F145" s="33">
        <v>0</v>
      </c>
      <c r="G145" s="33">
        <v>0.2</v>
      </c>
      <c r="H145" s="33" t="s">
        <v>202</v>
      </c>
      <c r="I145" s="33">
        <v>100</v>
      </c>
    </row>
    <row r="146" spans="1:9" x14ac:dyDescent="0.3">
      <c r="A146" s="30" t="s">
        <v>473</v>
      </c>
      <c r="B146" s="33" t="s">
        <v>23</v>
      </c>
      <c r="C146" s="33">
        <v>1</v>
      </c>
      <c r="D146" s="34" t="s">
        <v>200</v>
      </c>
      <c r="E146" s="34" t="s">
        <v>208</v>
      </c>
      <c r="F146" s="33">
        <v>0</v>
      </c>
      <c r="G146" s="33">
        <v>0.2</v>
      </c>
      <c r="H146" s="33" t="s">
        <v>202</v>
      </c>
      <c r="I146" s="33">
        <v>100</v>
      </c>
    </row>
    <row r="147" spans="1:9" x14ac:dyDescent="0.3">
      <c r="A147" s="30" t="s">
        <v>473</v>
      </c>
      <c r="B147" s="33" t="s">
        <v>23</v>
      </c>
      <c r="C147" s="33">
        <v>1</v>
      </c>
      <c r="D147" s="34" t="s">
        <v>200</v>
      </c>
      <c r="E147" s="34" t="s">
        <v>209</v>
      </c>
      <c r="F147" s="33">
        <v>0</v>
      </c>
      <c r="G147" s="33">
        <v>0.3</v>
      </c>
      <c r="H147" s="33" t="s">
        <v>202</v>
      </c>
      <c r="I147" s="33">
        <v>100</v>
      </c>
    </row>
    <row r="148" spans="1:9" x14ac:dyDescent="0.3">
      <c r="A148" s="30" t="s">
        <v>473</v>
      </c>
      <c r="B148" s="33" t="s">
        <v>23</v>
      </c>
      <c r="C148" s="33">
        <v>1</v>
      </c>
      <c r="D148" s="34" t="s">
        <v>200</v>
      </c>
      <c r="E148" s="34" t="s">
        <v>210</v>
      </c>
      <c r="F148" s="33">
        <v>0</v>
      </c>
      <c r="G148" s="33">
        <v>0.2</v>
      </c>
      <c r="H148" s="33" t="s">
        <v>202</v>
      </c>
      <c r="I148" s="33">
        <v>100</v>
      </c>
    </row>
    <row r="149" spans="1:9" x14ac:dyDescent="0.3">
      <c r="A149" s="30" t="s">
        <v>473</v>
      </c>
      <c r="B149" s="33" t="s">
        <v>23</v>
      </c>
      <c r="C149" s="33">
        <v>1</v>
      </c>
      <c r="D149" s="34" t="s">
        <v>200</v>
      </c>
      <c r="E149" s="34" t="s">
        <v>211</v>
      </c>
      <c r="F149" s="33">
        <v>0</v>
      </c>
      <c r="G149" s="33">
        <v>0.15</v>
      </c>
      <c r="H149" s="33" t="s">
        <v>202</v>
      </c>
      <c r="I149" s="33">
        <v>100</v>
      </c>
    </row>
    <row r="150" spans="1:9" x14ac:dyDescent="0.3">
      <c r="A150" s="30" t="s">
        <v>473</v>
      </c>
      <c r="B150" s="33" t="s">
        <v>23</v>
      </c>
      <c r="C150" s="33">
        <v>1</v>
      </c>
      <c r="D150" s="34" t="s">
        <v>200</v>
      </c>
      <c r="E150" s="34" t="s">
        <v>212</v>
      </c>
      <c r="F150" s="33">
        <v>0</v>
      </c>
      <c r="G150" s="33">
        <v>0.15</v>
      </c>
      <c r="H150" s="33" t="s">
        <v>202</v>
      </c>
      <c r="I150" s="33">
        <v>100</v>
      </c>
    </row>
    <row r="151" spans="1:9" x14ac:dyDescent="0.3">
      <c r="A151" s="30" t="s">
        <v>473</v>
      </c>
      <c r="B151" s="33" t="s">
        <v>23</v>
      </c>
      <c r="C151" s="33">
        <v>1</v>
      </c>
      <c r="D151" s="34" t="s">
        <v>200</v>
      </c>
      <c r="E151" s="34" t="s">
        <v>213</v>
      </c>
      <c r="F151" s="33">
        <v>0</v>
      </c>
      <c r="G151" s="33">
        <v>0.15</v>
      </c>
      <c r="H151" s="33" t="s">
        <v>202</v>
      </c>
      <c r="I151" s="33">
        <v>100</v>
      </c>
    </row>
    <row r="152" spans="1:9" x14ac:dyDescent="0.3">
      <c r="A152" s="30" t="s">
        <v>473</v>
      </c>
      <c r="B152" s="33" t="s">
        <v>23</v>
      </c>
      <c r="C152" s="33">
        <v>1</v>
      </c>
      <c r="D152" s="34" t="s">
        <v>200</v>
      </c>
      <c r="E152" s="34" t="s">
        <v>214</v>
      </c>
      <c r="F152" s="33">
        <v>0</v>
      </c>
      <c r="G152" s="33">
        <v>0.15</v>
      </c>
      <c r="H152" s="33" t="s">
        <v>202</v>
      </c>
      <c r="I152" s="33">
        <v>100</v>
      </c>
    </row>
    <row r="153" spans="1:9" x14ac:dyDescent="0.3">
      <c r="A153" s="30" t="s">
        <v>473</v>
      </c>
      <c r="B153" s="33" t="s">
        <v>23</v>
      </c>
      <c r="C153" s="33">
        <v>1</v>
      </c>
      <c r="D153" s="34" t="s">
        <v>200</v>
      </c>
      <c r="E153" s="34" t="s">
        <v>201</v>
      </c>
      <c r="F153" s="33">
        <v>0</v>
      </c>
      <c r="G153" s="33">
        <v>0.5</v>
      </c>
      <c r="H153" s="33" t="s">
        <v>215</v>
      </c>
      <c r="I153" s="33">
        <v>500</v>
      </c>
    </row>
    <row r="154" spans="1:9" x14ac:dyDescent="0.3">
      <c r="A154" s="30" t="s">
        <v>473</v>
      </c>
      <c r="B154" s="33" t="s">
        <v>23</v>
      </c>
      <c r="C154" s="33">
        <v>1</v>
      </c>
      <c r="D154" s="34" t="s">
        <v>200</v>
      </c>
      <c r="E154" s="34" t="s">
        <v>203</v>
      </c>
      <c r="F154" s="33">
        <v>0</v>
      </c>
      <c r="G154" s="33">
        <v>0.5</v>
      </c>
      <c r="H154" s="33" t="s">
        <v>215</v>
      </c>
      <c r="I154" s="33">
        <v>500</v>
      </c>
    </row>
    <row r="155" spans="1:9" x14ac:dyDescent="0.3">
      <c r="A155" s="30" t="s">
        <v>473</v>
      </c>
      <c r="B155" s="33" t="s">
        <v>23</v>
      </c>
      <c r="C155" s="33">
        <v>1</v>
      </c>
      <c r="D155" s="34" t="s">
        <v>200</v>
      </c>
      <c r="E155" s="34" t="s">
        <v>204</v>
      </c>
      <c r="F155" s="33">
        <v>0</v>
      </c>
      <c r="G155" s="33">
        <v>0.5</v>
      </c>
      <c r="H155" s="33" t="s">
        <v>215</v>
      </c>
      <c r="I155" s="33">
        <v>500</v>
      </c>
    </row>
    <row r="156" spans="1:9" x14ac:dyDescent="0.3">
      <c r="A156" s="30" t="s">
        <v>473</v>
      </c>
      <c r="B156" s="33" t="s">
        <v>23</v>
      </c>
      <c r="C156" s="33">
        <v>1</v>
      </c>
      <c r="D156" s="34" t="s">
        <v>200</v>
      </c>
      <c r="E156" s="34" t="s">
        <v>205</v>
      </c>
      <c r="F156" s="33">
        <v>0</v>
      </c>
      <c r="G156" s="33">
        <v>0.5</v>
      </c>
      <c r="H156" s="33" t="s">
        <v>215</v>
      </c>
      <c r="I156" s="33">
        <v>500</v>
      </c>
    </row>
    <row r="157" spans="1:9" x14ac:dyDescent="0.3">
      <c r="A157" s="30" t="s">
        <v>473</v>
      </c>
      <c r="B157" s="33" t="s">
        <v>23</v>
      </c>
      <c r="C157" s="33">
        <v>1</v>
      </c>
      <c r="D157" s="34" t="s">
        <v>200</v>
      </c>
      <c r="E157" s="34" t="s">
        <v>206</v>
      </c>
      <c r="F157" s="33">
        <v>0</v>
      </c>
      <c r="G157" s="33">
        <v>0.5</v>
      </c>
      <c r="H157" s="33" t="s">
        <v>215</v>
      </c>
      <c r="I157" s="33">
        <v>500</v>
      </c>
    </row>
    <row r="158" spans="1:9" x14ac:dyDescent="0.3">
      <c r="A158" s="30" t="s">
        <v>473</v>
      </c>
      <c r="B158" s="33" t="s">
        <v>23</v>
      </c>
      <c r="C158" s="33">
        <v>1</v>
      </c>
      <c r="D158" s="34" t="s">
        <v>200</v>
      </c>
      <c r="E158" s="34" t="s">
        <v>207</v>
      </c>
      <c r="F158" s="33">
        <v>0</v>
      </c>
      <c r="G158" s="33">
        <v>0.35</v>
      </c>
      <c r="H158" s="33" t="s">
        <v>215</v>
      </c>
      <c r="I158" s="33">
        <v>500</v>
      </c>
    </row>
    <row r="159" spans="1:9" x14ac:dyDescent="0.3">
      <c r="A159" s="30" t="s">
        <v>473</v>
      </c>
      <c r="B159" s="33" t="s">
        <v>23</v>
      </c>
      <c r="C159" s="33">
        <v>1</v>
      </c>
      <c r="D159" s="34" t="s">
        <v>200</v>
      </c>
      <c r="E159" s="34" t="s">
        <v>208</v>
      </c>
      <c r="F159" s="33">
        <v>0</v>
      </c>
      <c r="G159" s="33">
        <v>0.3</v>
      </c>
      <c r="H159" s="33" t="s">
        <v>215</v>
      </c>
      <c r="I159" s="33">
        <v>500</v>
      </c>
    </row>
    <row r="160" spans="1:9" x14ac:dyDescent="0.3">
      <c r="A160" s="30" t="s">
        <v>473</v>
      </c>
      <c r="B160" s="33" t="s">
        <v>23</v>
      </c>
      <c r="C160" s="33">
        <v>1</v>
      </c>
      <c r="D160" s="34" t="s">
        <v>200</v>
      </c>
      <c r="E160" s="34" t="s">
        <v>209</v>
      </c>
      <c r="F160" s="33">
        <v>0</v>
      </c>
      <c r="G160" s="33">
        <v>0.5</v>
      </c>
      <c r="H160" s="33" t="s">
        <v>215</v>
      </c>
      <c r="I160" s="33">
        <v>500</v>
      </c>
    </row>
    <row r="161" spans="1:9" x14ac:dyDescent="0.3">
      <c r="A161" s="30" t="s">
        <v>473</v>
      </c>
      <c r="B161" s="33" t="s">
        <v>23</v>
      </c>
      <c r="C161" s="33">
        <v>1</v>
      </c>
      <c r="D161" s="34" t="s">
        <v>200</v>
      </c>
      <c r="E161" s="34" t="s">
        <v>210</v>
      </c>
      <c r="F161" s="33">
        <v>0</v>
      </c>
      <c r="G161" s="33">
        <v>0.3</v>
      </c>
      <c r="H161" s="33" t="s">
        <v>215</v>
      </c>
      <c r="I161" s="33">
        <v>500</v>
      </c>
    </row>
    <row r="162" spans="1:9" x14ac:dyDescent="0.3">
      <c r="A162" s="30" t="s">
        <v>473</v>
      </c>
      <c r="B162" s="33" t="s">
        <v>23</v>
      </c>
      <c r="C162" s="33">
        <v>1</v>
      </c>
      <c r="D162" s="34" t="s">
        <v>200</v>
      </c>
      <c r="E162" s="34" t="s">
        <v>211</v>
      </c>
      <c r="F162" s="33">
        <v>0</v>
      </c>
      <c r="G162" s="33">
        <v>0.25</v>
      </c>
      <c r="H162" s="33" t="s">
        <v>215</v>
      </c>
      <c r="I162" s="33">
        <v>500</v>
      </c>
    </row>
    <row r="163" spans="1:9" x14ac:dyDescent="0.3">
      <c r="A163" s="30" t="s">
        <v>473</v>
      </c>
      <c r="B163" s="33" t="s">
        <v>23</v>
      </c>
      <c r="C163" s="33">
        <v>1</v>
      </c>
      <c r="D163" s="34" t="s">
        <v>200</v>
      </c>
      <c r="E163" s="34" t="s">
        <v>212</v>
      </c>
      <c r="F163" s="33">
        <v>0</v>
      </c>
      <c r="G163" s="33">
        <v>0.25</v>
      </c>
      <c r="H163" s="33" t="s">
        <v>215</v>
      </c>
      <c r="I163" s="33">
        <v>500</v>
      </c>
    </row>
    <row r="164" spans="1:9" x14ac:dyDescent="0.3">
      <c r="A164" s="30" t="s">
        <v>473</v>
      </c>
      <c r="B164" s="33" t="s">
        <v>23</v>
      </c>
      <c r="C164" s="33">
        <v>1</v>
      </c>
      <c r="D164" s="34" t="s">
        <v>200</v>
      </c>
      <c r="E164" s="34" t="s">
        <v>213</v>
      </c>
      <c r="F164" s="33">
        <v>0</v>
      </c>
      <c r="G164" s="33">
        <v>0.25</v>
      </c>
      <c r="H164" s="33" t="s">
        <v>215</v>
      </c>
      <c r="I164" s="33">
        <v>500</v>
      </c>
    </row>
    <row r="165" spans="1:9" x14ac:dyDescent="0.3">
      <c r="A165" s="30" t="s">
        <v>473</v>
      </c>
      <c r="B165" s="33" t="s">
        <v>23</v>
      </c>
      <c r="C165" s="33">
        <v>1</v>
      </c>
      <c r="D165" s="34" t="s">
        <v>200</v>
      </c>
      <c r="E165" s="34" t="s">
        <v>214</v>
      </c>
      <c r="F165" s="33">
        <v>0</v>
      </c>
      <c r="G165" s="33">
        <v>0.25</v>
      </c>
      <c r="H165" s="33" t="s">
        <v>215</v>
      </c>
      <c r="I165" s="33">
        <v>500</v>
      </c>
    </row>
    <row r="166" spans="1:9" x14ac:dyDescent="0.3">
      <c r="A166" s="30" t="s">
        <v>473</v>
      </c>
      <c r="B166" s="33" t="s">
        <v>23</v>
      </c>
      <c r="C166" s="33">
        <v>1</v>
      </c>
      <c r="D166" s="34" t="s">
        <v>200</v>
      </c>
      <c r="E166" s="34" t="s">
        <v>216</v>
      </c>
      <c r="F166" s="33">
        <v>0</v>
      </c>
      <c r="G166" s="33">
        <v>0.3</v>
      </c>
      <c r="H166" s="33" t="s">
        <v>202</v>
      </c>
      <c r="I166" s="33">
        <v>100</v>
      </c>
    </row>
    <row r="167" spans="1:9" x14ac:dyDescent="0.3">
      <c r="A167" s="30" t="s">
        <v>473</v>
      </c>
      <c r="B167" s="33" t="s">
        <v>23</v>
      </c>
      <c r="C167" s="33">
        <v>1</v>
      </c>
      <c r="D167" s="34" t="s">
        <v>200</v>
      </c>
      <c r="E167" s="34" t="s">
        <v>216</v>
      </c>
      <c r="F167" s="33">
        <v>0</v>
      </c>
      <c r="G167" s="33">
        <v>0.45</v>
      </c>
      <c r="H167" s="33" t="s">
        <v>215</v>
      </c>
      <c r="I167" s="33">
        <v>500</v>
      </c>
    </row>
    <row r="168" spans="1:9" x14ac:dyDescent="0.3">
      <c r="A168" s="30" t="s">
        <v>473</v>
      </c>
      <c r="B168" s="33" t="s">
        <v>23</v>
      </c>
      <c r="C168" s="33">
        <v>1</v>
      </c>
      <c r="D168" s="34" t="s">
        <v>200</v>
      </c>
      <c r="E168" s="34" t="s">
        <v>217</v>
      </c>
      <c r="F168" s="33">
        <v>0</v>
      </c>
      <c r="G168" s="33">
        <v>0.2</v>
      </c>
      <c r="H168" s="33" t="s">
        <v>202</v>
      </c>
      <c r="I168" s="33">
        <v>100</v>
      </c>
    </row>
    <row r="169" spans="1:9" x14ac:dyDescent="0.3">
      <c r="A169" s="30" t="s">
        <v>473</v>
      </c>
      <c r="B169" s="33" t="s">
        <v>23</v>
      </c>
      <c r="C169" s="33">
        <v>1</v>
      </c>
      <c r="D169" s="34" t="s">
        <v>200</v>
      </c>
      <c r="E169" s="34" t="s">
        <v>218</v>
      </c>
      <c r="F169" s="33">
        <v>0</v>
      </c>
      <c r="G169" s="33">
        <v>0.2</v>
      </c>
      <c r="H169" s="33" t="s">
        <v>202</v>
      </c>
      <c r="I169" s="33">
        <v>100</v>
      </c>
    </row>
    <row r="170" spans="1:9" x14ac:dyDescent="0.3">
      <c r="A170" s="30" t="s">
        <v>473</v>
      </c>
      <c r="B170" s="33" t="s">
        <v>23</v>
      </c>
      <c r="C170" s="33">
        <v>1</v>
      </c>
      <c r="D170" s="34" t="s">
        <v>200</v>
      </c>
      <c r="E170" s="34" t="s">
        <v>219</v>
      </c>
      <c r="F170" s="33">
        <v>0</v>
      </c>
      <c r="G170" s="33">
        <v>0.2</v>
      </c>
      <c r="H170" s="33" t="s">
        <v>202</v>
      </c>
      <c r="I170" s="33">
        <v>100</v>
      </c>
    </row>
    <row r="171" spans="1:9" x14ac:dyDescent="0.3">
      <c r="A171" s="30" t="s">
        <v>473</v>
      </c>
      <c r="B171" s="33" t="s">
        <v>23</v>
      </c>
      <c r="C171" s="33">
        <v>1</v>
      </c>
      <c r="D171" s="34" t="s">
        <v>200</v>
      </c>
      <c r="E171" s="34" t="s">
        <v>220</v>
      </c>
      <c r="F171" s="33">
        <v>0</v>
      </c>
      <c r="G171" s="33">
        <v>0.2</v>
      </c>
      <c r="H171" s="33" t="s">
        <v>202</v>
      </c>
      <c r="I171" s="33">
        <v>100</v>
      </c>
    </row>
    <row r="172" spans="1:9" x14ac:dyDescent="0.3">
      <c r="A172" s="30" t="s">
        <v>473</v>
      </c>
      <c r="B172" s="33" t="s">
        <v>23</v>
      </c>
      <c r="C172" s="33">
        <v>1</v>
      </c>
      <c r="D172" s="34" t="s">
        <v>200</v>
      </c>
      <c r="E172" s="34" t="s">
        <v>217</v>
      </c>
      <c r="F172" s="33">
        <v>0</v>
      </c>
      <c r="G172" s="33">
        <v>0.35</v>
      </c>
      <c r="H172" s="33" t="s">
        <v>215</v>
      </c>
      <c r="I172" s="33">
        <v>500</v>
      </c>
    </row>
    <row r="173" spans="1:9" x14ac:dyDescent="0.3">
      <c r="A173" s="30" t="s">
        <v>473</v>
      </c>
      <c r="B173" s="33" t="s">
        <v>23</v>
      </c>
      <c r="C173" s="33">
        <v>1</v>
      </c>
      <c r="D173" s="34" t="s">
        <v>200</v>
      </c>
      <c r="E173" s="34" t="s">
        <v>218</v>
      </c>
      <c r="F173" s="33">
        <v>0</v>
      </c>
      <c r="G173" s="33">
        <v>0.35</v>
      </c>
      <c r="H173" s="33" t="s">
        <v>215</v>
      </c>
      <c r="I173" s="33">
        <v>500</v>
      </c>
    </row>
    <row r="174" spans="1:9" x14ac:dyDescent="0.3">
      <c r="A174" s="30" t="s">
        <v>473</v>
      </c>
      <c r="B174" s="33" t="s">
        <v>23</v>
      </c>
      <c r="C174" s="33">
        <v>1</v>
      </c>
      <c r="D174" s="34" t="s">
        <v>200</v>
      </c>
      <c r="E174" s="34" t="s">
        <v>219</v>
      </c>
      <c r="F174" s="33">
        <v>0</v>
      </c>
      <c r="G174" s="33">
        <v>0.35</v>
      </c>
      <c r="H174" s="33" t="s">
        <v>215</v>
      </c>
      <c r="I174" s="33">
        <v>500</v>
      </c>
    </row>
    <row r="175" spans="1:9" x14ac:dyDescent="0.3">
      <c r="A175" s="30" t="s">
        <v>473</v>
      </c>
      <c r="B175" s="33" t="s">
        <v>23</v>
      </c>
      <c r="C175" s="33">
        <v>1</v>
      </c>
      <c r="D175" s="34" t="s">
        <v>200</v>
      </c>
      <c r="E175" s="34" t="s">
        <v>220</v>
      </c>
      <c r="F175" s="33">
        <v>0</v>
      </c>
      <c r="G175" s="33">
        <v>0.35</v>
      </c>
      <c r="H175" s="33" t="s">
        <v>215</v>
      </c>
      <c r="I175" s="33">
        <v>500</v>
      </c>
    </row>
    <row r="176" spans="1:9" x14ac:dyDescent="0.3">
      <c r="A176" s="30" t="s">
        <v>473</v>
      </c>
      <c r="B176" s="33" t="s">
        <v>23</v>
      </c>
      <c r="C176" s="33">
        <v>1</v>
      </c>
      <c r="D176" s="34" t="s">
        <v>221</v>
      </c>
      <c r="E176" s="34" t="s">
        <v>198</v>
      </c>
      <c r="F176" s="33">
        <v>0</v>
      </c>
      <c r="G176" s="33">
        <v>0.5</v>
      </c>
      <c r="H176" s="33"/>
      <c r="I176" s="33">
        <v>0</v>
      </c>
    </row>
    <row r="177" spans="1:9" x14ac:dyDescent="0.3">
      <c r="A177" s="30" t="s">
        <v>471</v>
      </c>
      <c r="B177" s="33" t="s">
        <v>23</v>
      </c>
      <c r="C177" s="33">
        <v>1</v>
      </c>
      <c r="D177" s="34" t="s">
        <v>188</v>
      </c>
      <c r="E177" s="34" t="s">
        <v>189</v>
      </c>
      <c r="F177" s="33">
        <v>0</v>
      </c>
      <c r="G177" s="33">
        <v>0.15</v>
      </c>
      <c r="H177" s="33"/>
      <c r="I177" s="33">
        <v>0</v>
      </c>
    </row>
    <row r="178" spans="1:9" x14ac:dyDescent="0.3">
      <c r="A178" s="30" t="s">
        <v>471</v>
      </c>
      <c r="B178" s="33" t="s">
        <v>23</v>
      </c>
      <c r="C178" s="33">
        <v>1</v>
      </c>
      <c r="D178" s="34" t="s">
        <v>190</v>
      </c>
      <c r="E178" s="34" t="s">
        <v>198</v>
      </c>
      <c r="F178" s="33">
        <v>0</v>
      </c>
      <c r="G178" s="33">
        <v>0.3</v>
      </c>
      <c r="H178" s="33"/>
      <c r="I178" s="33">
        <v>0</v>
      </c>
    </row>
    <row r="179" spans="1:9" x14ac:dyDescent="0.3">
      <c r="A179" s="30" t="s">
        <v>471</v>
      </c>
      <c r="B179" s="33" t="s">
        <v>23</v>
      </c>
      <c r="C179" s="33">
        <v>1</v>
      </c>
      <c r="D179" s="34" t="s">
        <v>197</v>
      </c>
      <c r="E179" s="34" t="s">
        <v>198</v>
      </c>
      <c r="F179" s="33">
        <v>0</v>
      </c>
      <c r="G179" s="33">
        <v>0.05</v>
      </c>
      <c r="H179" s="33"/>
      <c r="I179" s="33">
        <v>0</v>
      </c>
    </row>
    <row r="180" spans="1:9" x14ac:dyDescent="0.3">
      <c r="A180" s="30" t="s">
        <v>471</v>
      </c>
      <c r="B180" s="33" t="s">
        <v>23</v>
      </c>
      <c r="C180" s="33">
        <v>1</v>
      </c>
      <c r="D180" s="34" t="s">
        <v>197</v>
      </c>
      <c r="E180" s="34" t="s">
        <v>199</v>
      </c>
      <c r="F180" s="33">
        <v>0</v>
      </c>
      <c r="G180" s="33">
        <v>0</v>
      </c>
      <c r="H180" s="33"/>
      <c r="I180" s="33">
        <v>0</v>
      </c>
    </row>
    <row r="181" spans="1:9" x14ac:dyDescent="0.3">
      <c r="A181" s="30" t="s">
        <v>471</v>
      </c>
      <c r="B181" s="33" t="s">
        <v>23</v>
      </c>
      <c r="C181" s="33">
        <v>1</v>
      </c>
      <c r="D181" s="34" t="s">
        <v>200</v>
      </c>
      <c r="E181" s="34" t="s">
        <v>201</v>
      </c>
      <c r="F181" s="33">
        <v>0</v>
      </c>
      <c r="G181" s="33">
        <v>0.35</v>
      </c>
      <c r="H181" s="33" t="s">
        <v>202</v>
      </c>
      <c r="I181" s="33">
        <v>100</v>
      </c>
    </row>
    <row r="182" spans="1:9" x14ac:dyDescent="0.3">
      <c r="A182" s="30" t="s">
        <v>471</v>
      </c>
      <c r="B182" s="33" t="s">
        <v>23</v>
      </c>
      <c r="C182" s="33">
        <v>1</v>
      </c>
      <c r="D182" s="34" t="s">
        <v>200</v>
      </c>
      <c r="E182" s="34" t="s">
        <v>203</v>
      </c>
      <c r="F182" s="33">
        <v>0</v>
      </c>
      <c r="G182" s="33">
        <v>0.3</v>
      </c>
      <c r="H182" s="33" t="s">
        <v>202</v>
      </c>
      <c r="I182" s="33">
        <v>100</v>
      </c>
    </row>
    <row r="183" spans="1:9" x14ac:dyDescent="0.3">
      <c r="A183" s="30" t="s">
        <v>471</v>
      </c>
      <c r="B183" s="33" t="s">
        <v>23</v>
      </c>
      <c r="C183" s="33">
        <v>1</v>
      </c>
      <c r="D183" s="34" t="s">
        <v>200</v>
      </c>
      <c r="E183" s="34" t="s">
        <v>204</v>
      </c>
      <c r="F183" s="33">
        <v>0</v>
      </c>
      <c r="G183" s="33">
        <v>0.3</v>
      </c>
      <c r="H183" s="33" t="s">
        <v>202</v>
      </c>
      <c r="I183" s="33">
        <v>100</v>
      </c>
    </row>
    <row r="184" spans="1:9" x14ac:dyDescent="0.3">
      <c r="A184" s="30" t="s">
        <v>471</v>
      </c>
      <c r="B184" s="33" t="s">
        <v>23</v>
      </c>
      <c r="C184" s="33">
        <v>1</v>
      </c>
      <c r="D184" s="34" t="s">
        <v>200</v>
      </c>
      <c r="E184" s="34" t="s">
        <v>205</v>
      </c>
      <c r="F184" s="33">
        <v>0</v>
      </c>
      <c r="G184" s="33">
        <v>0.3</v>
      </c>
      <c r="H184" s="33" t="s">
        <v>202</v>
      </c>
      <c r="I184" s="33">
        <v>100</v>
      </c>
    </row>
    <row r="185" spans="1:9" x14ac:dyDescent="0.3">
      <c r="A185" s="30" t="s">
        <v>471</v>
      </c>
      <c r="B185" s="33" t="s">
        <v>23</v>
      </c>
      <c r="C185" s="33">
        <v>1</v>
      </c>
      <c r="D185" s="34" t="s">
        <v>200</v>
      </c>
      <c r="E185" s="34" t="s">
        <v>206</v>
      </c>
      <c r="F185" s="33">
        <v>0</v>
      </c>
      <c r="G185" s="33">
        <v>0.3</v>
      </c>
      <c r="H185" s="33" t="s">
        <v>202</v>
      </c>
      <c r="I185" s="33">
        <v>100</v>
      </c>
    </row>
    <row r="186" spans="1:9" x14ac:dyDescent="0.3">
      <c r="A186" s="30" t="s">
        <v>471</v>
      </c>
      <c r="B186" s="33" t="s">
        <v>23</v>
      </c>
      <c r="C186" s="33">
        <v>1</v>
      </c>
      <c r="D186" s="34" t="s">
        <v>200</v>
      </c>
      <c r="E186" s="34" t="s">
        <v>207</v>
      </c>
      <c r="F186" s="33">
        <v>0</v>
      </c>
      <c r="G186" s="33">
        <v>0.2</v>
      </c>
      <c r="H186" s="33" t="s">
        <v>202</v>
      </c>
      <c r="I186" s="33">
        <v>100</v>
      </c>
    </row>
    <row r="187" spans="1:9" x14ac:dyDescent="0.3">
      <c r="A187" s="30" t="s">
        <v>471</v>
      </c>
      <c r="B187" s="33" t="s">
        <v>23</v>
      </c>
      <c r="C187" s="33">
        <v>1</v>
      </c>
      <c r="D187" s="34" t="s">
        <v>200</v>
      </c>
      <c r="E187" s="34" t="s">
        <v>208</v>
      </c>
      <c r="F187" s="33">
        <v>0</v>
      </c>
      <c r="G187" s="33">
        <v>0.2</v>
      </c>
      <c r="H187" s="33" t="s">
        <v>202</v>
      </c>
      <c r="I187" s="33">
        <v>100</v>
      </c>
    </row>
    <row r="188" spans="1:9" x14ac:dyDescent="0.3">
      <c r="A188" s="30" t="s">
        <v>471</v>
      </c>
      <c r="B188" s="33" t="s">
        <v>23</v>
      </c>
      <c r="C188" s="33">
        <v>1</v>
      </c>
      <c r="D188" s="34" t="s">
        <v>200</v>
      </c>
      <c r="E188" s="34" t="s">
        <v>209</v>
      </c>
      <c r="F188" s="33">
        <v>0</v>
      </c>
      <c r="G188" s="33">
        <v>0.3</v>
      </c>
      <c r="H188" s="33" t="s">
        <v>202</v>
      </c>
      <c r="I188" s="33">
        <v>100</v>
      </c>
    </row>
    <row r="189" spans="1:9" x14ac:dyDescent="0.3">
      <c r="A189" s="30" t="s">
        <v>471</v>
      </c>
      <c r="B189" s="33" t="s">
        <v>23</v>
      </c>
      <c r="C189" s="33">
        <v>1</v>
      </c>
      <c r="D189" s="34" t="s">
        <v>200</v>
      </c>
      <c r="E189" s="34" t="s">
        <v>210</v>
      </c>
      <c r="F189" s="33">
        <v>0</v>
      </c>
      <c r="G189" s="33">
        <v>0.2</v>
      </c>
      <c r="H189" s="33" t="s">
        <v>202</v>
      </c>
      <c r="I189" s="33">
        <v>100</v>
      </c>
    </row>
    <row r="190" spans="1:9" x14ac:dyDescent="0.3">
      <c r="A190" s="30" t="s">
        <v>471</v>
      </c>
      <c r="B190" s="33" t="s">
        <v>23</v>
      </c>
      <c r="C190" s="33">
        <v>1</v>
      </c>
      <c r="D190" s="34" t="s">
        <v>200</v>
      </c>
      <c r="E190" s="34" t="s">
        <v>211</v>
      </c>
      <c r="F190" s="33">
        <v>0</v>
      </c>
      <c r="G190" s="33">
        <v>0.15</v>
      </c>
      <c r="H190" s="33" t="s">
        <v>202</v>
      </c>
      <c r="I190" s="33">
        <v>100</v>
      </c>
    </row>
    <row r="191" spans="1:9" x14ac:dyDescent="0.3">
      <c r="A191" s="30" t="s">
        <v>471</v>
      </c>
      <c r="B191" s="33" t="s">
        <v>23</v>
      </c>
      <c r="C191" s="33">
        <v>1</v>
      </c>
      <c r="D191" s="34" t="s">
        <v>200</v>
      </c>
      <c r="E191" s="34" t="s">
        <v>212</v>
      </c>
      <c r="F191" s="33">
        <v>0</v>
      </c>
      <c r="G191" s="33">
        <v>0.15</v>
      </c>
      <c r="H191" s="33" t="s">
        <v>202</v>
      </c>
      <c r="I191" s="33">
        <v>100</v>
      </c>
    </row>
    <row r="192" spans="1:9" x14ac:dyDescent="0.3">
      <c r="A192" s="30" t="s">
        <v>471</v>
      </c>
      <c r="B192" s="33" t="s">
        <v>23</v>
      </c>
      <c r="C192" s="33">
        <v>1</v>
      </c>
      <c r="D192" s="34" t="s">
        <v>200</v>
      </c>
      <c r="E192" s="34" t="s">
        <v>213</v>
      </c>
      <c r="F192" s="33">
        <v>0</v>
      </c>
      <c r="G192" s="33">
        <v>0.15</v>
      </c>
      <c r="H192" s="33" t="s">
        <v>202</v>
      </c>
      <c r="I192" s="33">
        <v>100</v>
      </c>
    </row>
    <row r="193" spans="1:9" x14ac:dyDescent="0.3">
      <c r="A193" s="30" t="s">
        <v>471</v>
      </c>
      <c r="B193" s="33" t="s">
        <v>23</v>
      </c>
      <c r="C193" s="33">
        <v>1</v>
      </c>
      <c r="D193" s="34" t="s">
        <v>200</v>
      </c>
      <c r="E193" s="34" t="s">
        <v>214</v>
      </c>
      <c r="F193" s="33">
        <v>0</v>
      </c>
      <c r="G193" s="33">
        <v>0.15</v>
      </c>
      <c r="H193" s="33" t="s">
        <v>202</v>
      </c>
      <c r="I193" s="33">
        <v>100</v>
      </c>
    </row>
    <row r="194" spans="1:9" x14ac:dyDescent="0.3">
      <c r="A194" s="30" t="s">
        <v>471</v>
      </c>
      <c r="B194" s="33" t="s">
        <v>23</v>
      </c>
      <c r="C194" s="33">
        <v>1</v>
      </c>
      <c r="D194" s="34" t="s">
        <v>200</v>
      </c>
      <c r="E194" s="34" t="s">
        <v>201</v>
      </c>
      <c r="F194" s="33">
        <v>0</v>
      </c>
      <c r="G194" s="33">
        <v>0.5</v>
      </c>
      <c r="H194" s="33" t="s">
        <v>215</v>
      </c>
      <c r="I194" s="33">
        <v>500</v>
      </c>
    </row>
    <row r="195" spans="1:9" x14ac:dyDescent="0.3">
      <c r="A195" s="30" t="s">
        <v>471</v>
      </c>
      <c r="B195" s="33" t="s">
        <v>23</v>
      </c>
      <c r="C195" s="33">
        <v>1</v>
      </c>
      <c r="D195" s="34" t="s">
        <v>200</v>
      </c>
      <c r="E195" s="34" t="s">
        <v>203</v>
      </c>
      <c r="F195" s="33">
        <v>0</v>
      </c>
      <c r="G195" s="33">
        <v>0.5</v>
      </c>
      <c r="H195" s="33" t="s">
        <v>215</v>
      </c>
      <c r="I195" s="33">
        <v>500</v>
      </c>
    </row>
    <row r="196" spans="1:9" x14ac:dyDescent="0.3">
      <c r="A196" s="30" t="s">
        <v>471</v>
      </c>
      <c r="B196" s="33" t="s">
        <v>23</v>
      </c>
      <c r="C196" s="33">
        <v>1</v>
      </c>
      <c r="D196" s="34" t="s">
        <v>200</v>
      </c>
      <c r="E196" s="34" t="s">
        <v>204</v>
      </c>
      <c r="F196" s="33">
        <v>0</v>
      </c>
      <c r="G196" s="33">
        <v>0.5</v>
      </c>
      <c r="H196" s="33" t="s">
        <v>215</v>
      </c>
      <c r="I196" s="33">
        <v>500</v>
      </c>
    </row>
    <row r="197" spans="1:9" x14ac:dyDescent="0.3">
      <c r="A197" s="30" t="s">
        <v>471</v>
      </c>
      <c r="B197" s="33" t="s">
        <v>23</v>
      </c>
      <c r="C197" s="33">
        <v>1</v>
      </c>
      <c r="D197" s="34" t="s">
        <v>200</v>
      </c>
      <c r="E197" s="34" t="s">
        <v>205</v>
      </c>
      <c r="F197" s="33">
        <v>0</v>
      </c>
      <c r="G197" s="33">
        <v>0.5</v>
      </c>
      <c r="H197" s="33" t="s">
        <v>215</v>
      </c>
      <c r="I197" s="33">
        <v>500</v>
      </c>
    </row>
    <row r="198" spans="1:9" x14ac:dyDescent="0.3">
      <c r="A198" s="30" t="s">
        <v>471</v>
      </c>
      <c r="B198" s="33" t="s">
        <v>23</v>
      </c>
      <c r="C198" s="33">
        <v>1</v>
      </c>
      <c r="D198" s="34" t="s">
        <v>200</v>
      </c>
      <c r="E198" s="34" t="s">
        <v>206</v>
      </c>
      <c r="F198" s="33">
        <v>0</v>
      </c>
      <c r="G198" s="33">
        <v>0.5</v>
      </c>
      <c r="H198" s="33" t="s">
        <v>215</v>
      </c>
      <c r="I198" s="33">
        <v>500</v>
      </c>
    </row>
    <row r="199" spans="1:9" x14ac:dyDescent="0.3">
      <c r="A199" s="30" t="s">
        <v>471</v>
      </c>
      <c r="B199" s="33" t="s">
        <v>23</v>
      </c>
      <c r="C199" s="33">
        <v>1</v>
      </c>
      <c r="D199" s="34" t="s">
        <v>200</v>
      </c>
      <c r="E199" s="34" t="s">
        <v>207</v>
      </c>
      <c r="F199" s="33">
        <v>0</v>
      </c>
      <c r="G199" s="33">
        <v>0.35</v>
      </c>
      <c r="H199" s="33" t="s">
        <v>215</v>
      </c>
      <c r="I199" s="33">
        <v>500</v>
      </c>
    </row>
    <row r="200" spans="1:9" x14ac:dyDescent="0.3">
      <c r="A200" s="30" t="s">
        <v>471</v>
      </c>
      <c r="B200" s="33" t="s">
        <v>23</v>
      </c>
      <c r="C200" s="33">
        <v>1</v>
      </c>
      <c r="D200" s="34" t="s">
        <v>200</v>
      </c>
      <c r="E200" s="34" t="s">
        <v>208</v>
      </c>
      <c r="F200" s="33">
        <v>0</v>
      </c>
      <c r="G200" s="33">
        <v>0.3</v>
      </c>
      <c r="H200" s="33" t="s">
        <v>215</v>
      </c>
      <c r="I200" s="33">
        <v>500</v>
      </c>
    </row>
    <row r="201" spans="1:9" x14ac:dyDescent="0.3">
      <c r="A201" s="30" t="s">
        <v>471</v>
      </c>
      <c r="B201" s="33" t="s">
        <v>23</v>
      </c>
      <c r="C201" s="33">
        <v>1</v>
      </c>
      <c r="D201" s="34" t="s">
        <v>200</v>
      </c>
      <c r="E201" s="34" t="s">
        <v>209</v>
      </c>
      <c r="F201" s="33">
        <v>0</v>
      </c>
      <c r="G201" s="33">
        <v>0.5</v>
      </c>
      <c r="H201" s="33" t="s">
        <v>215</v>
      </c>
      <c r="I201" s="33">
        <v>500</v>
      </c>
    </row>
    <row r="202" spans="1:9" x14ac:dyDescent="0.3">
      <c r="A202" s="30" t="s">
        <v>471</v>
      </c>
      <c r="B202" s="33" t="s">
        <v>23</v>
      </c>
      <c r="C202" s="33">
        <v>1</v>
      </c>
      <c r="D202" s="34" t="s">
        <v>200</v>
      </c>
      <c r="E202" s="34" t="s">
        <v>210</v>
      </c>
      <c r="F202" s="33">
        <v>0</v>
      </c>
      <c r="G202" s="33">
        <v>0.3</v>
      </c>
      <c r="H202" s="33" t="s">
        <v>215</v>
      </c>
      <c r="I202" s="33">
        <v>500</v>
      </c>
    </row>
    <row r="203" spans="1:9" x14ac:dyDescent="0.3">
      <c r="A203" s="30" t="s">
        <v>471</v>
      </c>
      <c r="B203" s="33" t="s">
        <v>23</v>
      </c>
      <c r="C203" s="33">
        <v>1</v>
      </c>
      <c r="D203" s="34" t="s">
        <v>200</v>
      </c>
      <c r="E203" s="34" t="s">
        <v>211</v>
      </c>
      <c r="F203" s="33">
        <v>0</v>
      </c>
      <c r="G203" s="33">
        <v>0.25</v>
      </c>
      <c r="H203" s="33" t="s">
        <v>215</v>
      </c>
      <c r="I203" s="33">
        <v>500</v>
      </c>
    </row>
    <row r="204" spans="1:9" x14ac:dyDescent="0.3">
      <c r="A204" s="30" t="s">
        <v>471</v>
      </c>
      <c r="B204" s="33" t="s">
        <v>23</v>
      </c>
      <c r="C204" s="33">
        <v>1</v>
      </c>
      <c r="D204" s="34" t="s">
        <v>200</v>
      </c>
      <c r="E204" s="34" t="s">
        <v>212</v>
      </c>
      <c r="F204" s="33">
        <v>0</v>
      </c>
      <c r="G204" s="33">
        <v>0.25</v>
      </c>
      <c r="H204" s="33" t="s">
        <v>215</v>
      </c>
      <c r="I204" s="33">
        <v>500</v>
      </c>
    </row>
    <row r="205" spans="1:9" x14ac:dyDescent="0.3">
      <c r="A205" s="30" t="s">
        <v>471</v>
      </c>
      <c r="B205" s="33" t="s">
        <v>23</v>
      </c>
      <c r="C205" s="33">
        <v>1</v>
      </c>
      <c r="D205" s="34" t="s">
        <v>200</v>
      </c>
      <c r="E205" s="34" t="s">
        <v>213</v>
      </c>
      <c r="F205" s="33">
        <v>0</v>
      </c>
      <c r="G205" s="33">
        <v>0.25</v>
      </c>
      <c r="H205" s="33" t="s">
        <v>215</v>
      </c>
      <c r="I205" s="33">
        <v>500</v>
      </c>
    </row>
    <row r="206" spans="1:9" x14ac:dyDescent="0.3">
      <c r="A206" s="30" t="s">
        <v>471</v>
      </c>
      <c r="B206" s="33" t="s">
        <v>23</v>
      </c>
      <c r="C206" s="33">
        <v>1</v>
      </c>
      <c r="D206" s="34" t="s">
        <v>200</v>
      </c>
      <c r="E206" s="34" t="s">
        <v>214</v>
      </c>
      <c r="F206" s="33">
        <v>0</v>
      </c>
      <c r="G206" s="33">
        <v>0.25</v>
      </c>
      <c r="H206" s="33" t="s">
        <v>215</v>
      </c>
      <c r="I206" s="33">
        <v>500</v>
      </c>
    </row>
    <row r="207" spans="1:9" x14ac:dyDescent="0.3">
      <c r="A207" s="30" t="s">
        <v>471</v>
      </c>
      <c r="B207" s="33" t="s">
        <v>23</v>
      </c>
      <c r="C207" s="33">
        <v>1</v>
      </c>
      <c r="D207" s="34" t="s">
        <v>200</v>
      </c>
      <c r="E207" s="34" t="s">
        <v>216</v>
      </c>
      <c r="F207" s="33">
        <v>0</v>
      </c>
      <c r="G207" s="33">
        <v>0.3</v>
      </c>
      <c r="H207" s="33" t="s">
        <v>202</v>
      </c>
      <c r="I207" s="33">
        <v>100</v>
      </c>
    </row>
    <row r="208" spans="1:9" x14ac:dyDescent="0.3">
      <c r="A208" s="30" t="s">
        <v>471</v>
      </c>
      <c r="B208" s="33" t="s">
        <v>23</v>
      </c>
      <c r="C208" s="33">
        <v>1</v>
      </c>
      <c r="D208" s="34" t="s">
        <v>200</v>
      </c>
      <c r="E208" s="34" t="s">
        <v>216</v>
      </c>
      <c r="F208" s="33">
        <v>0</v>
      </c>
      <c r="G208" s="33">
        <v>0.45</v>
      </c>
      <c r="H208" s="33" t="s">
        <v>215</v>
      </c>
      <c r="I208" s="33">
        <v>500</v>
      </c>
    </row>
    <row r="209" spans="1:9" x14ac:dyDescent="0.3">
      <c r="A209" s="30" t="s">
        <v>471</v>
      </c>
      <c r="B209" s="33" t="s">
        <v>23</v>
      </c>
      <c r="C209" s="33">
        <v>1</v>
      </c>
      <c r="D209" s="34" t="s">
        <v>200</v>
      </c>
      <c r="E209" s="34" t="s">
        <v>217</v>
      </c>
      <c r="F209" s="33">
        <v>0</v>
      </c>
      <c r="G209" s="33">
        <v>0.2</v>
      </c>
      <c r="H209" s="33" t="s">
        <v>202</v>
      </c>
      <c r="I209" s="33">
        <v>100</v>
      </c>
    </row>
    <row r="210" spans="1:9" x14ac:dyDescent="0.3">
      <c r="A210" s="30" t="s">
        <v>471</v>
      </c>
      <c r="B210" s="33" t="s">
        <v>23</v>
      </c>
      <c r="C210" s="33">
        <v>1</v>
      </c>
      <c r="D210" s="34" t="s">
        <v>200</v>
      </c>
      <c r="E210" s="34" t="s">
        <v>218</v>
      </c>
      <c r="F210" s="33">
        <v>0</v>
      </c>
      <c r="G210" s="33">
        <v>0.2</v>
      </c>
      <c r="H210" s="33" t="s">
        <v>202</v>
      </c>
      <c r="I210" s="33">
        <v>100</v>
      </c>
    </row>
    <row r="211" spans="1:9" x14ac:dyDescent="0.3">
      <c r="A211" s="30" t="s">
        <v>471</v>
      </c>
      <c r="B211" s="33" t="s">
        <v>23</v>
      </c>
      <c r="C211" s="33">
        <v>1</v>
      </c>
      <c r="D211" s="34" t="s">
        <v>200</v>
      </c>
      <c r="E211" s="34" t="s">
        <v>219</v>
      </c>
      <c r="F211" s="33">
        <v>0</v>
      </c>
      <c r="G211" s="33">
        <v>0.2</v>
      </c>
      <c r="H211" s="33" t="s">
        <v>202</v>
      </c>
      <c r="I211" s="33">
        <v>100</v>
      </c>
    </row>
    <row r="212" spans="1:9" x14ac:dyDescent="0.3">
      <c r="A212" s="30" t="s">
        <v>471</v>
      </c>
      <c r="B212" s="33" t="s">
        <v>23</v>
      </c>
      <c r="C212" s="33">
        <v>1</v>
      </c>
      <c r="D212" s="34" t="s">
        <v>200</v>
      </c>
      <c r="E212" s="34" t="s">
        <v>220</v>
      </c>
      <c r="F212" s="33">
        <v>0</v>
      </c>
      <c r="G212" s="33">
        <v>0.2</v>
      </c>
      <c r="H212" s="33" t="s">
        <v>202</v>
      </c>
      <c r="I212" s="33">
        <v>100</v>
      </c>
    </row>
    <row r="213" spans="1:9" x14ac:dyDescent="0.3">
      <c r="A213" s="30" t="s">
        <v>471</v>
      </c>
      <c r="B213" s="33" t="s">
        <v>23</v>
      </c>
      <c r="C213" s="33">
        <v>1</v>
      </c>
      <c r="D213" s="34" t="s">
        <v>200</v>
      </c>
      <c r="E213" s="34" t="s">
        <v>217</v>
      </c>
      <c r="F213" s="33">
        <v>0</v>
      </c>
      <c r="G213" s="33">
        <v>0.35</v>
      </c>
      <c r="H213" s="33" t="s">
        <v>215</v>
      </c>
      <c r="I213" s="33">
        <v>500</v>
      </c>
    </row>
    <row r="214" spans="1:9" x14ac:dyDescent="0.3">
      <c r="A214" s="30" t="s">
        <v>471</v>
      </c>
      <c r="B214" s="33" t="s">
        <v>23</v>
      </c>
      <c r="C214" s="33">
        <v>1</v>
      </c>
      <c r="D214" s="34" t="s">
        <v>200</v>
      </c>
      <c r="E214" s="34" t="s">
        <v>218</v>
      </c>
      <c r="F214" s="33">
        <v>0</v>
      </c>
      <c r="G214" s="33">
        <v>0.35</v>
      </c>
      <c r="H214" s="33" t="s">
        <v>215</v>
      </c>
      <c r="I214" s="33">
        <v>500</v>
      </c>
    </row>
    <row r="215" spans="1:9" x14ac:dyDescent="0.3">
      <c r="A215" s="30" t="s">
        <v>471</v>
      </c>
      <c r="B215" s="33" t="s">
        <v>23</v>
      </c>
      <c r="C215" s="33">
        <v>1</v>
      </c>
      <c r="D215" s="34" t="s">
        <v>200</v>
      </c>
      <c r="E215" s="34" t="s">
        <v>219</v>
      </c>
      <c r="F215" s="33">
        <v>0</v>
      </c>
      <c r="G215" s="33">
        <v>0.35</v>
      </c>
      <c r="H215" s="33" t="s">
        <v>215</v>
      </c>
      <c r="I215" s="33">
        <v>500</v>
      </c>
    </row>
    <row r="216" spans="1:9" x14ac:dyDescent="0.3">
      <c r="A216" s="30" t="s">
        <v>471</v>
      </c>
      <c r="B216" s="33" t="s">
        <v>23</v>
      </c>
      <c r="C216" s="33">
        <v>1</v>
      </c>
      <c r="D216" s="34" t="s">
        <v>200</v>
      </c>
      <c r="E216" s="34" t="s">
        <v>220</v>
      </c>
      <c r="F216" s="33">
        <v>0</v>
      </c>
      <c r="G216" s="33">
        <v>0.35</v>
      </c>
      <c r="H216" s="33" t="s">
        <v>215</v>
      </c>
      <c r="I216" s="33">
        <v>500</v>
      </c>
    </row>
    <row r="217" spans="1:9" x14ac:dyDescent="0.3">
      <c r="A217" s="30" t="s">
        <v>471</v>
      </c>
      <c r="B217" s="33" t="s">
        <v>23</v>
      </c>
      <c r="C217" s="33">
        <v>1</v>
      </c>
      <c r="D217" s="34" t="s">
        <v>221</v>
      </c>
      <c r="E217" s="34" t="s">
        <v>198</v>
      </c>
      <c r="F217" s="33">
        <v>0</v>
      </c>
      <c r="G217" s="33">
        <v>0.5</v>
      </c>
      <c r="H217" s="33"/>
      <c r="I217" s="33">
        <v>0</v>
      </c>
    </row>
    <row r="218" spans="1:9" x14ac:dyDescent="0.3">
      <c r="A218" s="30" t="s">
        <v>474</v>
      </c>
      <c r="B218" s="33" t="s">
        <v>23</v>
      </c>
      <c r="C218" s="33">
        <v>1</v>
      </c>
      <c r="D218" s="34" t="s">
        <v>188</v>
      </c>
      <c r="E218" s="34" t="s">
        <v>189</v>
      </c>
      <c r="F218" s="33">
        <v>0</v>
      </c>
      <c r="G218" s="33">
        <v>0.15</v>
      </c>
      <c r="H218" s="33"/>
      <c r="I218" s="33">
        <v>0</v>
      </c>
    </row>
    <row r="219" spans="1:9" x14ac:dyDescent="0.3">
      <c r="A219" s="30" t="s">
        <v>474</v>
      </c>
      <c r="B219" s="33" t="s">
        <v>23</v>
      </c>
      <c r="C219" s="33">
        <v>1</v>
      </c>
      <c r="D219" s="34" t="s">
        <v>190</v>
      </c>
      <c r="E219" s="34" t="s">
        <v>198</v>
      </c>
      <c r="F219" s="33">
        <v>0</v>
      </c>
      <c r="G219" s="33">
        <v>0.3</v>
      </c>
      <c r="H219" s="33"/>
      <c r="I219" s="33">
        <v>0</v>
      </c>
    </row>
    <row r="220" spans="1:9" x14ac:dyDescent="0.3">
      <c r="A220" s="30" t="s">
        <v>474</v>
      </c>
      <c r="B220" s="33" t="s">
        <v>23</v>
      </c>
      <c r="C220" s="33">
        <v>1</v>
      </c>
      <c r="D220" s="34" t="s">
        <v>197</v>
      </c>
      <c r="E220" s="34" t="s">
        <v>198</v>
      </c>
      <c r="F220" s="33">
        <v>0</v>
      </c>
      <c r="G220" s="33">
        <v>0.05</v>
      </c>
      <c r="H220" s="33"/>
      <c r="I220" s="33">
        <v>0</v>
      </c>
    </row>
    <row r="221" spans="1:9" x14ac:dyDescent="0.3">
      <c r="A221" s="30" t="s">
        <v>474</v>
      </c>
      <c r="B221" s="33" t="s">
        <v>23</v>
      </c>
      <c r="C221" s="33">
        <v>1</v>
      </c>
      <c r="D221" s="34" t="s">
        <v>197</v>
      </c>
      <c r="E221" s="34" t="s">
        <v>199</v>
      </c>
      <c r="F221" s="33">
        <v>0</v>
      </c>
      <c r="G221" s="33">
        <v>0</v>
      </c>
      <c r="H221" s="33"/>
      <c r="I221" s="33">
        <v>0</v>
      </c>
    </row>
    <row r="222" spans="1:9" x14ac:dyDescent="0.3">
      <c r="A222" s="30" t="s">
        <v>474</v>
      </c>
      <c r="B222" s="33" t="s">
        <v>23</v>
      </c>
      <c r="C222" s="33">
        <v>1</v>
      </c>
      <c r="D222" s="34" t="s">
        <v>200</v>
      </c>
      <c r="E222" s="34" t="s">
        <v>201</v>
      </c>
      <c r="F222" s="33">
        <v>0</v>
      </c>
      <c r="G222" s="33">
        <v>0.35</v>
      </c>
      <c r="H222" s="33" t="s">
        <v>202</v>
      </c>
      <c r="I222" s="33">
        <v>100</v>
      </c>
    </row>
    <row r="223" spans="1:9" x14ac:dyDescent="0.3">
      <c r="A223" s="30" t="s">
        <v>474</v>
      </c>
      <c r="B223" s="33" t="s">
        <v>23</v>
      </c>
      <c r="C223" s="33">
        <v>1</v>
      </c>
      <c r="D223" s="34" t="s">
        <v>200</v>
      </c>
      <c r="E223" s="34" t="s">
        <v>203</v>
      </c>
      <c r="F223" s="33">
        <v>0</v>
      </c>
      <c r="G223" s="33">
        <v>0.3</v>
      </c>
      <c r="H223" s="33" t="s">
        <v>202</v>
      </c>
      <c r="I223" s="33">
        <v>100</v>
      </c>
    </row>
    <row r="224" spans="1:9" x14ac:dyDescent="0.3">
      <c r="A224" s="30" t="s">
        <v>474</v>
      </c>
      <c r="B224" s="33" t="s">
        <v>23</v>
      </c>
      <c r="C224" s="33">
        <v>1</v>
      </c>
      <c r="D224" s="34" t="s">
        <v>200</v>
      </c>
      <c r="E224" s="34" t="s">
        <v>204</v>
      </c>
      <c r="F224" s="33">
        <v>0</v>
      </c>
      <c r="G224" s="33">
        <v>0.3</v>
      </c>
      <c r="H224" s="33" t="s">
        <v>202</v>
      </c>
      <c r="I224" s="33">
        <v>100</v>
      </c>
    </row>
    <row r="225" spans="1:9" x14ac:dyDescent="0.3">
      <c r="A225" s="30" t="s">
        <v>474</v>
      </c>
      <c r="B225" s="33" t="s">
        <v>23</v>
      </c>
      <c r="C225" s="33">
        <v>1</v>
      </c>
      <c r="D225" s="34" t="s">
        <v>200</v>
      </c>
      <c r="E225" s="34" t="s">
        <v>205</v>
      </c>
      <c r="F225" s="33">
        <v>0</v>
      </c>
      <c r="G225" s="33">
        <v>0.3</v>
      </c>
      <c r="H225" s="33" t="s">
        <v>202</v>
      </c>
      <c r="I225" s="33">
        <v>100</v>
      </c>
    </row>
    <row r="226" spans="1:9" x14ac:dyDescent="0.3">
      <c r="A226" s="30" t="s">
        <v>474</v>
      </c>
      <c r="B226" s="33" t="s">
        <v>23</v>
      </c>
      <c r="C226" s="33">
        <v>1</v>
      </c>
      <c r="D226" s="34" t="s">
        <v>200</v>
      </c>
      <c r="E226" s="34" t="s">
        <v>206</v>
      </c>
      <c r="F226" s="33">
        <v>0</v>
      </c>
      <c r="G226" s="33">
        <v>0.3</v>
      </c>
      <c r="H226" s="33" t="s">
        <v>202</v>
      </c>
      <c r="I226" s="33">
        <v>100</v>
      </c>
    </row>
    <row r="227" spans="1:9" x14ac:dyDescent="0.3">
      <c r="A227" s="30" t="s">
        <v>474</v>
      </c>
      <c r="B227" s="33" t="s">
        <v>23</v>
      </c>
      <c r="C227" s="33">
        <v>1</v>
      </c>
      <c r="D227" s="34" t="s">
        <v>200</v>
      </c>
      <c r="E227" s="34" t="s">
        <v>207</v>
      </c>
      <c r="F227" s="33">
        <v>0</v>
      </c>
      <c r="G227" s="33">
        <v>0.2</v>
      </c>
      <c r="H227" s="33" t="s">
        <v>202</v>
      </c>
      <c r="I227" s="33">
        <v>100</v>
      </c>
    </row>
    <row r="228" spans="1:9" x14ac:dyDescent="0.3">
      <c r="A228" s="30" t="s">
        <v>474</v>
      </c>
      <c r="B228" s="33" t="s">
        <v>23</v>
      </c>
      <c r="C228" s="33">
        <v>1</v>
      </c>
      <c r="D228" s="34" t="s">
        <v>200</v>
      </c>
      <c r="E228" s="34" t="s">
        <v>208</v>
      </c>
      <c r="F228" s="33">
        <v>0</v>
      </c>
      <c r="G228" s="33">
        <v>0.2</v>
      </c>
      <c r="H228" s="33" t="s">
        <v>202</v>
      </c>
      <c r="I228" s="33">
        <v>100</v>
      </c>
    </row>
    <row r="229" spans="1:9" x14ac:dyDescent="0.3">
      <c r="A229" s="30" t="s">
        <v>474</v>
      </c>
      <c r="B229" s="33" t="s">
        <v>23</v>
      </c>
      <c r="C229" s="33">
        <v>1</v>
      </c>
      <c r="D229" s="34" t="s">
        <v>200</v>
      </c>
      <c r="E229" s="34" t="s">
        <v>209</v>
      </c>
      <c r="F229" s="33">
        <v>0</v>
      </c>
      <c r="G229" s="33">
        <v>0.3</v>
      </c>
      <c r="H229" s="33" t="s">
        <v>202</v>
      </c>
      <c r="I229" s="33">
        <v>100</v>
      </c>
    </row>
    <row r="230" spans="1:9" x14ac:dyDescent="0.3">
      <c r="A230" s="30" t="s">
        <v>474</v>
      </c>
      <c r="B230" s="33" t="s">
        <v>23</v>
      </c>
      <c r="C230" s="33">
        <v>1</v>
      </c>
      <c r="D230" s="34" t="s">
        <v>200</v>
      </c>
      <c r="E230" s="34" t="s">
        <v>210</v>
      </c>
      <c r="F230" s="33">
        <v>0</v>
      </c>
      <c r="G230" s="33">
        <v>0.2</v>
      </c>
      <c r="H230" s="33" t="s">
        <v>202</v>
      </c>
      <c r="I230" s="33">
        <v>100</v>
      </c>
    </row>
    <row r="231" spans="1:9" x14ac:dyDescent="0.3">
      <c r="A231" s="30" t="s">
        <v>474</v>
      </c>
      <c r="B231" s="33" t="s">
        <v>23</v>
      </c>
      <c r="C231" s="33">
        <v>1</v>
      </c>
      <c r="D231" s="34" t="s">
        <v>200</v>
      </c>
      <c r="E231" s="34" t="s">
        <v>211</v>
      </c>
      <c r="F231" s="33">
        <v>0</v>
      </c>
      <c r="G231" s="33">
        <v>0.15</v>
      </c>
      <c r="H231" s="33" t="s">
        <v>202</v>
      </c>
      <c r="I231" s="33">
        <v>100</v>
      </c>
    </row>
    <row r="232" spans="1:9" x14ac:dyDescent="0.3">
      <c r="A232" s="30" t="s">
        <v>474</v>
      </c>
      <c r="B232" s="33" t="s">
        <v>23</v>
      </c>
      <c r="C232" s="33">
        <v>1</v>
      </c>
      <c r="D232" s="34" t="s">
        <v>200</v>
      </c>
      <c r="E232" s="34" t="s">
        <v>212</v>
      </c>
      <c r="F232" s="33">
        <v>0</v>
      </c>
      <c r="G232" s="33">
        <v>0.15</v>
      </c>
      <c r="H232" s="33" t="s">
        <v>202</v>
      </c>
      <c r="I232" s="33">
        <v>100</v>
      </c>
    </row>
    <row r="233" spans="1:9" x14ac:dyDescent="0.3">
      <c r="A233" s="30" t="s">
        <v>474</v>
      </c>
      <c r="B233" s="33" t="s">
        <v>23</v>
      </c>
      <c r="C233" s="33">
        <v>1</v>
      </c>
      <c r="D233" s="34" t="s">
        <v>200</v>
      </c>
      <c r="E233" s="34" t="s">
        <v>213</v>
      </c>
      <c r="F233" s="33">
        <v>0</v>
      </c>
      <c r="G233" s="33">
        <v>0.15</v>
      </c>
      <c r="H233" s="33" t="s">
        <v>202</v>
      </c>
      <c r="I233" s="33">
        <v>100</v>
      </c>
    </row>
    <row r="234" spans="1:9" x14ac:dyDescent="0.3">
      <c r="A234" s="30" t="s">
        <v>474</v>
      </c>
      <c r="B234" s="33" t="s">
        <v>23</v>
      </c>
      <c r="C234" s="33">
        <v>1</v>
      </c>
      <c r="D234" s="34" t="s">
        <v>200</v>
      </c>
      <c r="E234" s="34" t="s">
        <v>214</v>
      </c>
      <c r="F234" s="33">
        <v>0</v>
      </c>
      <c r="G234" s="33">
        <v>0.15</v>
      </c>
      <c r="H234" s="33" t="s">
        <v>202</v>
      </c>
      <c r="I234" s="33">
        <v>100</v>
      </c>
    </row>
    <row r="235" spans="1:9" x14ac:dyDescent="0.3">
      <c r="A235" s="30" t="s">
        <v>474</v>
      </c>
      <c r="B235" s="33" t="s">
        <v>23</v>
      </c>
      <c r="C235" s="33">
        <v>1</v>
      </c>
      <c r="D235" s="34" t="s">
        <v>200</v>
      </c>
      <c r="E235" s="34" t="s">
        <v>201</v>
      </c>
      <c r="F235" s="33">
        <v>0</v>
      </c>
      <c r="G235" s="33">
        <v>0.5</v>
      </c>
      <c r="H235" s="33" t="s">
        <v>215</v>
      </c>
      <c r="I235" s="33">
        <v>500</v>
      </c>
    </row>
    <row r="236" spans="1:9" x14ac:dyDescent="0.3">
      <c r="A236" s="30" t="s">
        <v>474</v>
      </c>
      <c r="B236" s="33" t="s">
        <v>23</v>
      </c>
      <c r="C236" s="33">
        <v>1</v>
      </c>
      <c r="D236" s="34" t="s">
        <v>200</v>
      </c>
      <c r="E236" s="34" t="s">
        <v>203</v>
      </c>
      <c r="F236" s="33">
        <v>0</v>
      </c>
      <c r="G236" s="33">
        <v>0.5</v>
      </c>
      <c r="H236" s="33" t="s">
        <v>215</v>
      </c>
      <c r="I236" s="33">
        <v>500</v>
      </c>
    </row>
    <row r="237" spans="1:9" x14ac:dyDescent="0.3">
      <c r="A237" s="30" t="s">
        <v>474</v>
      </c>
      <c r="B237" s="33" t="s">
        <v>23</v>
      </c>
      <c r="C237" s="33">
        <v>1</v>
      </c>
      <c r="D237" s="34" t="s">
        <v>200</v>
      </c>
      <c r="E237" s="34" t="s">
        <v>204</v>
      </c>
      <c r="F237" s="33">
        <v>0</v>
      </c>
      <c r="G237" s="33">
        <v>0.5</v>
      </c>
      <c r="H237" s="33" t="s">
        <v>215</v>
      </c>
      <c r="I237" s="33">
        <v>500</v>
      </c>
    </row>
    <row r="238" spans="1:9" x14ac:dyDescent="0.3">
      <c r="A238" s="30" t="s">
        <v>474</v>
      </c>
      <c r="B238" s="33" t="s">
        <v>23</v>
      </c>
      <c r="C238" s="33">
        <v>1</v>
      </c>
      <c r="D238" s="34" t="s">
        <v>200</v>
      </c>
      <c r="E238" s="34" t="s">
        <v>205</v>
      </c>
      <c r="F238" s="33">
        <v>0</v>
      </c>
      <c r="G238" s="33">
        <v>0.5</v>
      </c>
      <c r="H238" s="33" t="s">
        <v>215</v>
      </c>
      <c r="I238" s="33">
        <v>500</v>
      </c>
    </row>
    <row r="239" spans="1:9" x14ac:dyDescent="0.3">
      <c r="A239" s="30" t="s">
        <v>474</v>
      </c>
      <c r="B239" s="33" t="s">
        <v>23</v>
      </c>
      <c r="C239" s="33">
        <v>1</v>
      </c>
      <c r="D239" s="34" t="s">
        <v>200</v>
      </c>
      <c r="E239" s="34" t="s">
        <v>206</v>
      </c>
      <c r="F239" s="33">
        <v>0</v>
      </c>
      <c r="G239" s="33">
        <v>0.5</v>
      </c>
      <c r="H239" s="33" t="s">
        <v>215</v>
      </c>
      <c r="I239" s="33">
        <v>500</v>
      </c>
    </row>
    <row r="240" spans="1:9" x14ac:dyDescent="0.3">
      <c r="A240" s="30" t="s">
        <v>474</v>
      </c>
      <c r="B240" s="33" t="s">
        <v>23</v>
      </c>
      <c r="C240" s="33">
        <v>1</v>
      </c>
      <c r="D240" s="34" t="s">
        <v>200</v>
      </c>
      <c r="E240" s="34" t="s">
        <v>207</v>
      </c>
      <c r="F240" s="33">
        <v>0</v>
      </c>
      <c r="G240" s="33">
        <v>0.35</v>
      </c>
      <c r="H240" s="33" t="s">
        <v>215</v>
      </c>
      <c r="I240" s="33">
        <v>500</v>
      </c>
    </row>
    <row r="241" spans="1:9" x14ac:dyDescent="0.3">
      <c r="A241" s="30" t="s">
        <v>474</v>
      </c>
      <c r="B241" s="33" t="s">
        <v>23</v>
      </c>
      <c r="C241" s="33">
        <v>1</v>
      </c>
      <c r="D241" s="34" t="s">
        <v>200</v>
      </c>
      <c r="E241" s="34" t="s">
        <v>208</v>
      </c>
      <c r="F241" s="33">
        <v>0</v>
      </c>
      <c r="G241" s="33">
        <v>0.3</v>
      </c>
      <c r="H241" s="33" t="s">
        <v>215</v>
      </c>
      <c r="I241" s="33">
        <v>500</v>
      </c>
    </row>
    <row r="242" spans="1:9" x14ac:dyDescent="0.3">
      <c r="A242" s="30" t="s">
        <v>474</v>
      </c>
      <c r="B242" s="33" t="s">
        <v>23</v>
      </c>
      <c r="C242" s="33">
        <v>1</v>
      </c>
      <c r="D242" s="34" t="s">
        <v>200</v>
      </c>
      <c r="E242" s="34" t="s">
        <v>209</v>
      </c>
      <c r="F242" s="33">
        <v>0</v>
      </c>
      <c r="G242" s="33">
        <v>0.5</v>
      </c>
      <c r="H242" s="33" t="s">
        <v>215</v>
      </c>
      <c r="I242" s="33">
        <v>500</v>
      </c>
    </row>
    <row r="243" spans="1:9" x14ac:dyDescent="0.3">
      <c r="A243" s="30" t="s">
        <v>474</v>
      </c>
      <c r="B243" s="33" t="s">
        <v>23</v>
      </c>
      <c r="C243" s="33">
        <v>1</v>
      </c>
      <c r="D243" s="34" t="s">
        <v>200</v>
      </c>
      <c r="E243" s="34" t="s">
        <v>210</v>
      </c>
      <c r="F243" s="33">
        <v>0</v>
      </c>
      <c r="G243" s="33">
        <v>0.3</v>
      </c>
      <c r="H243" s="33" t="s">
        <v>215</v>
      </c>
      <c r="I243" s="33">
        <v>500</v>
      </c>
    </row>
    <row r="244" spans="1:9" x14ac:dyDescent="0.3">
      <c r="A244" s="30" t="s">
        <v>474</v>
      </c>
      <c r="B244" s="33" t="s">
        <v>23</v>
      </c>
      <c r="C244" s="33">
        <v>1</v>
      </c>
      <c r="D244" s="34" t="s">
        <v>200</v>
      </c>
      <c r="E244" s="34" t="s">
        <v>211</v>
      </c>
      <c r="F244" s="33">
        <v>0</v>
      </c>
      <c r="G244" s="33">
        <v>0.25</v>
      </c>
      <c r="H244" s="33" t="s">
        <v>215</v>
      </c>
      <c r="I244" s="33">
        <v>500</v>
      </c>
    </row>
    <row r="245" spans="1:9" x14ac:dyDescent="0.3">
      <c r="A245" s="30" t="s">
        <v>474</v>
      </c>
      <c r="B245" s="33" t="s">
        <v>23</v>
      </c>
      <c r="C245" s="33">
        <v>1</v>
      </c>
      <c r="D245" s="34" t="s">
        <v>200</v>
      </c>
      <c r="E245" s="34" t="s">
        <v>212</v>
      </c>
      <c r="F245" s="33">
        <v>0</v>
      </c>
      <c r="G245" s="33">
        <v>0.25</v>
      </c>
      <c r="H245" s="33" t="s">
        <v>215</v>
      </c>
      <c r="I245" s="33">
        <v>500</v>
      </c>
    </row>
    <row r="246" spans="1:9" x14ac:dyDescent="0.3">
      <c r="A246" s="30" t="s">
        <v>474</v>
      </c>
      <c r="B246" s="33" t="s">
        <v>23</v>
      </c>
      <c r="C246" s="33">
        <v>1</v>
      </c>
      <c r="D246" s="34" t="s">
        <v>200</v>
      </c>
      <c r="E246" s="34" t="s">
        <v>213</v>
      </c>
      <c r="F246" s="33">
        <v>0</v>
      </c>
      <c r="G246" s="33">
        <v>0.25</v>
      </c>
      <c r="H246" s="33" t="s">
        <v>215</v>
      </c>
      <c r="I246" s="33">
        <v>500</v>
      </c>
    </row>
    <row r="247" spans="1:9" x14ac:dyDescent="0.3">
      <c r="A247" s="30" t="s">
        <v>474</v>
      </c>
      <c r="B247" s="33" t="s">
        <v>23</v>
      </c>
      <c r="C247" s="33">
        <v>1</v>
      </c>
      <c r="D247" s="34" t="s">
        <v>200</v>
      </c>
      <c r="E247" s="34" t="s">
        <v>214</v>
      </c>
      <c r="F247" s="33">
        <v>0</v>
      </c>
      <c r="G247" s="33">
        <v>0.25</v>
      </c>
      <c r="H247" s="33" t="s">
        <v>215</v>
      </c>
      <c r="I247" s="33">
        <v>500</v>
      </c>
    </row>
    <row r="248" spans="1:9" x14ac:dyDescent="0.3">
      <c r="A248" s="30" t="s">
        <v>474</v>
      </c>
      <c r="B248" s="33" t="s">
        <v>23</v>
      </c>
      <c r="C248" s="33">
        <v>1</v>
      </c>
      <c r="D248" s="34" t="s">
        <v>200</v>
      </c>
      <c r="E248" s="34" t="s">
        <v>216</v>
      </c>
      <c r="F248" s="33">
        <v>0</v>
      </c>
      <c r="G248" s="33">
        <v>0.3</v>
      </c>
      <c r="H248" s="33" t="s">
        <v>202</v>
      </c>
      <c r="I248" s="33">
        <v>100</v>
      </c>
    </row>
    <row r="249" spans="1:9" x14ac:dyDescent="0.3">
      <c r="A249" s="30" t="s">
        <v>474</v>
      </c>
      <c r="B249" s="33" t="s">
        <v>23</v>
      </c>
      <c r="C249" s="33">
        <v>1</v>
      </c>
      <c r="D249" s="34" t="s">
        <v>200</v>
      </c>
      <c r="E249" s="34" t="s">
        <v>216</v>
      </c>
      <c r="F249" s="33">
        <v>0</v>
      </c>
      <c r="G249" s="33">
        <v>0.45</v>
      </c>
      <c r="H249" s="33" t="s">
        <v>215</v>
      </c>
      <c r="I249" s="33">
        <v>500</v>
      </c>
    </row>
    <row r="250" spans="1:9" x14ac:dyDescent="0.3">
      <c r="A250" s="30" t="s">
        <v>474</v>
      </c>
      <c r="B250" s="33" t="s">
        <v>23</v>
      </c>
      <c r="C250" s="33">
        <v>1</v>
      </c>
      <c r="D250" s="34" t="s">
        <v>200</v>
      </c>
      <c r="E250" s="34" t="s">
        <v>217</v>
      </c>
      <c r="F250" s="33">
        <v>0</v>
      </c>
      <c r="G250" s="33">
        <v>0.2</v>
      </c>
      <c r="H250" s="33" t="s">
        <v>202</v>
      </c>
      <c r="I250" s="33">
        <v>100</v>
      </c>
    </row>
    <row r="251" spans="1:9" x14ac:dyDescent="0.3">
      <c r="A251" s="30" t="s">
        <v>474</v>
      </c>
      <c r="B251" s="33" t="s">
        <v>23</v>
      </c>
      <c r="C251" s="33">
        <v>1</v>
      </c>
      <c r="D251" s="34" t="s">
        <v>200</v>
      </c>
      <c r="E251" s="34" t="s">
        <v>218</v>
      </c>
      <c r="F251" s="33">
        <v>0</v>
      </c>
      <c r="G251" s="33">
        <v>0.2</v>
      </c>
      <c r="H251" s="33" t="s">
        <v>202</v>
      </c>
      <c r="I251" s="33">
        <v>100</v>
      </c>
    </row>
    <row r="252" spans="1:9" x14ac:dyDescent="0.3">
      <c r="A252" s="30" t="s">
        <v>474</v>
      </c>
      <c r="B252" s="33" t="s">
        <v>23</v>
      </c>
      <c r="C252" s="33">
        <v>1</v>
      </c>
      <c r="D252" s="34" t="s">
        <v>200</v>
      </c>
      <c r="E252" s="34" t="s">
        <v>219</v>
      </c>
      <c r="F252" s="33">
        <v>0</v>
      </c>
      <c r="G252" s="33">
        <v>0.2</v>
      </c>
      <c r="H252" s="33" t="s">
        <v>202</v>
      </c>
      <c r="I252" s="33">
        <v>100</v>
      </c>
    </row>
    <row r="253" spans="1:9" x14ac:dyDescent="0.3">
      <c r="A253" s="30" t="s">
        <v>474</v>
      </c>
      <c r="B253" s="33" t="s">
        <v>23</v>
      </c>
      <c r="C253" s="33">
        <v>1</v>
      </c>
      <c r="D253" s="34" t="s">
        <v>200</v>
      </c>
      <c r="E253" s="34" t="s">
        <v>220</v>
      </c>
      <c r="F253" s="33">
        <v>0</v>
      </c>
      <c r="G253" s="33">
        <v>0.2</v>
      </c>
      <c r="H253" s="33" t="s">
        <v>202</v>
      </c>
      <c r="I253" s="33">
        <v>100</v>
      </c>
    </row>
    <row r="254" spans="1:9" x14ac:dyDescent="0.3">
      <c r="A254" s="30" t="s">
        <v>474</v>
      </c>
      <c r="B254" s="33" t="s">
        <v>23</v>
      </c>
      <c r="C254" s="33">
        <v>1</v>
      </c>
      <c r="D254" s="34" t="s">
        <v>200</v>
      </c>
      <c r="E254" s="34" t="s">
        <v>217</v>
      </c>
      <c r="F254" s="33">
        <v>0</v>
      </c>
      <c r="G254" s="33">
        <v>0.35</v>
      </c>
      <c r="H254" s="33" t="s">
        <v>215</v>
      </c>
      <c r="I254" s="33">
        <v>500</v>
      </c>
    </row>
    <row r="255" spans="1:9" x14ac:dyDescent="0.3">
      <c r="A255" s="30" t="s">
        <v>474</v>
      </c>
      <c r="B255" s="33" t="s">
        <v>23</v>
      </c>
      <c r="C255" s="33">
        <v>1</v>
      </c>
      <c r="D255" s="34" t="s">
        <v>200</v>
      </c>
      <c r="E255" s="34" t="s">
        <v>218</v>
      </c>
      <c r="F255" s="33">
        <v>0</v>
      </c>
      <c r="G255" s="33">
        <v>0.35</v>
      </c>
      <c r="H255" s="33" t="s">
        <v>215</v>
      </c>
      <c r="I255" s="33">
        <v>500</v>
      </c>
    </row>
    <row r="256" spans="1:9" x14ac:dyDescent="0.3">
      <c r="A256" s="30" t="s">
        <v>474</v>
      </c>
      <c r="B256" s="33" t="s">
        <v>23</v>
      </c>
      <c r="C256" s="33">
        <v>1</v>
      </c>
      <c r="D256" s="34" t="s">
        <v>200</v>
      </c>
      <c r="E256" s="34" t="s">
        <v>219</v>
      </c>
      <c r="F256" s="33">
        <v>0</v>
      </c>
      <c r="G256" s="33">
        <v>0.35</v>
      </c>
      <c r="H256" s="33" t="s">
        <v>215</v>
      </c>
      <c r="I256" s="33">
        <v>500</v>
      </c>
    </row>
    <row r="257" spans="1:9" x14ac:dyDescent="0.3">
      <c r="A257" s="30" t="s">
        <v>474</v>
      </c>
      <c r="B257" s="33" t="s">
        <v>23</v>
      </c>
      <c r="C257" s="33">
        <v>1</v>
      </c>
      <c r="D257" s="34" t="s">
        <v>200</v>
      </c>
      <c r="E257" s="34" t="s">
        <v>220</v>
      </c>
      <c r="F257" s="33">
        <v>0</v>
      </c>
      <c r="G257" s="33">
        <v>0.35</v>
      </c>
      <c r="H257" s="33" t="s">
        <v>215</v>
      </c>
      <c r="I257" s="33">
        <v>500</v>
      </c>
    </row>
    <row r="258" spans="1:9" x14ac:dyDescent="0.3">
      <c r="A258" s="30" t="s">
        <v>474</v>
      </c>
      <c r="B258" s="33" t="s">
        <v>23</v>
      </c>
      <c r="C258" s="33">
        <v>1</v>
      </c>
      <c r="D258" s="34" t="s">
        <v>221</v>
      </c>
      <c r="E258" s="34" t="s">
        <v>198</v>
      </c>
      <c r="F258" s="33">
        <v>0</v>
      </c>
      <c r="G258" s="33">
        <v>0.5</v>
      </c>
      <c r="H258" s="33"/>
      <c r="I258" s="33">
        <v>0</v>
      </c>
    </row>
    <row r="259" spans="1:9" x14ac:dyDescent="0.3">
      <c r="A259" s="30" t="s">
        <v>475</v>
      </c>
      <c r="B259" s="33" t="s">
        <v>23</v>
      </c>
      <c r="C259" s="33">
        <v>1</v>
      </c>
      <c r="D259" s="34" t="s">
        <v>188</v>
      </c>
      <c r="E259" s="34" t="s">
        <v>189</v>
      </c>
      <c r="F259" s="33">
        <v>0</v>
      </c>
      <c r="G259" s="33">
        <v>0.15</v>
      </c>
      <c r="H259" s="33"/>
      <c r="I259" s="33">
        <v>0</v>
      </c>
    </row>
    <row r="260" spans="1:9" x14ac:dyDescent="0.3">
      <c r="A260" s="30" t="s">
        <v>475</v>
      </c>
      <c r="B260" s="33" t="s">
        <v>23</v>
      </c>
      <c r="C260" s="33">
        <v>1</v>
      </c>
      <c r="D260" s="34" t="s">
        <v>190</v>
      </c>
      <c r="E260" s="34" t="s">
        <v>198</v>
      </c>
      <c r="F260" s="33">
        <v>0</v>
      </c>
      <c r="G260" s="33">
        <v>0.3</v>
      </c>
      <c r="H260" s="33"/>
      <c r="I260" s="33">
        <v>0</v>
      </c>
    </row>
    <row r="261" spans="1:9" x14ac:dyDescent="0.3">
      <c r="A261" s="30" t="s">
        <v>475</v>
      </c>
      <c r="B261" s="33" t="s">
        <v>23</v>
      </c>
      <c r="C261" s="33">
        <v>1</v>
      </c>
      <c r="D261" s="34" t="s">
        <v>197</v>
      </c>
      <c r="E261" s="34" t="s">
        <v>198</v>
      </c>
      <c r="F261" s="33">
        <v>0</v>
      </c>
      <c r="G261" s="33">
        <v>0.05</v>
      </c>
      <c r="H261" s="33"/>
      <c r="I261" s="33">
        <v>0</v>
      </c>
    </row>
    <row r="262" spans="1:9" x14ac:dyDescent="0.3">
      <c r="A262" s="30" t="s">
        <v>475</v>
      </c>
      <c r="B262" s="33" t="s">
        <v>23</v>
      </c>
      <c r="C262" s="33">
        <v>1</v>
      </c>
      <c r="D262" s="34" t="s">
        <v>197</v>
      </c>
      <c r="E262" s="34" t="s">
        <v>199</v>
      </c>
      <c r="F262" s="33">
        <v>0</v>
      </c>
      <c r="G262" s="33">
        <v>0</v>
      </c>
      <c r="H262" s="33"/>
      <c r="I262" s="33">
        <v>0</v>
      </c>
    </row>
    <row r="263" spans="1:9" x14ac:dyDescent="0.3">
      <c r="A263" s="30" t="s">
        <v>475</v>
      </c>
      <c r="B263" s="33" t="s">
        <v>23</v>
      </c>
      <c r="C263" s="33">
        <v>1</v>
      </c>
      <c r="D263" s="34" t="s">
        <v>200</v>
      </c>
      <c r="E263" s="34" t="s">
        <v>201</v>
      </c>
      <c r="F263" s="33">
        <v>0</v>
      </c>
      <c r="G263" s="33">
        <v>0.35</v>
      </c>
      <c r="H263" s="33" t="s">
        <v>202</v>
      </c>
      <c r="I263" s="33">
        <v>100</v>
      </c>
    </row>
    <row r="264" spans="1:9" x14ac:dyDescent="0.3">
      <c r="A264" s="30" t="s">
        <v>475</v>
      </c>
      <c r="B264" s="33" t="s">
        <v>23</v>
      </c>
      <c r="C264" s="33">
        <v>1</v>
      </c>
      <c r="D264" s="34" t="s">
        <v>200</v>
      </c>
      <c r="E264" s="34" t="s">
        <v>203</v>
      </c>
      <c r="F264" s="33">
        <v>0</v>
      </c>
      <c r="G264" s="33">
        <v>0.3</v>
      </c>
      <c r="H264" s="33" t="s">
        <v>202</v>
      </c>
      <c r="I264" s="33">
        <v>100</v>
      </c>
    </row>
    <row r="265" spans="1:9" x14ac:dyDescent="0.3">
      <c r="A265" s="30" t="s">
        <v>475</v>
      </c>
      <c r="B265" s="33" t="s">
        <v>23</v>
      </c>
      <c r="C265" s="33">
        <v>1</v>
      </c>
      <c r="D265" s="34" t="s">
        <v>200</v>
      </c>
      <c r="E265" s="34" t="s">
        <v>204</v>
      </c>
      <c r="F265" s="33">
        <v>0</v>
      </c>
      <c r="G265" s="33">
        <v>0.3</v>
      </c>
      <c r="H265" s="33" t="s">
        <v>202</v>
      </c>
      <c r="I265" s="33">
        <v>100</v>
      </c>
    </row>
    <row r="266" spans="1:9" x14ac:dyDescent="0.3">
      <c r="A266" s="30" t="s">
        <v>475</v>
      </c>
      <c r="B266" s="33" t="s">
        <v>23</v>
      </c>
      <c r="C266" s="33">
        <v>1</v>
      </c>
      <c r="D266" s="34" t="s">
        <v>200</v>
      </c>
      <c r="E266" s="34" t="s">
        <v>205</v>
      </c>
      <c r="F266" s="33">
        <v>0</v>
      </c>
      <c r="G266" s="33">
        <v>0.3</v>
      </c>
      <c r="H266" s="33" t="s">
        <v>202</v>
      </c>
      <c r="I266" s="33">
        <v>100</v>
      </c>
    </row>
    <row r="267" spans="1:9" x14ac:dyDescent="0.3">
      <c r="A267" s="30" t="s">
        <v>475</v>
      </c>
      <c r="B267" s="33" t="s">
        <v>23</v>
      </c>
      <c r="C267" s="33">
        <v>1</v>
      </c>
      <c r="D267" s="34" t="s">
        <v>200</v>
      </c>
      <c r="E267" s="34" t="s">
        <v>206</v>
      </c>
      <c r="F267" s="33">
        <v>0</v>
      </c>
      <c r="G267" s="33">
        <v>0.3</v>
      </c>
      <c r="H267" s="33" t="s">
        <v>202</v>
      </c>
      <c r="I267" s="33">
        <v>100</v>
      </c>
    </row>
    <row r="268" spans="1:9" x14ac:dyDescent="0.3">
      <c r="A268" s="30" t="s">
        <v>475</v>
      </c>
      <c r="B268" s="33" t="s">
        <v>23</v>
      </c>
      <c r="C268" s="33">
        <v>1</v>
      </c>
      <c r="D268" s="34" t="s">
        <v>200</v>
      </c>
      <c r="E268" s="34" t="s">
        <v>207</v>
      </c>
      <c r="F268" s="33">
        <v>0</v>
      </c>
      <c r="G268" s="33">
        <v>0.2</v>
      </c>
      <c r="H268" s="33" t="s">
        <v>202</v>
      </c>
      <c r="I268" s="33">
        <v>100</v>
      </c>
    </row>
    <row r="269" spans="1:9" x14ac:dyDescent="0.3">
      <c r="A269" s="30" t="s">
        <v>475</v>
      </c>
      <c r="B269" s="33" t="s">
        <v>23</v>
      </c>
      <c r="C269" s="33">
        <v>1</v>
      </c>
      <c r="D269" s="34" t="s">
        <v>200</v>
      </c>
      <c r="E269" s="34" t="s">
        <v>208</v>
      </c>
      <c r="F269" s="33">
        <v>0</v>
      </c>
      <c r="G269" s="33">
        <v>0.2</v>
      </c>
      <c r="H269" s="33" t="s">
        <v>202</v>
      </c>
      <c r="I269" s="33">
        <v>100</v>
      </c>
    </row>
    <row r="270" spans="1:9" x14ac:dyDescent="0.3">
      <c r="A270" s="30" t="s">
        <v>475</v>
      </c>
      <c r="B270" s="33" t="s">
        <v>23</v>
      </c>
      <c r="C270" s="33">
        <v>1</v>
      </c>
      <c r="D270" s="34" t="s">
        <v>200</v>
      </c>
      <c r="E270" s="34" t="s">
        <v>209</v>
      </c>
      <c r="F270" s="33">
        <v>0</v>
      </c>
      <c r="G270" s="33">
        <v>0.3</v>
      </c>
      <c r="H270" s="33" t="s">
        <v>202</v>
      </c>
      <c r="I270" s="33">
        <v>100</v>
      </c>
    </row>
    <row r="271" spans="1:9" x14ac:dyDescent="0.3">
      <c r="A271" s="30" t="s">
        <v>475</v>
      </c>
      <c r="B271" s="33" t="s">
        <v>23</v>
      </c>
      <c r="C271" s="33">
        <v>1</v>
      </c>
      <c r="D271" s="34" t="s">
        <v>200</v>
      </c>
      <c r="E271" s="34" t="s">
        <v>210</v>
      </c>
      <c r="F271" s="33">
        <v>0</v>
      </c>
      <c r="G271" s="33">
        <v>0.2</v>
      </c>
      <c r="H271" s="33" t="s">
        <v>202</v>
      </c>
      <c r="I271" s="33">
        <v>100</v>
      </c>
    </row>
    <row r="272" spans="1:9" x14ac:dyDescent="0.3">
      <c r="A272" s="30" t="s">
        <v>475</v>
      </c>
      <c r="B272" s="33" t="s">
        <v>23</v>
      </c>
      <c r="C272" s="33">
        <v>1</v>
      </c>
      <c r="D272" s="34" t="s">
        <v>200</v>
      </c>
      <c r="E272" s="34" t="s">
        <v>211</v>
      </c>
      <c r="F272" s="33">
        <v>0</v>
      </c>
      <c r="G272" s="33">
        <v>0.15</v>
      </c>
      <c r="H272" s="33" t="s">
        <v>202</v>
      </c>
      <c r="I272" s="33">
        <v>100</v>
      </c>
    </row>
    <row r="273" spans="1:9" x14ac:dyDescent="0.3">
      <c r="A273" s="30" t="s">
        <v>475</v>
      </c>
      <c r="B273" s="33" t="s">
        <v>23</v>
      </c>
      <c r="C273" s="33">
        <v>1</v>
      </c>
      <c r="D273" s="34" t="s">
        <v>200</v>
      </c>
      <c r="E273" s="34" t="s">
        <v>212</v>
      </c>
      <c r="F273" s="33">
        <v>0</v>
      </c>
      <c r="G273" s="33">
        <v>0.15</v>
      </c>
      <c r="H273" s="33" t="s">
        <v>202</v>
      </c>
      <c r="I273" s="33">
        <v>100</v>
      </c>
    </row>
    <row r="274" spans="1:9" x14ac:dyDescent="0.3">
      <c r="A274" s="30" t="s">
        <v>475</v>
      </c>
      <c r="B274" s="33" t="s">
        <v>23</v>
      </c>
      <c r="C274" s="33">
        <v>1</v>
      </c>
      <c r="D274" s="34" t="s">
        <v>200</v>
      </c>
      <c r="E274" s="34" t="s">
        <v>213</v>
      </c>
      <c r="F274" s="33">
        <v>0</v>
      </c>
      <c r="G274" s="33">
        <v>0.15</v>
      </c>
      <c r="H274" s="33" t="s">
        <v>202</v>
      </c>
      <c r="I274" s="33">
        <v>100</v>
      </c>
    </row>
    <row r="275" spans="1:9" x14ac:dyDescent="0.3">
      <c r="A275" s="30" t="s">
        <v>475</v>
      </c>
      <c r="B275" s="33" t="s">
        <v>23</v>
      </c>
      <c r="C275" s="33">
        <v>1</v>
      </c>
      <c r="D275" s="34" t="s">
        <v>200</v>
      </c>
      <c r="E275" s="34" t="s">
        <v>214</v>
      </c>
      <c r="F275" s="33">
        <v>0</v>
      </c>
      <c r="G275" s="33">
        <v>0.15</v>
      </c>
      <c r="H275" s="33" t="s">
        <v>202</v>
      </c>
      <c r="I275" s="33">
        <v>100</v>
      </c>
    </row>
    <row r="276" spans="1:9" x14ac:dyDescent="0.3">
      <c r="A276" s="30" t="s">
        <v>475</v>
      </c>
      <c r="B276" s="33" t="s">
        <v>23</v>
      </c>
      <c r="C276" s="33">
        <v>1</v>
      </c>
      <c r="D276" s="34" t="s">
        <v>200</v>
      </c>
      <c r="E276" s="34" t="s">
        <v>201</v>
      </c>
      <c r="F276" s="33">
        <v>0</v>
      </c>
      <c r="G276" s="33">
        <v>0.5</v>
      </c>
      <c r="H276" s="33" t="s">
        <v>215</v>
      </c>
      <c r="I276" s="33">
        <v>500</v>
      </c>
    </row>
    <row r="277" spans="1:9" x14ac:dyDescent="0.3">
      <c r="A277" s="30" t="s">
        <v>475</v>
      </c>
      <c r="B277" s="33" t="s">
        <v>23</v>
      </c>
      <c r="C277" s="33">
        <v>1</v>
      </c>
      <c r="D277" s="34" t="s">
        <v>200</v>
      </c>
      <c r="E277" s="34" t="s">
        <v>203</v>
      </c>
      <c r="F277" s="33">
        <v>0</v>
      </c>
      <c r="G277" s="33">
        <v>0.5</v>
      </c>
      <c r="H277" s="33" t="s">
        <v>215</v>
      </c>
      <c r="I277" s="33">
        <v>500</v>
      </c>
    </row>
    <row r="278" spans="1:9" x14ac:dyDescent="0.3">
      <c r="A278" s="30" t="s">
        <v>475</v>
      </c>
      <c r="B278" s="33" t="s">
        <v>23</v>
      </c>
      <c r="C278" s="33">
        <v>1</v>
      </c>
      <c r="D278" s="34" t="s">
        <v>200</v>
      </c>
      <c r="E278" s="34" t="s">
        <v>204</v>
      </c>
      <c r="F278" s="33">
        <v>0</v>
      </c>
      <c r="G278" s="33">
        <v>0.5</v>
      </c>
      <c r="H278" s="33" t="s">
        <v>215</v>
      </c>
      <c r="I278" s="33">
        <v>500</v>
      </c>
    </row>
    <row r="279" spans="1:9" x14ac:dyDescent="0.3">
      <c r="A279" s="30" t="s">
        <v>475</v>
      </c>
      <c r="B279" s="33" t="s">
        <v>23</v>
      </c>
      <c r="C279" s="33">
        <v>1</v>
      </c>
      <c r="D279" s="34" t="s">
        <v>200</v>
      </c>
      <c r="E279" s="34" t="s">
        <v>205</v>
      </c>
      <c r="F279" s="33">
        <v>0</v>
      </c>
      <c r="G279" s="33">
        <v>0.5</v>
      </c>
      <c r="H279" s="33" t="s">
        <v>215</v>
      </c>
      <c r="I279" s="33">
        <v>500</v>
      </c>
    </row>
    <row r="280" spans="1:9" x14ac:dyDescent="0.3">
      <c r="A280" s="30" t="s">
        <v>475</v>
      </c>
      <c r="B280" s="33" t="s">
        <v>23</v>
      </c>
      <c r="C280" s="33">
        <v>1</v>
      </c>
      <c r="D280" s="34" t="s">
        <v>200</v>
      </c>
      <c r="E280" s="34" t="s">
        <v>206</v>
      </c>
      <c r="F280" s="33">
        <v>0</v>
      </c>
      <c r="G280" s="33">
        <v>0.5</v>
      </c>
      <c r="H280" s="33" t="s">
        <v>215</v>
      </c>
      <c r="I280" s="33">
        <v>500</v>
      </c>
    </row>
    <row r="281" spans="1:9" x14ac:dyDescent="0.3">
      <c r="A281" s="30" t="s">
        <v>475</v>
      </c>
      <c r="B281" s="33" t="s">
        <v>23</v>
      </c>
      <c r="C281" s="33">
        <v>1</v>
      </c>
      <c r="D281" s="34" t="s">
        <v>200</v>
      </c>
      <c r="E281" s="34" t="s">
        <v>207</v>
      </c>
      <c r="F281" s="33">
        <v>0</v>
      </c>
      <c r="G281" s="33">
        <v>0.35</v>
      </c>
      <c r="H281" s="33" t="s">
        <v>215</v>
      </c>
      <c r="I281" s="33">
        <v>500</v>
      </c>
    </row>
    <row r="282" spans="1:9" x14ac:dyDescent="0.3">
      <c r="A282" s="30" t="s">
        <v>475</v>
      </c>
      <c r="B282" s="33" t="s">
        <v>23</v>
      </c>
      <c r="C282" s="33">
        <v>1</v>
      </c>
      <c r="D282" s="34" t="s">
        <v>200</v>
      </c>
      <c r="E282" s="34" t="s">
        <v>208</v>
      </c>
      <c r="F282" s="33">
        <v>0</v>
      </c>
      <c r="G282" s="33">
        <v>0.3</v>
      </c>
      <c r="H282" s="33" t="s">
        <v>215</v>
      </c>
      <c r="I282" s="33">
        <v>500</v>
      </c>
    </row>
    <row r="283" spans="1:9" x14ac:dyDescent="0.3">
      <c r="A283" s="30" t="s">
        <v>475</v>
      </c>
      <c r="B283" s="33" t="s">
        <v>23</v>
      </c>
      <c r="C283" s="33">
        <v>1</v>
      </c>
      <c r="D283" s="34" t="s">
        <v>200</v>
      </c>
      <c r="E283" s="34" t="s">
        <v>209</v>
      </c>
      <c r="F283" s="33">
        <v>0</v>
      </c>
      <c r="G283" s="33">
        <v>0.5</v>
      </c>
      <c r="H283" s="33" t="s">
        <v>215</v>
      </c>
      <c r="I283" s="33">
        <v>500</v>
      </c>
    </row>
    <row r="284" spans="1:9" x14ac:dyDescent="0.3">
      <c r="A284" s="30" t="s">
        <v>475</v>
      </c>
      <c r="B284" s="33" t="s">
        <v>23</v>
      </c>
      <c r="C284" s="33">
        <v>1</v>
      </c>
      <c r="D284" s="34" t="s">
        <v>200</v>
      </c>
      <c r="E284" s="34" t="s">
        <v>210</v>
      </c>
      <c r="F284" s="33">
        <v>0</v>
      </c>
      <c r="G284" s="33">
        <v>0.3</v>
      </c>
      <c r="H284" s="33" t="s">
        <v>215</v>
      </c>
      <c r="I284" s="33">
        <v>500</v>
      </c>
    </row>
    <row r="285" spans="1:9" x14ac:dyDescent="0.3">
      <c r="A285" s="30" t="s">
        <v>475</v>
      </c>
      <c r="B285" s="33" t="s">
        <v>23</v>
      </c>
      <c r="C285" s="33">
        <v>1</v>
      </c>
      <c r="D285" s="34" t="s">
        <v>200</v>
      </c>
      <c r="E285" s="34" t="s">
        <v>211</v>
      </c>
      <c r="F285" s="33">
        <v>0</v>
      </c>
      <c r="G285" s="33">
        <v>0.25</v>
      </c>
      <c r="H285" s="33" t="s">
        <v>215</v>
      </c>
      <c r="I285" s="33">
        <v>500</v>
      </c>
    </row>
    <row r="286" spans="1:9" x14ac:dyDescent="0.3">
      <c r="A286" s="30" t="s">
        <v>475</v>
      </c>
      <c r="B286" s="33" t="s">
        <v>23</v>
      </c>
      <c r="C286" s="33">
        <v>1</v>
      </c>
      <c r="D286" s="34" t="s">
        <v>200</v>
      </c>
      <c r="E286" s="34" t="s">
        <v>212</v>
      </c>
      <c r="F286" s="33">
        <v>0</v>
      </c>
      <c r="G286" s="33">
        <v>0.25</v>
      </c>
      <c r="H286" s="33" t="s">
        <v>215</v>
      </c>
      <c r="I286" s="33">
        <v>500</v>
      </c>
    </row>
    <row r="287" spans="1:9" x14ac:dyDescent="0.3">
      <c r="A287" s="30" t="s">
        <v>475</v>
      </c>
      <c r="B287" s="33" t="s">
        <v>23</v>
      </c>
      <c r="C287" s="33">
        <v>1</v>
      </c>
      <c r="D287" s="34" t="s">
        <v>200</v>
      </c>
      <c r="E287" s="34" t="s">
        <v>213</v>
      </c>
      <c r="F287" s="33">
        <v>0</v>
      </c>
      <c r="G287" s="33">
        <v>0.25</v>
      </c>
      <c r="H287" s="33" t="s">
        <v>215</v>
      </c>
      <c r="I287" s="33">
        <v>500</v>
      </c>
    </row>
    <row r="288" spans="1:9" x14ac:dyDescent="0.3">
      <c r="A288" s="30" t="s">
        <v>475</v>
      </c>
      <c r="B288" s="33" t="s">
        <v>23</v>
      </c>
      <c r="C288" s="33">
        <v>1</v>
      </c>
      <c r="D288" s="34" t="s">
        <v>200</v>
      </c>
      <c r="E288" s="34" t="s">
        <v>214</v>
      </c>
      <c r="F288" s="33">
        <v>0</v>
      </c>
      <c r="G288" s="33">
        <v>0.25</v>
      </c>
      <c r="H288" s="33" t="s">
        <v>215</v>
      </c>
      <c r="I288" s="33">
        <v>500</v>
      </c>
    </row>
    <row r="289" spans="1:9" x14ac:dyDescent="0.3">
      <c r="A289" s="30" t="s">
        <v>475</v>
      </c>
      <c r="B289" s="33" t="s">
        <v>23</v>
      </c>
      <c r="C289" s="33">
        <v>1</v>
      </c>
      <c r="D289" s="34" t="s">
        <v>200</v>
      </c>
      <c r="E289" s="34" t="s">
        <v>216</v>
      </c>
      <c r="F289" s="33">
        <v>0</v>
      </c>
      <c r="G289" s="33">
        <v>0.3</v>
      </c>
      <c r="H289" s="33" t="s">
        <v>202</v>
      </c>
      <c r="I289" s="33">
        <v>100</v>
      </c>
    </row>
    <row r="290" spans="1:9" x14ac:dyDescent="0.3">
      <c r="A290" s="30" t="s">
        <v>475</v>
      </c>
      <c r="B290" s="33" t="s">
        <v>23</v>
      </c>
      <c r="C290" s="33">
        <v>1</v>
      </c>
      <c r="D290" s="34" t="s">
        <v>200</v>
      </c>
      <c r="E290" s="34" t="s">
        <v>216</v>
      </c>
      <c r="F290" s="33">
        <v>0</v>
      </c>
      <c r="G290" s="33">
        <v>0.45</v>
      </c>
      <c r="H290" s="33" t="s">
        <v>215</v>
      </c>
      <c r="I290" s="33">
        <v>500</v>
      </c>
    </row>
    <row r="291" spans="1:9" x14ac:dyDescent="0.3">
      <c r="A291" s="30" t="s">
        <v>475</v>
      </c>
      <c r="B291" s="33" t="s">
        <v>23</v>
      </c>
      <c r="C291" s="33">
        <v>1</v>
      </c>
      <c r="D291" s="34" t="s">
        <v>200</v>
      </c>
      <c r="E291" s="34" t="s">
        <v>217</v>
      </c>
      <c r="F291" s="33">
        <v>0</v>
      </c>
      <c r="G291" s="33">
        <v>0.2</v>
      </c>
      <c r="H291" s="33" t="s">
        <v>202</v>
      </c>
      <c r="I291" s="33">
        <v>100</v>
      </c>
    </row>
    <row r="292" spans="1:9" x14ac:dyDescent="0.3">
      <c r="A292" s="30" t="s">
        <v>475</v>
      </c>
      <c r="B292" s="33" t="s">
        <v>23</v>
      </c>
      <c r="C292" s="33">
        <v>1</v>
      </c>
      <c r="D292" s="34" t="s">
        <v>200</v>
      </c>
      <c r="E292" s="34" t="s">
        <v>218</v>
      </c>
      <c r="F292" s="33">
        <v>0</v>
      </c>
      <c r="G292" s="33">
        <v>0.2</v>
      </c>
      <c r="H292" s="33" t="s">
        <v>202</v>
      </c>
      <c r="I292" s="33">
        <v>100</v>
      </c>
    </row>
    <row r="293" spans="1:9" x14ac:dyDescent="0.3">
      <c r="A293" s="30" t="s">
        <v>475</v>
      </c>
      <c r="B293" s="33" t="s">
        <v>23</v>
      </c>
      <c r="C293" s="33">
        <v>1</v>
      </c>
      <c r="D293" s="34" t="s">
        <v>200</v>
      </c>
      <c r="E293" s="34" t="s">
        <v>219</v>
      </c>
      <c r="F293" s="33">
        <v>0</v>
      </c>
      <c r="G293" s="33">
        <v>0.2</v>
      </c>
      <c r="H293" s="33" t="s">
        <v>202</v>
      </c>
      <c r="I293" s="33">
        <v>100</v>
      </c>
    </row>
    <row r="294" spans="1:9" x14ac:dyDescent="0.3">
      <c r="A294" s="30" t="s">
        <v>475</v>
      </c>
      <c r="B294" s="33" t="s">
        <v>23</v>
      </c>
      <c r="C294" s="33">
        <v>1</v>
      </c>
      <c r="D294" s="34" t="s">
        <v>200</v>
      </c>
      <c r="E294" s="34" t="s">
        <v>220</v>
      </c>
      <c r="F294" s="33">
        <v>0</v>
      </c>
      <c r="G294" s="33">
        <v>0.2</v>
      </c>
      <c r="H294" s="33" t="s">
        <v>202</v>
      </c>
      <c r="I294" s="33">
        <v>100</v>
      </c>
    </row>
    <row r="295" spans="1:9" x14ac:dyDescent="0.3">
      <c r="A295" s="30" t="s">
        <v>475</v>
      </c>
      <c r="B295" s="33" t="s">
        <v>23</v>
      </c>
      <c r="C295" s="33">
        <v>1</v>
      </c>
      <c r="D295" s="34" t="s">
        <v>200</v>
      </c>
      <c r="E295" s="34" t="s">
        <v>217</v>
      </c>
      <c r="F295" s="33">
        <v>0</v>
      </c>
      <c r="G295" s="33">
        <v>0.35</v>
      </c>
      <c r="H295" s="33" t="s">
        <v>215</v>
      </c>
      <c r="I295" s="33">
        <v>500</v>
      </c>
    </row>
    <row r="296" spans="1:9" x14ac:dyDescent="0.3">
      <c r="A296" s="30" t="s">
        <v>475</v>
      </c>
      <c r="B296" s="33" t="s">
        <v>23</v>
      </c>
      <c r="C296" s="33">
        <v>1</v>
      </c>
      <c r="D296" s="34" t="s">
        <v>200</v>
      </c>
      <c r="E296" s="34" t="s">
        <v>218</v>
      </c>
      <c r="F296" s="33">
        <v>0</v>
      </c>
      <c r="G296" s="33">
        <v>0.35</v>
      </c>
      <c r="H296" s="33" t="s">
        <v>215</v>
      </c>
      <c r="I296" s="33">
        <v>500</v>
      </c>
    </row>
    <row r="297" spans="1:9" x14ac:dyDescent="0.3">
      <c r="A297" s="30" t="s">
        <v>475</v>
      </c>
      <c r="B297" s="33" t="s">
        <v>23</v>
      </c>
      <c r="C297" s="33">
        <v>1</v>
      </c>
      <c r="D297" s="34" t="s">
        <v>200</v>
      </c>
      <c r="E297" s="34" t="s">
        <v>219</v>
      </c>
      <c r="F297" s="33">
        <v>0</v>
      </c>
      <c r="G297" s="33">
        <v>0.35</v>
      </c>
      <c r="H297" s="33" t="s">
        <v>215</v>
      </c>
      <c r="I297" s="33">
        <v>500</v>
      </c>
    </row>
    <row r="298" spans="1:9" x14ac:dyDescent="0.3">
      <c r="A298" s="30" t="s">
        <v>475</v>
      </c>
      <c r="B298" s="33" t="s">
        <v>23</v>
      </c>
      <c r="C298" s="33">
        <v>1</v>
      </c>
      <c r="D298" s="34" t="s">
        <v>200</v>
      </c>
      <c r="E298" s="34" t="s">
        <v>220</v>
      </c>
      <c r="F298" s="33">
        <v>0</v>
      </c>
      <c r="G298" s="33">
        <v>0.35</v>
      </c>
      <c r="H298" s="33" t="s">
        <v>215</v>
      </c>
      <c r="I298" s="33">
        <v>500</v>
      </c>
    </row>
    <row r="299" spans="1:9" x14ac:dyDescent="0.3">
      <c r="A299" s="30" t="s">
        <v>475</v>
      </c>
      <c r="B299" s="33" t="s">
        <v>23</v>
      </c>
      <c r="C299" s="33">
        <v>1</v>
      </c>
      <c r="D299" s="34" t="s">
        <v>221</v>
      </c>
      <c r="E299" s="34" t="s">
        <v>198</v>
      </c>
      <c r="F299" s="33">
        <v>0</v>
      </c>
      <c r="G299" s="33">
        <v>0.5</v>
      </c>
      <c r="H299" s="33"/>
      <c r="I299" s="33">
        <v>0</v>
      </c>
    </row>
    <row r="300" spans="1:9" x14ac:dyDescent="0.3">
      <c r="A300" s="30" t="s">
        <v>476</v>
      </c>
      <c r="B300" s="33" t="s">
        <v>23</v>
      </c>
      <c r="C300" s="33">
        <v>1</v>
      </c>
      <c r="D300" s="34" t="s">
        <v>188</v>
      </c>
      <c r="E300" s="34" t="s">
        <v>189</v>
      </c>
      <c r="F300" s="33">
        <v>0</v>
      </c>
      <c r="G300" s="33">
        <v>0.15</v>
      </c>
      <c r="H300" s="33"/>
      <c r="I300" s="33">
        <v>0</v>
      </c>
    </row>
    <row r="301" spans="1:9" x14ac:dyDescent="0.3">
      <c r="A301" s="30" t="s">
        <v>476</v>
      </c>
      <c r="B301" s="33" t="s">
        <v>23</v>
      </c>
      <c r="C301" s="33">
        <v>1</v>
      </c>
      <c r="D301" s="34" t="s">
        <v>190</v>
      </c>
      <c r="E301" s="34" t="s">
        <v>198</v>
      </c>
      <c r="F301" s="33">
        <v>0</v>
      </c>
      <c r="G301" s="33">
        <v>0.3</v>
      </c>
      <c r="H301" s="33"/>
      <c r="I301" s="33">
        <v>0</v>
      </c>
    </row>
    <row r="302" spans="1:9" x14ac:dyDescent="0.3">
      <c r="A302" s="30" t="s">
        <v>476</v>
      </c>
      <c r="B302" s="33" t="s">
        <v>23</v>
      </c>
      <c r="C302" s="33">
        <v>1</v>
      </c>
      <c r="D302" s="34" t="s">
        <v>197</v>
      </c>
      <c r="E302" s="34" t="s">
        <v>198</v>
      </c>
      <c r="F302" s="33">
        <v>0</v>
      </c>
      <c r="G302" s="33">
        <v>0.05</v>
      </c>
      <c r="H302" s="33"/>
      <c r="I302" s="33">
        <v>0</v>
      </c>
    </row>
    <row r="303" spans="1:9" x14ac:dyDescent="0.3">
      <c r="A303" s="30" t="s">
        <v>476</v>
      </c>
      <c r="B303" s="33" t="s">
        <v>23</v>
      </c>
      <c r="C303" s="33">
        <v>1</v>
      </c>
      <c r="D303" s="34" t="s">
        <v>197</v>
      </c>
      <c r="E303" s="34" t="s">
        <v>199</v>
      </c>
      <c r="F303" s="33">
        <v>0</v>
      </c>
      <c r="G303" s="33">
        <v>0</v>
      </c>
      <c r="H303" s="33"/>
      <c r="I303" s="33">
        <v>0</v>
      </c>
    </row>
    <row r="304" spans="1:9" x14ac:dyDescent="0.3">
      <c r="A304" s="30" t="s">
        <v>476</v>
      </c>
      <c r="B304" s="33" t="s">
        <v>23</v>
      </c>
      <c r="C304" s="33">
        <v>1</v>
      </c>
      <c r="D304" s="34" t="s">
        <v>200</v>
      </c>
      <c r="E304" s="34" t="s">
        <v>201</v>
      </c>
      <c r="F304" s="33">
        <v>0</v>
      </c>
      <c r="G304" s="33">
        <v>0.35</v>
      </c>
      <c r="H304" s="33" t="s">
        <v>202</v>
      </c>
      <c r="I304" s="33">
        <v>100</v>
      </c>
    </row>
    <row r="305" spans="1:9" x14ac:dyDescent="0.3">
      <c r="A305" s="30" t="s">
        <v>476</v>
      </c>
      <c r="B305" s="33" t="s">
        <v>23</v>
      </c>
      <c r="C305" s="33">
        <v>1</v>
      </c>
      <c r="D305" s="34" t="s">
        <v>200</v>
      </c>
      <c r="E305" s="34" t="s">
        <v>203</v>
      </c>
      <c r="F305" s="33">
        <v>0</v>
      </c>
      <c r="G305" s="33">
        <v>0.3</v>
      </c>
      <c r="H305" s="33" t="s">
        <v>202</v>
      </c>
      <c r="I305" s="33">
        <v>100</v>
      </c>
    </row>
    <row r="306" spans="1:9" x14ac:dyDescent="0.3">
      <c r="A306" s="30" t="s">
        <v>476</v>
      </c>
      <c r="B306" s="33" t="s">
        <v>23</v>
      </c>
      <c r="C306" s="33">
        <v>1</v>
      </c>
      <c r="D306" s="34" t="s">
        <v>200</v>
      </c>
      <c r="E306" s="34" t="s">
        <v>204</v>
      </c>
      <c r="F306" s="33">
        <v>0</v>
      </c>
      <c r="G306" s="33">
        <v>0.3</v>
      </c>
      <c r="H306" s="33" t="s">
        <v>202</v>
      </c>
      <c r="I306" s="33">
        <v>100</v>
      </c>
    </row>
    <row r="307" spans="1:9" x14ac:dyDescent="0.3">
      <c r="A307" s="30" t="s">
        <v>476</v>
      </c>
      <c r="B307" s="33" t="s">
        <v>23</v>
      </c>
      <c r="C307" s="33">
        <v>1</v>
      </c>
      <c r="D307" s="34" t="s">
        <v>200</v>
      </c>
      <c r="E307" s="34" t="s">
        <v>205</v>
      </c>
      <c r="F307" s="33">
        <v>0</v>
      </c>
      <c r="G307" s="33">
        <v>0.3</v>
      </c>
      <c r="H307" s="33" t="s">
        <v>202</v>
      </c>
      <c r="I307" s="33">
        <v>100</v>
      </c>
    </row>
    <row r="308" spans="1:9" x14ac:dyDescent="0.3">
      <c r="A308" s="30" t="s">
        <v>476</v>
      </c>
      <c r="B308" s="33" t="s">
        <v>23</v>
      </c>
      <c r="C308" s="33">
        <v>1</v>
      </c>
      <c r="D308" s="34" t="s">
        <v>200</v>
      </c>
      <c r="E308" s="34" t="s">
        <v>206</v>
      </c>
      <c r="F308" s="33">
        <v>0</v>
      </c>
      <c r="G308" s="33">
        <v>0.3</v>
      </c>
      <c r="H308" s="33" t="s">
        <v>202</v>
      </c>
      <c r="I308" s="33">
        <v>100</v>
      </c>
    </row>
    <row r="309" spans="1:9" x14ac:dyDescent="0.3">
      <c r="A309" s="30" t="s">
        <v>476</v>
      </c>
      <c r="B309" s="33" t="s">
        <v>23</v>
      </c>
      <c r="C309" s="33">
        <v>1</v>
      </c>
      <c r="D309" s="34" t="s">
        <v>200</v>
      </c>
      <c r="E309" s="34" t="s">
        <v>207</v>
      </c>
      <c r="F309" s="33">
        <v>0</v>
      </c>
      <c r="G309" s="33">
        <v>0.2</v>
      </c>
      <c r="H309" s="33" t="s">
        <v>202</v>
      </c>
      <c r="I309" s="33">
        <v>100</v>
      </c>
    </row>
    <row r="310" spans="1:9" x14ac:dyDescent="0.3">
      <c r="A310" s="30" t="s">
        <v>476</v>
      </c>
      <c r="B310" s="33" t="s">
        <v>23</v>
      </c>
      <c r="C310" s="33">
        <v>1</v>
      </c>
      <c r="D310" s="34" t="s">
        <v>200</v>
      </c>
      <c r="E310" s="34" t="s">
        <v>208</v>
      </c>
      <c r="F310" s="33">
        <v>0</v>
      </c>
      <c r="G310" s="33">
        <v>0.2</v>
      </c>
      <c r="H310" s="33" t="s">
        <v>202</v>
      </c>
      <c r="I310" s="33">
        <v>100</v>
      </c>
    </row>
    <row r="311" spans="1:9" x14ac:dyDescent="0.3">
      <c r="A311" s="30" t="s">
        <v>476</v>
      </c>
      <c r="B311" s="33" t="s">
        <v>23</v>
      </c>
      <c r="C311" s="33">
        <v>1</v>
      </c>
      <c r="D311" s="34" t="s">
        <v>200</v>
      </c>
      <c r="E311" s="34" t="s">
        <v>209</v>
      </c>
      <c r="F311" s="33">
        <v>0</v>
      </c>
      <c r="G311" s="33">
        <v>0.3</v>
      </c>
      <c r="H311" s="33" t="s">
        <v>202</v>
      </c>
      <c r="I311" s="33">
        <v>100</v>
      </c>
    </row>
    <row r="312" spans="1:9" x14ac:dyDescent="0.3">
      <c r="A312" s="30" t="s">
        <v>476</v>
      </c>
      <c r="B312" s="33" t="s">
        <v>23</v>
      </c>
      <c r="C312" s="33">
        <v>1</v>
      </c>
      <c r="D312" s="34" t="s">
        <v>200</v>
      </c>
      <c r="E312" s="34" t="s">
        <v>210</v>
      </c>
      <c r="F312" s="33">
        <v>0</v>
      </c>
      <c r="G312" s="33">
        <v>0.2</v>
      </c>
      <c r="H312" s="33" t="s">
        <v>202</v>
      </c>
      <c r="I312" s="33">
        <v>100</v>
      </c>
    </row>
    <row r="313" spans="1:9" x14ac:dyDescent="0.3">
      <c r="A313" s="30" t="s">
        <v>476</v>
      </c>
      <c r="B313" s="33" t="s">
        <v>23</v>
      </c>
      <c r="C313" s="33">
        <v>1</v>
      </c>
      <c r="D313" s="34" t="s">
        <v>200</v>
      </c>
      <c r="E313" s="34" t="s">
        <v>211</v>
      </c>
      <c r="F313" s="33">
        <v>0</v>
      </c>
      <c r="G313" s="33">
        <v>0.15</v>
      </c>
      <c r="H313" s="33" t="s">
        <v>202</v>
      </c>
      <c r="I313" s="33">
        <v>100</v>
      </c>
    </row>
    <row r="314" spans="1:9" x14ac:dyDescent="0.3">
      <c r="A314" s="30" t="s">
        <v>476</v>
      </c>
      <c r="B314" s="33" t="s">
        <v>23</v>
      </c>
      <c r="C314" s="33">
        <v>1</v>
      </c>
      <c r="D314" s="34" t="s">
        <v>200</v>
      </c>
      <c r="E314" s="34" t="s">
        <v>212</v>
      </c>
      <c r="F314" s="33">
        <v>0</v>
      </c>
      <c r="G314" s="33">
        <v>0.15</v>
      </c>
      <c r="H314" s="33" t="s">
        <v>202</v>
      </c>
      <c r="I314" s="33">
        <v>100</v>
      </c>
    </row>
    <row r="315" spans="1:9" x14ac:dyDescent="0.3">
      <c r="A315" s="30" t="s">
        <v>476</v>
      </c>
      <c r="B315" s="33" t="s">
        <v>23</v>
      </c>
      <c r="C315" s="33">
        <v>1</v>
      </c>
      <c r="D315" s="34" t="s">
        <v>200</v>
      </c>
      <c r="E315" s="34" t="s">
        <v>213</v>
      </c>
      <c r="F315" s="33">
        <v>0</v>
      </c>
      <c r="G315" s="33">
        <v>0.15</v>
      </c>
      <c r="H315" s="33" t="s">
        <v>202</v>
      </c>
      <c r="I315" s="33">
        <v>100</v>
      </c>
    </row>
    <row r="316" spans="1:9" x14ac:dyDescent="0.3">
      <c r="A316" s="30" t="s">
        <v>476</v>
      </c>
      <c r="B316" s="33" t="s">
        <v>23</v>
      </c>
      <c r="C316" s="33">
        <v>1</v>
      </c>
      <c r="D316" s="34" t="s">
        <v>200</v>
      </c>
      <c r="E316" s="34" t="s">
        <v>214</v>
      </c>
      <c r="F316" s="33">
        <v>0</v>
      </c>
      <c r="G316" s="33">
        <v>0.15</v>
      </c>
      <c r="H316" s="33" t="s">
        <v>202</v>
      </c>
      <c r="I316" s="33">
        <v>100</v>
      </c>
    </row>
    <row r="317" spans="1:9" x14ac:dyDescent="0.3">
      <c r="A317" s="30" t="s">
        <v>476</v>
      </c>
      <c r="B317" s="33" t="s">
        <v>23</v>
      </c>
      <c r="C317" s="33">
        <v>1</v>
      </c>
      <c r="D317" s="34" t="s">
        <v>200</v>
      </c>
      <c r="E317" s="34" t="s">
        <v>201</v>
      </c>
      <c r="F317" s="33">
        <v>0</v>
      </c>
      <c r="G317" s="33">
        <v>0.5</v>
      </c>
      <c r="H317" s="33" t="s">
        <v>215</v>
      </c>
      <c r="I317" s="33">
        <v>500</v>
      </c>
    </row>
    <row r="318" spans="1:9" x14ac:dyDescent="0.3">
      <c r="A318" s="30" t="s">
        <v>476</v>
      </c>
      <c r="B318" s="33" t="s">
        <v>23</v>
      </c>
      <c r="C318" s="33">
        <v>1</v>
      </c>
      <c r="D318" s="34" t="s">
        <v>200</v>
      </c>
      <c r="E318" s="34" t="s">
        <v>203</v>
      </c>
      <c r="F318" s="33">
        <v>0</v>
      </c>
      <c r="G318" s="33">
        <v>0.5</v>
      </c>
      <c r="H318" s="33" t="s">
        <v>215</v>
      </c>
      <c r="I318" s="33">
        <v>500</v>
      </c>
    </row>
    <row r="319" spans="1:9" x14ac:dyDescent="0.3">
      <c r="A319" s="30" t="s">
        <v>476</v>
      </c>
      <c r="B319" s="33" t="s">
        <v>23</v>
      </c>
      <c r="C319" s="33">
        <v>1</v>
      </c>
      <c r="D319" s="34" t="s">
        <v>200</v>
      </c>
      <c r="E319" s="34" t="s">
        <v>204</v>
      </c>
      <c r="F319" s="33">
        <v>0</v>
      </c>
      <c r="G319" s="33">
        <v>0.5</v>
      </c>
      <c r="H319" s="33" t="s">
        <v>215</v>
      </c>
      <c r="I319" s="33">
        <v>500</v>
      </c>
    </row>
    <row r="320" spans="1:9" x14ac:dyDescent="0.3">
      <c r="A320" s="30" t="s">
        <v>476</v>
      </c>
      <c r="B320" s="33" t="s">
        <v>23</v>
      </c>
      <c r="C320" s="33">
        <v>1</v>
      </c>
      <c r="D320" s="34" t="s">
        <v>200</v>
      </c>
      <c r="E320" s="34" t="s">
        <v>205</v>
      </c>
      <c r="F320" s="33">
        <v>0</v>
      </c>
      <c r="G320" s="33">
        <v>0.5</v>
      </c>
      <c r="H320" s="33" t="s">
        <v>215</v>
      </c>
      <c r="I320" s="33">
        <v>500</v>
      </c>
    </row>
    <row r="321" spans="1:9" x14ac:dyDescent="0.3">
      <c r="A321" s="30" t="s">
        <v>476</v>
      </c>
      <c r="B321" s="33" t="s">
        <v>23</v>
      </c>
      <c r="C321" s="33">
        <v>1</v>
      </c>
      <c r="D321" s="34" t="s">
        <v>200</v>
      </c>
      <c r="E321" s="34" t="s">
        <v>206</v>
      </c>
      <c r="F321" s="33">
        <v>0</v>
      </c>
      <c r="G321" s="33">
        <v>0.5</v>
      </c>
      <c r="H321" s="33" t="s">
        <v>215</v>
      </c>
      <c r="I321" s="33">
        <v>500</v>
      </c>
    </row>
    <row r="322" spans="1:9" x14ac:dyDescent="0.3">
      <c r="A322" s="30" t="s">
        <v>476</v>
      </c>
      <c r="B322" s="33" t="s">
        <v>23</v>
      </c>
      <c r="C322" s="33">
        <v>1</v>
      </c>
      <c r="D322" s="34" t="s">
        <v>200</v>
      </c>
      <c r="E322" s="34" t="s">
        <v>207</v>
      </c>
      <c r="F322" s="33">
        <v>0</v>
      </c>
      <c r="G322" s="33">
        <v>0.35</v>
      </c>
      <c r="H322" s="33" t="s">
        <v>215</v>
      </c>
      <c r="I322" s="33">
        <v>500</v>
      </c>
    </row>
    <row r="323" spans="1:9" x14ac:dyDescent="0.3">
      <c r="A323" s="30" t="s">
        <v>476</v>
      </c>
      <c r="B323" s="33" t="s">
        <v>23</v>
      </c>
      <c r="C323" s="33">
        <v>1</v>
      </c>
      <c r="D323" s="34" t="s">
        <v>200</v>
      </c>
      <c r="E323" s="34" t="s">
        <v>208</v>
      </c>
      <c r="F323" s="33">
        <v>0</v>
      </c>
      <c r="G323" s="33">
        <v>0.3</v>
      </c>
      <c r="H323" s="33" t="s">
        <v>215</v>
      </c>
      <c r="I323" s="33">
        <v>500</v>
      </c>
    </row>
    <row r="324" spans="1:9" x14ac:dyDescent="0.3">
      <c r="A324" s="30" t="s">
        <v>476</v>
      </c>
      <c r="B324" s="33" t="s">
        <v>23</v>
      </c>
      <c r="C324" s="33">
        <v>1</v>
      </c>
      <c r="D324" s="34" t="s">
        <v>200</v>
      </c>
      <c r="E324" s="34" t="s">
        <v>209</v>
      </c>
      <c r="F324" s="33">
        <v>0</v>
      </c>
      <c r="G324" s="33">
        <v>0.5</v>
      </c>
      <c r="H324" s="33" t="s">
        <v>215</v>
      </c>
      <c r="I324" s="33">
        <v>500</v>
      </c>
    </row>
    <row r="325" spans="1:9" x14ac:dyDescent="0.3">
      <c r="A325" s="30" t="s">
        <v>476</v>
      </c>
      <c r="B325" s="33" t="s">
        <v>23</v>
      </c>
      <c r="C325" s="33">
        <v>1</v>
      </c>
      <c r="D325" s="34" t="s">
        <v>200</v>
      </c>
      <c r="E325" s="34" t="s">
        <v>210</v>
      </c>
      <c r="F325" s="33">
        <v>0</v>
      </c>
      <c r="G325" s="33">
        <v>0.3</v>
      </c>
      <c r="H325" s="33" t="s">
        <v>215</v>
      </c>
      <c r="I325" s="33">
        <v>500</v>
      </c>
    </row>
    <row r="326" spans="1:9" x14ac:dyDescent="0.3">
      <c r="A326" s="30" t="s">
        <v>476</v>
      </c>
      <c r="B326" s="33" t="s">
        <v>23</v>
      </c>
      <c r="C326" s="33">
        <v>1</v>
      </c>
      <c r="D326" s="34" t="s">
        <v>200</v>
      </c>
      <c r="E326" s="34" t="s">
        <v>211</v>
      </c>
      <c r="F326" s="33">
        <v>0</v>
      </c>
      <c r="G326" s="33">
        <v>0.25</v>
      </c>
      <c r="H326" s="33" t="s">
        <v>215</v>
      </c>
      <c r="I326" s="33">
        <v>500</v>
      </c>
    </row>
    <row r="327" spans="1:9" x14ac:dyDescent="0.3">
      <c r="A327" s="30" t="s">
        <v>476</v>
      </c>
      <c r="B327" s="33" t="s">
        <v>23</v>
      </c>
      <c r="C327" s="33">
        <v>1</v>
      </c>
      <c r="D327" s="34" t="s">
        <v>200</v>
      </c>
      <c r="E327" s="34" t="s">
        <v>212</v>
      </c>
      <c r="F327" s="33">
        <v>0</v>
      </c>
      <c r="G327" s="33">
        <v>0.25</v>
      </c>
      <c r="H327" s="33" t="s">
        <v>215</v>
      </c>
      <c r="I327" s="33">
        <v>500</v>
      </c>
    </row>
    <row r="328" spans="1:9" x14ac:dyDescent="0.3">
      <c r="A328" s="30" t="s">
        <v>476</v>
      </c>
      <c r="B328" s="33" t="s">
        <v>23</v>
      </c>
      <c r="C328" s="33">
        <v>1</v>
      </c>
      <c r="D328" s="34" t="s">
        <v>200</v>
      </c>
      <c r="E328" s="34" t="s">
        <v>213</v>
      </c>
      <c r="F328" s="33">
        <v>0</v>
      </c>
      <c r="G328" s="33">
        <v>0.25</v>
      </c>
      <c r="H328" s="33" t="s">
        <v>215</v>
      </c>
      <c r="I328" s="33">
        <v>500</v>
      </c>
    </row>
    <row r="329" spans="1:9" x14ac:dyDescent="0.3">
      <c r="A329" s="30" t="s">
        <v>476</v>
      </c>
      <c r="B329" s="33" t="s">
        <v>23</v>
      </c>
      <c r="C329" s="33">
        <v>1</v>
      </c>
      <c r="D329" s="34" t="s">
        <v>200</v>
      </c>
      <c r="E329" s="34" t="s">
        <v>214</v>
      </c>
      <c r="F329" s="33">
        <v>0</v>
      </c>
      <c r="G329" s="33">
        <v>0.25</v>
      </c>
      <c r="H329" s="33" t="s">
        <v>215</v>
      </c>
      <c r="I329" s="33">
        <v>500</v>
      </c>
    </row>
    <row r="330" spans="1:9" x14ac:dyDescent="0.3">
      <c r="A330" s="30" t="s">
        <v>476</v>
      </c>
      <c r="B330" s="33" t="s">
        <v>23</v>
      </c>
      <c r="C330" s="33">
        <v>1</v>
      </c>
      <c r="D330" s="34" t="s">
        <v>200</v>
      </c>
      <c r="E330" s="34" t="s">
        <v>216</v>
      </c>
      <c r="F330" s="33">
        <v>0</v>
      </c>
      <c r="G330" s="33">
        <v>0.3</v>
      </c>
      <c r="H330" s="33" t="s">
        <v>202</v>
      </c>
      <c r="I330" s="33">
        <v>100</v>
      </c>
    </row>
    <row r="331" spans="1:9" x14ac:dyDescent="0.3">
      <c r="A331" s="30" t="s">
        <v>476</v>
      </c>
      <c r="B331" s="33" t="s">
        <v>23</v>
      </c>
      <c r="C331" s="33">
        <v>1</v>
      </c>
      <c r="D331" s="34" t="s">
        <v>200</v>
      </c>
      <c r="E331" s="34" t="s">
        <v>216</v>
      </c>
      <c r="F331" s="33">
        <v>0</v>
      </c>
      <c r="G331" s="33">
        <v>0.45</v>
      </c>
      <c r="H331" s="33" t="s">
        <v>215</v>
      </c>
      <c r="I331" s="33">
        <v>500</v>
      </c>
    </row>
    <row r="332" spans="1:9" x14ac:dyDescent="0.3">
      <c r="A332" s="30" t="s">
        <v>476</v>
      </c>
      <c r="B332" s="33" t="s">
        <v>23</v>
      </c>
      <c r="C332" s="33">
        <v>1</v>
      </c>
      <c r="D332" s="34" t="s">
        <v>200</v>
      </c>
      <c r="E332" s="34" t="s">
        <v>217</v>
      </c>
      <c r="F332" s="33">
        <v>0</v>
      </c>
      <c r="G332" s="33">
        <v>0.2</v>
      </c>
      <c r="H332" s="33" t="s">
        <v>202</v>
      </c>
      <c r="I332" s="33">
        <v>100</v>
      </c>
    </row>
    <row r="333" spans="1:9" x14ac:dyDescent="0.3">
      <c r="A333" s="30" t="s">
        <v>476</v>
      </c>
      <c r="B333" s="33" t="s">
        <v>23</v>
      </c>
      <c r="C333" s="33">
        <v>1</v>
      </c>
      <c r="D333" s="34" t="s">
        <v>200</v>
      </c>
      <c r="E333" s="34" t="s">
        <v>218</v>
      </c>
      <c r="F333" s="33">
        <v>0</v>
      </c>
      <c r="G333" s="33">
        <v>0.2</v>
      </c>
      <c r="H333" s="33" t="s">
        <v>202</v>
      </c>
      <c r="I333" s="33">
        <v>100</v>
      </c>
    </row>
    <row r="334" spans="1:9" x14ac:dyDescent="0.3">
      <c r="A334" s="30" t="s">
        <v>476</v>
      </c>
      <c r="B334" s="33" t="s">
        <v>23</v>
      </c>
      <c r="C334" s="33">
        <v>1</v>
      </c>
      <c r="D334" s="34" t="s">
        <v>200</v>
      </c>
      <c r="E334" s="34" t="s">
        <v>219</v>
      </c>
      <c r="F334" s="33">
        <v>0</v>
      </c>
      <c r="G334" s="33">
        <v>0.2</v>
      </c>
      <c r="H334" s="33" t="s">
        <v>202</v>
      </c>
      <c r="I334" s="33">
        <v>100</v>
      </c>
    </row>
    <row r="335" spans="1:9" x14ac:dyDescent="0.3">
      <c r="A335" s="30" t="s">
        <v>476</v>
      </c>
      <c r="B335" s="33" t="s">
        <v>23</v>
      </c>
      <c r="C335" s="33">
        <v>1</v>
      </c>
      <c r="D335" s="34" t="s">
        <v>200</v>
      </c>
      <c r="E335" s="34" t="s">
        <v>220</v>
      </c>
      <c r="F335" s="33">
        <v>0</v>
      </c>
      <c r="G335" s="33">
        <v>0.2</v>
      </c>
      <c r="H335" s="33" t="s">
        <v>202</v>
      </c>
      <c r="I335" s="33">
        <v>100</v>
      </c>
    </row>
    <row r="336" spans="1:9" x14ac:dyDescent="0.3">
      <c r="A336" s="30" t="s">
        <v>476</v>
      </c>
      <c r="B336" s="33" t="s">
        <v>23</v>
      </c>
      <c r="C336" s="33">
        <v>1</v>
      </c>
      <c r="D336" s="34" t="s">
        <v>200</v>
      </c>
      <c r="E336" s="34" t="s">
        <v>217</v>
      </c>
      <c r="F336" s="33">
        <v>0</v>
      </c>
      <c r="G336" s="33">
        <v>0.35</v>
      </c>
      <c r="H336" s="33" t="s">
        <v>215</v>
      </c>
      <c r="I336" s="33">
        <v>500</v>
      </c>
    </row>
    <row r="337" spans="1:9" x14ac:dyDescent="0.3">
      <c r="A337" s="30" t="s">
        <v>476</v>
      </c>
      <c r="B337" s="33" t="s">
        <v>23</v>
      </c>
      <c r="C337" s="33">
        <v>1</v>
      </c>
      <c r="D337" s="34" t="s">
        <v>200</v>
      </c>
      <c r="E337" s="34" t="s">
        <v>218</v>
      </c>
      <c r="F337" s="33">
        <v>0</v>
      </c>
      <c r="G337" s="33">
        <v>0.35</v>
      </c>
      <c r="H337" s="33" t="s">
        <v>215</v>
      </c>
      <c r="I337" s="33">
        <v>500</v>
      </c>
    </row>
    <row r="338" spans="1:9" x14ac:dyDescent="0.3">
      <c r="A338" s="30" t="s">
        <v>476</v>
      </c>
      <c r="B338" s="33" t="s">
        <v>23</v>
      </c>
      <c r="C338" s="33">
        <v>1</v>
      </c>
      <c r="D338" s="34" t="s">
        <v>200</v>
      </c>
      <c r="E338" s="34" t="s">
        <v>219</v>
      </c>
      <c r="F338" s="33">
        <v>0</v>
      </c>
      <c r="G338" s="33">
        <v>0.35</v>
      </c>
      <c r="H338" s="33" t="s">
        <v>215</v>
      </c>
      <c r="I338" s="33">
        <v>500</v>
      </c>
    </row>
    <row r="339" spans="1:9" x14ac:dyDescent="0.3">
      <c r="A339" s="30" t="s">
        <v>476</v>
      </c>
      <c r="B339" s="33" t="s">
        <v>23</v>
      </c>
      <c r="C339" s="33">
        <v>1</v>
      </c>
      <c r="D339" s="34" t="s">
        <v>200</v>
      </c>
      <c r="E339" s="34" t="s">
        <v>220</v>
      </c>
      <c r="F339" s="33">
        <v>0</v>
      </c>
      <c r="G339" s="33">
        <v>0.35</v>
      </c>
      <c r="H339" s="33" t="s">
        <v>215</v>
      </c>
      <c r="I339" s="33">
        <v>500</v>
      </c>
    </row>
    <row r="340" spans="1:9" x14ac:dyDescent="0.3">
      <c r="A340" s="30" t="s">
        <v>476</v>
      </c>
      <c r="B340" s="33" t="s">
        <v>23</v>
      </c>
      <c r="C340" s="33">
        <v>1</v>
      </c>
      <c r="D340" s="34" t="s">
        <v>221</v>
      </c>
      <c r="E340" s="34" t="s">
        <v>198</v>
      </c>
      <c r="F340" s="33">
        <v>0</v>
      </c>
      <c r="G340" s="33">
        <v>0.5</v>
      </c>
      <c r="H340" s="33"/>
      <c r="I340" s="33">
        <v>0</v>
      </c>
    </row>
    <row r="341" spans="1:9" x14ac:dyDescent="0.3">
      <c r="A341" s="30" t="s">
        <v>478</v>
      </c>
      <c r="B341" s="33" t="s">
        <v>23</v>
      </c>
      <c r="C341" s="33">
        <v>1</v>
      </c>
      <c r="D341" s="34" t="s">
        <v>188</v>
      </c>
      <c r="E341" s="34" t="s">
        <v>189</v>
      </c>
      <c r="F341" s="33">
        <v>0</v>
      </c>
      <c r="G341" s="33">
        <v>0.15</v>
      </c>
      <c r="H341" s="33"/>
      <c r="I341" s="33">
        <v>0</v>
      </c>
    </row>
    <row r="342" spans="1:9" x14ac:dyDescent="0.3">
      <c r="A342" s="30" t="s">
        <v>478</v>
      </c>
      <c r="B342" s="33" t="s">
        <v>23</v>
      </c>
      <c r="C342" s="33">
        <v>1</v>
      </c>
      <c r="D342" s="34" t="s">
        <v>190</v>
      </c>
      <c r="E342" s="34" t="s">
        <v>198</v>
      </c>
      <c r="F342" s="33">
        <v>0</v>
      </c>
      <c r="G342" s="33">
        <v>0.3</v>
      </c>
      <c r="H342" s="33"/>
      <c r="I342" s="33">
        <v>0</v>
      </c>
    </row>
    <row r="343" spans="1:9" x14ac:dyDescent="0.3">
      <c r="A343" s="30" t="s">
        <v>478</v>
      </c>
      <c r="B343" s="33" t="s">
        <v>23</v>
      </c>
      <c r="C343" s="33">
        <v>1</v>
      </c>
      <c r="D343" s="34" t="s">
        <v>197</v>
      </c>
      <c r="E343" s="34" t="s">
        <v>198</v>
      </c>
      <c r="F343" s="33">
        <v>0</v>
      </c>
      <c r="G343" s="33">
        <v>0.05</v>
      </c>
      <c r="H343" s="33"/>
      <c r="I343" s="33">
        <v>0</v>
      </c>
    </row>
    <row r="344" spans="1:9" x14ac:dyDescent="0.3">
      <c r="A344" s="30" t="s">
        <v>478</v>
      </c>
      <c r="B344" s="33" t="s">
        <v>23</v>
      </c>
      <c r="C344" s="33">
        <v>1</v>
      </c>
      <c r="D344" s="34" t="s">
        <v>197</v>
      </c>
      <c r="E344" s="34" t="s">
        <v>199</v>
      </c>
      <c r="F344" s="33">
        <v>0</v>
      </c>
      <c r="G344" s="33">
        <v>0</v>
      </c>
      <c r="H344" s="33"/>
      <c r="I344" s="33">
        <v>0</v>
      </c>
    </row>
    <row r="345" spans="1:9" x14ac:dyDescent="0.3">
      <c r="A345" s="30" t="s">
        <v>478</v>
      </c>
      <c r="B345" s="33" t="s">
        <v>23</v>
      </c>
      <c r="C345" s="33">
        <v>1</v>
      </c>
      <c r="D345" s="34" t="s">
        <v>200</v>
      </c>
      <c r="E345" s="34" t="s">
        <v>201</v>
      </c>
      <c r="F345" s="33">
        <v>0</v>
      </c>
      <c r="G345" s="33">
        <v>0.35</v>
      </c>
      <c r="H345" s="33" t="s">
        <v>202</v>
      </c>
      <c r="I345" s="33">
        <v>100</v>
      </c>
    </row>
    <row r="346" spans="1:9" x14ac:dyDescent="0.3">
      <c r="A346" s="30" t="s">
        <v>478</v>
      </c>
      <c r="B346" s="33" t="s">
        <v>23</v>
      </c>
      <c r="C346" s="33">
        <v>1</v>
      </c>
      <c r="D346" s="34" t="s">
        <v>200</v>
      </c>
      <c r="E346" s="34" t="s">
        <v>203</v>
      </c>
      <c r="F346" s="33">
        <v>0</v>
      </c>
      <c r="G346" s="33">
        <v>0.3</v>
      </c>
      <c r="H346" s="33" t="s">
        <v>202</v>
      </c>
      <c r="I346" s="33">
        <v>100</v>
      </c>
    </row>
    <row r="347" spans="1:9" x14ac:dyDescent="0.3">
      <c r="A347" s="30" t="s">
        <v>478</v>
      </c>
      <c r="B347" s="33" t="s">
        <v>23</v>
      </c>
      <c r="C347" s="33">
        <v>1</v>
      </c>
      <c r="D347" s="34" t="s">
        <v>200</v>
      </c>
      <c r="E347" s="34" t="s">
        <v>204</v>
      </c>
      <c r="F347" s="33">
        <v>0</v>
      </c>
      <c r="G347" s="33">
        <v>0.3</v>
      </c>
      <c r="H347" s="33" t="s">
        <v>202</v>
      </c>
      <c r="I347" s="33">
        <v>100</v>
      </c>
    </row>
    <row r="348" spans="1:9" x14ac:dyDescent="0.3">
      <c r="A348" s="30" t="s">
        <v>478</v>
      </c>
      <c r="B348" s="33" t="s">
        <v>23</v>
      </c>
      <c r="C348" s="33">
        <v>1</v>
      </c>
      <c r="D348" s="34" t="s">
        <v>200</v>
      </c>
      <c r="E348" s="34" t="s">
        <v>205</v>
      </c>
      <c r="F348" s="33">
        <v>0</v>
      </c>
      <c r="G348" s="33">
        <v>0.3</v>
      </c>
      <c r="H348" s="33" t="s">
        <v>202</v>
      </c>
      <c r="I348" s="33">
        <v>100</v>
      </c>
    </row>
    <row r="349" spans="1:9" x14ac:dyDescent="0.3">
      <c r="A349" s="30" t="s">
        <v>478</v>
      </c>
      <c r="B349" s="33" t="s">
        <v>23</v>
      </c>
      <c r="C349" s="33">
        <v>1</v>
      </c>
      <c r="D349" s="34" t="s">
        <v>200</v>
      </c>
      <c r="E349" s="34" t="s">
        <v>206</v>
      </c>
      <c r="F349" s="33">
        <v>0</v>
      </c>
      <c r="G349" s="33">
        <v>0.3</v>
      </c>
      <c r="H349" s="33" t="s">
        <v>202</v>
      </c>
      <c r="I349" s="33">
        <v>100</v>
      </c>
    </row>
    <row r="350" spans="1:9" x14ac:dyDescent="0.3">
      <c r="A350" s="30" t="s">
        <v>478</v>
      </c>
      <c r="B350" s="33" t="s">
        <v>23</v>
      </c>
      <c r="C350" s="33">
        <v>1</v>
      </c>
      <c r="D350" s="34" t="s">
        <v>200</v>
      </c>
      <c r="E350" s="34" t="s">
        <v>207</v>
      </c>
      <c r="F350" s="33">
        <v>0</v>
      </c>
      <c r="G350" s="33">
        <v>0.2</v>
      </c>
      <c r="H350" s="33" t="s">
        <v>202</v>
      </c>
      <c r="I350" s="33">
        <v>100</v>
      </c>
    </row>
    <row r="351" spans="1:9" x14ac:dyDescent="0.3">
      <c r="A351" s="30" t="s">
        <v>478</v>
      </c>
      <c r="B351" s="33" t="s">
        <v>23</v>
      </c>
      <c r="C351" s="33">
        <v>1</v>
      </c>
      <c r="D351" s="34" t="s">
        <v>200</v>
      </c>
      <c r="E351" s="34" t="s">
        <v>208</v>
      </c>
      <c r="F351" s="33">
        <v>0</v>
      </c>
      <c r="G351" s="33">
        <v>0.2</v>
      </c>
      <c r="H351" s="33" t="s">
        <v>202</v>
      </c>
      <c r="I351" s="33">
        <v>100</v>
      </c>
    </row>
    <row r="352" spans="1:9" x14ac:dyDescent="0.3">
      <c r="A352" s="30" t="s">
        <v>478</v>
      </c>
      <c r="B352" s="33" t="s">
        <v>23</v>
      </c>
      <c r="C352" s="33">
        <v>1</v>
      </c>
      <c r="D352" s="34" t="s">
        <v>200</v>
      </c>
      <c r="E352" s="34" t="s">
        <v>209</v>
      </c>
      <c r="F352" s="33">
        <v>0</v>
      </c>
      <c r="G352" s="33">
        <v>0.3</v>
      </c>
      <c r="H352" s="33" t="s">
        <v>202</v>
      </c>
      <c r="I352" s="33">
        <v>100</v>
      </c>
    </row>
    <row r="353" spans="1:9" x14ac:dyDescent="0.3">
      <c r="A353" s="30" t="s">
        <v>478</v>
      </c>
      <c r="B353" s="33" t="s">
        <v>23</v>
      </c>
      <c r="C353" s="33">
        <v>1</v>
      </c>
      <c r="D353" s="34" t="s">
        <v>200</v>
      </c>
      <c r="E353" s="34" t="s">
        <v>210</v>
      </c>
      <c r="F353" s="33">
        <v>0</v>
      </c>
      <c r="G353" s="33">
        <v>0.2</v>
      </c>
      <c r="H353" s="33" t="s">
        <v>202</v>
      </c>
      <c r="I353" s="33">
        <v>100</v>
      </c>
    </row>
    <row r="354" spans="1:9" x14ac:dyDescent="0.3">
      <c r="A354" s="30" t="s">
        <v>478</v>
      </c>
      <c r="B354" s="33" t="s">
        <v>23</v>
      </c>
      <c r="C354" s="33">
        <v>1</v>
      </c>
      <c r="D354" s="34" t="s">
        <v>200</v>
      </c>
      <c r="E354" s="34" t="s">
        <v>211</v>
      </c>
      <c r="F354" s="33">
        <v>0</v>
      </c>
      <c r="G354" s="33">
        <v>0.15</v>
      </c>
      <c r="H354" s="33" t="s">
        <v>202</v>
      </c>
      <c r="I354" s="33">
        <v>100</v>
      </c>
    </row>
    <row r="355" spans="1:9" x14ac:dyDescent="0.3">
      <c r="A355" s="30" t="s">
        <v>478</v>
      </c>
      <c r="B355" s="33" t="s">
        <v>23</v>
      </c>
      <c r="C355" s="33">
        <v>1</v>
      </c>
      <c r="D355" s="34" t="s">
        <v>200</v>
      </c>
      <c r="E355" s="34" t="s">
        <v>212</v>
      </c>
      <c r="F355" s="33">
        <v>0</v>
      </c>
      <c r="G355" s="33">
        <v>0.15</v>
      </c>
      <c r="H355" s="33" t="s">
        <v>202</v>
      </c>
      <c r="I355" s="33">
        <v>100</v>
      </c>
    </row>
    <row r="356" spans="1:9" x14ac:dyDescent="0.3">
      <c r="A356" s="30" t="s">
        <v>478</v>
      </c>
      <c r="B356" s="33" t="s">
        <v>23</v>
      </c>
      <c r="C356" s="33">
        <v>1</v>
      </c>
      <c r="D356" s="34" t="s">
        <v>200</v>
      </c>
      <c r="E356" s="34" t="s">
        <v>213</v>
      </c>
      <c r="F356" s="33">
        <v>0</v>
      </c>
      <c r="G356" s="33">
        <v>0.15</v>
      </c>
      <c r="H356" s="33" t="s">
        <v>202</v>
      </c>
      <c r="I356" s="33">
        <v>100</v>
      </c>
    </row>
    <row r="357" spans="1:9" x14ac:dyDescent="0.3">
      <c r="A357" s="30" t="s">
        <v>478</v>
      </c>
      <c r="B357" s="33" t="s">
        <v>23</v>
      </c>
      <c r="C357" s="33">
        <v>1</v>
      </c>
      <c r="D357" s="34" t="s">
        <v>200</v>
      </c>
      <c r="E357" s="34" t="s">
        <v>214</v>
      </c>
      <c r="F357" s="33">
        <v>0</v>
      </c>
      <c r="G357" s="33">
        <v>0.15</v>
      </c>
      <c r="H357" s="33" t="s">
        <v>202</v>
      </c>
      <c r="I357" s="33">
        <v>100</v>
      </c>
    </row>
    <row r="358" spans="1:9" x14ac:dyDescent="0.3">
      <c r="A358" s="30" t="s">
        <v>478</v>
      </c>
      <c r="B358" s="33" t="s">
        <v>23</v>
      </c>
      <c r="C358" s="33">
        <v>1</v>
      </c>
      <c r="D358" s="34" t="s">
        <v>200</v>
      </c>
      <c r="E358" s="34" t="s">
        <v>201</v>
      </c>
      <c r="F358" s="33">
        <v>0</v>
      </c>
      <c r="G358" s="33">
        <v>0.5</v>
      </c>
      <c r="H358" s="33" t="s">
        <v>215</v>
      </c>
      <c r="I358" s="33">
        <v>500</v>
      </c>
    </row>
    <row r="359" spans="1:9" x14ac:dyDescent="0.3">
      <c r="A359" s="30" t="s">
        <v>478</v>
      </c>
      <c r="B359" s="33" t="s">
        <v>23</v>
      </c>
      <c r="C359" s="33">
        <v>1</v>
      </c>
      <c r="D359" s="34" t="s">
        <v>200</v>
      </c>
      <c r="E359" s="34" t="s">
        <v>203</v>
      </c>
      <c r="F359" s="33">
        <v>0</v>
      </c>
      <c r="G359" s="33">
        <v>0.5</v>
      </c>
      <c r="H359" s="33" t="s">
        <v>215</v>
      </c>
      <c r="I359" s="33">
        <v>500</v>
      </c>
    </row>
    <row r="360" spans="1:9" x14ac:dyDescent="0.3">
      <c r="A360" s="30" t="s">
        <v>478</v>
      </c>
      <c r="B360" s="33" t="s">
        <v>23</v>
      </c>
      <c r="C360" s="33">
        <v>1</v>
      </c>
      <c r="D360" s="34" t="s">
        <v>200</v>
      </c>
      <c r="E360" s="34" t="s">
        <v>204</v>
      </c>
      <c r="F360" s="33">
        <v>0</v>
      </c>
      <c r="G360" s="33">
        <v>0.5</v>
      </c>
      <c r="H360" s="33" t="s">
        <v>215</v>
      </c>
      <c r="I360" s="33">
        <v>500</v>
      </c>
    </row>
    <row r="361" spans="1:9" x14ac:dyDescent="0.3">
      <c r="A361" s="30" t="s">
        <v>478</v>
      </c>
      <c r="B361" s="33" t="s">
        <v>23</v>
      </c>
      <c r="C361" s="33">
        <v>1</v>
      </c>
      <c r="D361" s="34" t="s">
        <v>200</v>
      </c>
      <c r="E361" s="34" t="s">
        <v>205</v>
      </c>
      <c r="F361" s="33">
        <v>0</v>
      </c>
      <c r="G361" s="33">
        <v>0.5</v>
      </c>
      <c r="H361" s="33" t="s">
        <v>215</v>
      </c>
      <c r="I361" s="33">
        <v>500</v>
      </c>
    </row>
    <row r="362" spans="1:9" x14ac:dyDescent="0.3">
      <c r="A362" s="30" t="s">
        <v>478</v>
      </c>
      <c r="B362" s="33" t="s">
        <v>23</v>
      </c>
      <c r="C362" s="33">
        <v>1</v>
      </c>
      <c r="D362" s="34" t="s">
        <v>200</v>
      </c>
      <c r="E362" s="34" t="s">
        <v>206</v>
      </c>
      <c r="F362" s="33">
        <v>0</v>
      </c>
      <c r="G362" s="33">
        <v>0.5</v>
      </c>
      <c r="H362" s="33" t="s">
        <v>215</v>
      </c>
      <c r="I362" s="33">
        <v>500</v>
      </c>
    </row>
    <row r="363" spans="1:9" x14ac:dyDescent="0.3">
      <c r="A363" s="30" t="s">
        <v>478</v>
      </c>
      <c r="B363" s="33" t="s">
        <v>23</v>
      </c>
      <c r="C363" s="33">
        <v>1</v>
      </c>
      <c r="D363" s="34" t="s">
        <v>200</v>
      </c>
      <c r="E363" s="34" t="s">
        <v>207</v>
      </c>
      <c r="F363" s="33">
        <v>0</v>
      </c>
      <c r="G363" s="33">
        <v>0.35</v>
      </c>
      <c r="H363" s="33" t="s">
        <v>215</v>
      </c>
      <c r="I363" s="33">
        <v>500</v>
      </c>
    </row>
    <row r="364" spans="1:9" x14ac:dyDescent="0.3">
      <c r="A364" s="30" t="s">
        <v>478</v>
      </c>
      <c r="B364" s="33" t="s">
        <v>23</v>
      </c>
      <c r="C364" s="33">
        <v>1</v>
      </c>
      <c r="D364" s="34" t="s">
        <v>200</v>
      </c>
      <c r="E364" s="34" t="s">
        <v>208</v>
      </c>
      <c r="F364" s="33">
        <v>0</v>
      </c>
      <c r="G364" s="33">
        <v>0.3</v>
      </c>
      <c r="H364" s="33" t="s">
        <v>215</v>
      </c>
      <c r="I364" s="33">
        <v>500</v>
      </c>
    </row>
    <row r="365" spans="1:9" x14ac:dyDescent="0.3">
      <c r="A365" s="30" t="s">
        <v>478</v>
      </c>
      <c r="B365" s="33" t="s">
        <v>23</v>
      </c>
      <c r="C365" s="33">
        <v>1</v>
      </c>
      <c r="D365" s="34" t="s">
        <v>200</v>
      </c>
      <c r="E365" s="34" t="s">
        <v>209</v>
      </c>
      <c r="F365" s="33">
        <v>0</v>
      </c>
      <c r="G365" s="33">
        <v>0.5</v>
      </c>
      <c r="H365" s="33" t="s">
        <v>215</v>
      </c>
      <c r="I365" s="33">
        <v>500</v>
      </c>
    </row>
    <row r="366" spans="1:9" x14ac:dyDescent="0.3">
      <c r="A366" s="30" t="s">
        <v>478</v>
      </c>
      <c r="B366" s="33" t="s">
        <v>23</v>
      </c>
      <c r="C366" s="33">
        <v>1</v>
      </c>
      <c r="D366" s="34" t="s">
        <v>200</v>
      </c>
      <c r="E366" s="34" t="s">
        <v>210</v>
      </c>
      <c r="F366" s="33">
        <v>0</v>
      </c>
      <c r="G366" s="33">
        <v>0.3</v>
      </c>
      <c r="H366" s="33" t="s">
        <v>215</v>
      </c>
      <c r="I366" s="33">
        <v>500</v>
      </c>
    </row>
    <row r="367" spans="1:9" x14ac:dyDescent="0.3">
      <c r="A367" s="30" t="s">
        <v>478</v>
      </c>
      <c r="B367" s="33" t="s">
        <v>23</v>
      </c>
      <c r="C367" s="33">
        <v>1</v>
      </c>
      <c r="D367" s="34" t="s">
        <v>200</v>
      </c>
      <c r="E367" s="34" t="s">
        <v>211</v>
      </c>
      <c r="F367" s="33">
        <v>0</v>
      </c>
      <c r="G367" s="33">
        <v>0.25</v>
      </c>
      <c r="H367" s="33" t="s">
        <v>215</v>
      </c>
      <c r="I367" s="33">
        <v>500</v>
      </c>
    </row>
    <row r="368" spans="1:9" x14ac:dyDescent="0.3">
      <c r="A368" s="30" t="s">
        <v>478</v>
      </c>
      <c r="B368" s="33" t="s">
        <v>23</v>
      </c>
      <c r="C368" s="33">
        <v>1</v>
      </c>
      <c r="D368" s="34" t="s">
        <v>200</v>
      </c>
      <c r="E368" s="34" t="s">
        <v>212</v>
      </c>
      <c r="F368" s="33">
        <v>0</v>
      </c>
      <c r="G368" s="33">
        <v>0.25</v>
      </c>
      <c r="H368" s="33" t="s">
        <v>215</v>
      </c>
      <c r="I368" s="33">
        <v>500</v>
      </c>
    </row>
    <row r="369" spans="1:9" x14ac:dyDescent="0.3">
      <c r="A369" s="30" t="s">
        <v>478</v>
      </c>
      <c r="B369" s="33" t="s">
        <v>23</v>
      </c>
      <c r="C369" s="33">
        <v>1</v>
      </c>
      <c r="D369" s="34" t="s">
        <v>200</v>
      </c>
      <c r="E369" s="34" t="s">
        <v>213</v>
      </c>
      <c r="F369" s="33">
        <v>0</v>
      </c>
      <c r="G369" s="33">
        <v>0.25</v>
      </c>
      <c r="H369" s="33" t="s">
        <v>215</v>
      </c>
      <c r="I369" s="33">
        <v>500</v>
      </c>
    </row>
    <row r="370" spans="1:9" x14ac:dyDescent="0.3">
      <c r="A370" s="30" t="s">
        <v>478</v>
      </c>
      <c r="B370" s="33" t="s">
        <v>23</v>
      </c>
      <c r="C370" s="33">
        <v>1</v>
      </c>
      <c r="D370" s="34" t="s">
        <v>200</v>
      </c>
      <c r="E370" s="34" t="s">
        <v>214</v>
      </c>
      <c r="F370" s="33">
        <v>0</v>
      </c>
      <c r="G370" s="33">
        <v>0.25</v>
      </c>
      <c r="H370" s="33" t="s">
        <v>215</v>
      </c>
      <c r="I370" s="33">
        <v>500</v>
      </c>
    </row>
    <row r="371" spans="1:9" x14ac:dyDescent="0.3">
      <c r="A371" s="30" t="s">
        <v>478</v>
      </c>
      <c r="B371" s="33" t="s">
        <v>23</v>
      </c>
      <c r="C371" s="33">
        <v>1</v>
      </c>
      <c r="D371" s="34" t="s">
        <v>200</v>
      </c>
      <c r="E371" s="34" t="s">
        <v>216</v>
      </c>
      <c r="F371" s="33">
        <v>0</v>
      </c>
      <c r="G371" s="33">
        <v>0.3</v>
      </c>
      <c r="H371" s="33" t="s">
        <v>202</v>
      </c>
      <c r="I371" s="33">
        <v>100</v>
      </c>
    </row>
    <row r="372" spans="1:9" x14ac:dyDescent="0.3">
      <c r="A372" s="30" t="s">
        <v>478</v>
      </c>
      <c r="B372" s="33" t="s">
        <v>23</v>
      </c>
      <c r="C372" s="33">
        <v>1</v>
      </c>
      <c r="D372" s="34" t="s">
        <v>200</v>
      </c>
      <c r="E372" s="34" t="s">
        <v>216</v>
      </c>
      <c r="F372" s="33">
        <v>0</v>
      </c>
      <c r="G372" s="33">
        <v>0.45</v>
      </c>
      <c r="H372" s="33" t="s">
        <v>215</v>
      </c>
      <c r="I372" s="33">
        <v>500</v>
      </c>
    </row>
    <row r="373" spans="1:9" x14ac:dyDescent="0.3">
      <c r="A373" s="30" t="s">
        <v>478</v>
      </c>
      <c r="B373" s="33" t="s">
        <v>23</v>
      </c>
      <c r="C373" s="33">
        <v>1</v>
      </c>
      <c r="D373" s="34" t="s">
        <v>200</v>
      </c>
      <c r="E373" s="34" t="s">
        <v>217</v>
      </c>
      <c r="F373" s="33">
        <v>0</v>
      </c>
      <c r="G373" s="33">
        <v>0.2</v>
      </c>
      <c r="H373" s="33" t="s">
        <v>202</v>
      </c>
      <c r="I373" s="33">
        <v>100</v>
      </c>
    </row>
    <row r="374" spans="1:9" x14ac:dyDescent="0.3">
      <c r="A374" s="30" t="s">
        <v>478</v>
      </c>
      <c r="B374" s="33" t="s">
        <v>23</v>
      </c>
      <c r="C374" s="33">
        <v>1</v>
      </c>
      <c r="D374" s="34" t="s">
        <v>200</v>
      </c>
      <c r="E374" s="34" t="s">
        <v>218</v>
      </c>
      <c r="F374" s="33">
        <v>0</v>
      </c>
      <c r="G374" s="33">
        <v>0.2</v>
      </c>
      <c r="H374" s="33" t="s">
        <v>202</v>
      </c>
      <c r="I374" s="33">
        <v>100</v>
      </c>
    </row>
    <row r="375" spans="1:9" x14ac:dyDescent="0.3">
      <c r="A375" s="30" t="s">
        <v>478</v>
      </c>
      <c r="B375" s="33" t="s">
        <v>23</v>
      </c>
      <c r="C375" s="33">
        <v>1</v>
      </c>
      <c r="D375" s="34" t="s">
        <v>200</v>
      </c>
      <c r="E375" s="34" t="s">
        <v>219</v>
      </c>
      <c r="F375" s="33">
        <v>0</v>
      </c>
      <c r="G375" s="33">
        <v>0.2</v>
      </c>
      <c r="H375" s="33" t="s">
        <v>202</v>
      </c>
      <c r="I375" s="33">
        <v>100</v>
      </c>
    </row>
    <row r="376" spans="1:9" x14ac:dyDescent="0.3">
      <c r="A376" s="30" t="s">
        <v>478</v>
      </c>
      <c r="B376" s="33" t="s">
        <v>23</v>
      </c>
      <c r="C376" s="33">
        <v>1</v>
      </c>
      <c r="D376" s="34" t="s">
        <v>200</v>
      </c>
      <c r="E376" s="34" t="s">
        <v>220</v>
      </c>
      <c r="F376" s="33">
        <v>0</v>
      </c>
      <c r="G376" s="33">
        <v>0.2</v>
      </c>
      <c r="H376" s="33" t="s">
        <v>202</v>
      </c>
      <c r="I376" s="33">
        <v>100</v>
      </c>
    </row>
    <row r="377" spans="1:9" x14ac:dyDescent="0.3">
      <c r="A377" s="30" t="s">
        <v>478</v>
      </c>
      <c r="B377" s="33" t="s">
        <v>23</v>
      </c>
      <c r="C377" s="33">
        <v>1</v>
      </c>
      <c r="D377" s="34" t="s">
        <v>200</v>
      </c>
      <c r="E377" s="34" t="s">
        <v>217</v>
      </c>
      <c r="F377" s="33">
        <v>0</v>
      </c>
      <c r="G377" s="33">
        <v>0.35</v>
      </c>
      <c r="H377" s="33" t="s">
        <v>215</v>
      </c>
      <c r="I377" s="33">
        <v>500</v>
      </c>
    </row>
    <row r="378" spans="1:9" x14ac:dyDescent="0.3">
      <c r="A378" s="30" t="s">
        <v>478</v>
      </c>
      <c r="B378" s="33" t="s">
        <v>23</v>
      </c>
      <c r="C378" s="33">
        <v>1</v>
      </c>
      <c r="D378" s="34" t="s">
        <v>200</v>
      </c>
      <c r="E378" s="34" t="s">
        <v>218</v>
      </c>
      <c r="F378" s="33">
        <v>0</v>
      </c>
      <c r="G378" s="33">
        <v>0.35</v>
      </c>
      <c r="H378" s="33" t="s">
        <v>215</v>
      </c>
      <c r="I378" s="33">
        <v>500</v>
      </c>
    </row>
    <row r="379" spans="1:9" x14ac:dyDescent="0.3">
      <c r="A379" s="30" t="s">
        <v>478</v>
      </c>
      <c r="B379" s="33" t="s">
        <v>23</v>
      </c>
      <c r="C379" s="33">
        <v>1</v>
      </c>
      <c r="D379" s="34" t="s">
        <v>200</v>
      </c>
      <c r="E379" s="34" t="s">
        <v>219</v>
      </c>
      <c r="F379" s="33">
        <v>0</v>
      </c>
      <c r="G379" s="33">
        <v>0.35</v>
      </c>
      <c r="H379" s="33" t="s">
        <v>215</v>
      </c>
      <c r="I379" s="33">
        <v>500</v>
      </c>
    </row>
    <row r="380" spans="1:9" x14ac:dyDescent="0.3">
      <c r="A380" s="30" t="s">
        <v>478</v>
      </c>
      <c r="B380" s="33" t="s">
        <v>23</v>
      </c>
      <c r="C380" s="33">
        <v>1</v>
      </c>
      <c r="D380" s="34" t="s">
        <v>200</v>
      </c>
      <c r="E380" s="34" t="s">
        <v>220</v>
      </c>
      <c r="F380" s="33">
        <v>0</v>
      </c>
      <c r="G380" s="33">
        <v>0.35</v>
      </c>
      <c r="H380" s="33" t="s">
        <v>215</v>
      </c>
      <c r="I380" s="33">
        <v>500</v>
      </c>
    </row>
    <row r="381" spans="1:9" x14ac:dyDescent="0.3">
      <c r="A381" s="30" t="s">
        <v>478</v>
      </c>
      <c r="B381" s="33" t="s">
        <v>23</v>
      </c>
      <c r="C381" s="33">
        <v>1</v>
      </c>
      <c r="D381" s="34" t="s">
        <v>221</v>
      </c>
      <c r="E381" s="34" t="s">
        <v>196</v>
      </c>
      <c r="F381" s="33">
        <v>0</v>
      </c>
      <c r="G381" s="33">
        <v>0.75</v>
      </c>
      <c r="H381" s="33"/>
      <c r="I381" s="33">
        <v>0</v>
      </c>
    </row>
    <row r="382" spans="1:9" x14ac:dyDescent="0.3">
      <c r="A382" s="30" t="s">
        <v>479</v>
      </c>
      <c r="B382" s="33" t="s">
        <v>23</v>
      </c>
      <c r="C382" s="33">
        <v>1</v>
      </c>
      <c r="D382" s="34" t="s">
        <v>188</v>
      </c>
      <c r="E382" s="34" t="s">
        <v>189</v>
      </c>
      <c r="F382" s="33">
        <v>0</v>
      </c>
      <c r="G382" s="33">
        <v>0.15</v>
      </c>
      <c r="H382" s="33"/>
      <c r="I382" s="33">
        <v>0</v>
      </c>
    </row>
    <row r="383" spans="1:9" x14ac:dyDescent="0.3">
      <c r="A383" s="30" t="s">
        <v>479</v>
      </c>
      <c r="B383" s="33" t="s">
        <v>23</v>
      </c>
      <c r="C383" s="33">
        <v>1</v>
      </c>
      <c r="D383" s="34" t="s">
        <v>190</v>
      </c>
      <c r="E383" s="34" t="s">
        <v>198</v>
      </c>
      <c r="F383" s="33">
        <v>0</v>
      </c>
      <c r="G383" s="33">
        <v>0.3</v>
      </c>
      <c r="H383" s="33"/>
      <c r="I383" s="33">
        <v>0</v>
      </c>
    </row>
    <row r="384" spans="1:9" x14ac:dyDescent="0.3">
      <c r="A384" s="30" t="s">
        <v>479</v>
      </c>
      <c r="B384" s="33" t="s">
        <v>23</v>
      </c>
      <c r="C384" s="33">
        <v>1</v>
      </c>
      <c r="D384" s="34" t="s">
        <v>197</v>
      </c>
      <c r="E384" s="34" t="s">
        <v>198</v>
      </c>
      <c r="F384" s="33">
        <v>0</v>
      </c>
      <c r="G384" s="33">
        <v>0.05</v>
      </c>
      <c r="H384" s="33"/>
      <c r="I384" s="33">
        <v>0</v>
      </c>
    </row>
    <row r="385" spans="1:9" x14ac:dyDescent="0.3">
      <c r="A385" s="30" t="s">
        <v>479</v>
      </c>
      <c r="B385" s="33" t="s">
        <v>23</v>
      </c>
      <c r="C385" s="33">
        <v>1</v>
      </c>
      <c r="D385" s="34" t="s">
        <v>197</v>
      </c>
      <c r="E385" s="34" t="s">
        <v>199</v>
      </c>
      <c r="F385" s="33">
        <v>0</v>
      </c>
      <c r="G385" s="33">
        <v>0</v>
      </c>
      <c r="H385" s="33"/>
      <c r="I385" s="33">
        <v>0</v>
      </c>
    </row>
    <row r="386" spans="1:9" x14ac:dyDescent="0.3">
      <c r="A386" s="30" t="s">
        <v>479</v>
      </c>
      <c r="B386" s="33" t="s">
        <v>23</v>
      </c>
      <c r="C386" s="33">
        <v>1</v>
      </c>
      <c r="D386" s="34" t="s">
        <v>200</v>
      </c>
      <c r="E386" s="34" t="s">
        <v>201</v>
      </c>
      <c r="F386" s="33">
        <v>0</v>
      </c>
      <c r="G386" s="33">
        <v>0.35</v>
      </c>
      <c r="H386" s="33" t="s">
        <v>202</v>
      </c>
      <c r="I386" s="33">
        <v>100</v>
      </c>
    </row>
    <row r="387" spans="1:9" x14ac:dyDescent="0.3">
      <c r="A387" s="30" t="s">
        <v>479</v>
      </c>
      <c r="B387" s="33" t="s">
        <v>23</v>
      </c>
      <c r="C387" s="33">
        <v>1</v>
      </c>
      <c r="D387" s="34" t="s">
        <v>200</v>
      </c>
      <c r="E387" s="34" t="s">
        <v>203</v>
      </c>
      <c r="F387" s="33">
        <v>0</v>
      </c>
      <c r="G387" s="33">
        <v>0.3</v>
      </c>
      <c r="H387" s="33" t="s">
        <v>202</v>
      </c>
      <c r="I387" s="33">
        <v>100</v>
      </c>
    </row>
    <row r="388" spans="1:9" x14ac:dyDescent="0.3">
      <c r="A388" s="30" t="s">
        <v>479</v>
      </c>
      <c r="B388" s="33" t="s">
        <v>23</v>
      </c>
      <c r="C388" s="33">
        <v>1</v>
      </c>
      <c r="D388" s="34" t="s">
        <v>200</v>
      </c>
      <c r="E388" s="34" t="s">
        <v>204</v>
      </c>
      <c r="F388" s="33">
        <v>0</v>
      </c>
      <c r="G388" s="33">
        <v>0.3</v>
      </c>
      <c r="H388" s="33" t="s">
        <v>202</v>
      </c>
      <c r="I388" s="33">
        <v>100</v>
      </c>
    </row>
    <row r="389" spans="1:9" x14ac:dyDescent="0.3">
      <c r="A389" s="30" t="s">
        <v>479</v>
      </c>
      <c r="B389" s="33" t="s">
        <v>23</v>
      </c>
      <c r="C389" s="33">
        <v>1</v>
      </c>
      <c r="D389" s="34" t="s">
        <v>200</v>
      </c>
      <c r="E389" s="34" t="s">
        <v>205</v>
      </c>
      <c r="F389" s="33">
        <v>0</v>
      </c>
      <c r="G389" s="33">
        <v>0.3</v>
      </c>
      <c r="H389" s="33" t="s">
        <v>202</v>
      </c>
      <c r="I389" s="33">
        <v>100</v>
      </c>
    </row>
    <row r="390" spans="1:9" x14ac:dyDescent="0.3">
      <c r="A390" s="30" t="s">
        <v>479</v>
      </c>
      <c r="B390" s="33" t="s">
        <v>23</v>
      </c>
      <c r="C390" s="33">
        <v>1</v>
      </c>
      <c r="D390" s="34" t="s">
        <v>200</v>
      </c>
      <c r="E390" s="34" t="s">
        <v>206</v>
      </c>
      <c r="F390" s="33">
        <v>0</v>
      </c>
      <c r="G390" s="33">
        <v>0.3</v>
      </c>
      <c r="H390" s="33" t="s">
        <v>202</v>
      </c>
      <c r="I390" s="33">
        <v>100</v>
      </c>
    </row>
    <row r="391" spans="1:9" x14ac:dyDescent="0.3">
      <c r="A391" s="30" t="s">
        <v>479</v>
      </c>
      <c r="B391" s="33" t="s">
        <v>23</v>
      </c>
      <c r="C391" s="33">
        <v>1</v>
      </c>
      <c r="D391" s="34" t="s">
        <v>200</v>
      </c>
      <c r="E391" s="34" t="s">
        <v>207</v>
      </c>
      <c r="F391" s="33">
        <v>0</v>
      </c>
      <c r="G391" s="33">
        <v>0.2</v>
      </c>
      <c r="H391" s="33" t="s">
        <v>202</v>
      </c>
      <c r="I391" s="33">
        <v>100</v>
      </c>
    </row>
    <row r="392" spans="1:9" x14ac:dyDescent="0.3">
      <c r="A392" s="30" t="s">
        <v>479</v>
      </c>
      <c r="B392" s="33" t="s">
        <v>23</v>
      </c>
      <c r="C392" s="33">
        <v>1</v>
      </c>
      <c r="D392" s="34" t="s">
        <v>200</v>
      </c>
      <c r="E392" s="34" t="s">
        <v>208</v>
      </c>
      <c r="F392" s="33">
        <v>0</v>
      </c>
      <c r="G392" s="33">
        <v>0.2</v>
      </c>
      <c r="H392" s="33" t="s">
        <v>202</v>
      </c>
      <c r="I392" s="33">
        <v>100</v>
      </c>
    </row>
    <row r="393" spans="1:9" x14ac:dyDescent="0.3">
      <c r="A393" s="30" t="s">
        <v>479</v>
      </c>
      <c r="B393" s="33" t="s">
        <v>23</v>
      </c>
      <c r="C393" s="33">
        <v>1</v>
      </c>
      <c r="D393" s="34" t="s">
        <v>200</v>
      </c>
      <c r="E393" s="34" t="s">
        <v>209</v>
      </c>
      <c r="F393" s="33">
        <v>0</v>
      </c>
      <c r="G393" s="33">
        <v>0.3</v>
      </c>
      <c r="H393" s="33" t="s">
        <v>202</v>
      </c>
      <c r="I393" s="33">
        <v>100</v>
      </c>
    </row>
    <row r="394" spans="1:9" x14ac:dyDescent="0.3">
      <c r="A394" s="30" t="s">
        <v>479</v>
      </c>
      <c r="B394" s="33" t="s">
        <v>23</v>
      </c>
      <c r="C394" s="33">
        <v>1</v>
      </c>
      <c r="D394" s="34" t="s">
        <v>200</v>
      </c>
      <c r="E394" s="34" t="s">
        <v>210</v>
      </c>
      <c r="F394" s="33">
        <v>0</v>
      </c>
      <c r="G394" s="33">
        <v>0.2</v>
      </c>
      <c r="H394" s="33" t="s">
        <v>202</v>
      </c>
      <c r="I394" s="33">
        <v>100</v>
      </c>
    </row>
    <row r="395" spans="1:9" x14ac:dyDescent="0.3">
      <c r="A395" s="30" t="s">
        <v>479</v>
      </c>
      <c r="B395" s="33" t="s">
        <v>23</v>
      </c>
      <c r="C395" s="33">
        <v>1</v>
      </c>
      <c r="D395" s="34" t="s">
        <v>200</v>
      </c>
      <c r="E395" s="34" t="s">
        <v>211</v>
      </c>
      <c r="F395" s="33">
        <v>0</v>
      </c>
      <c r="G395" s="33">
        <v>0.15</v>
      </c>
      <c r="H395" s="33" t="s">
        <v>202</v>
      </c>
      <c r="I395" s="33">
        <v>100</v>
      </c>
    </row>
    <row r="396" spans="1:9" x14ac:dyDescent="0.3">
      <c r="A396" s="30" t="s">
        <v>479</v>
      </c>
      <c r="B396" s="33" t="s">
        <v>23</v>
      </c>
      <c r="C396" s="33">
        <v>1</v>
      </c>
      <c r="D396" s="34" t="s">
        <v>200</v>
      </c>
      <c r="E396" s="34" t="s">
        <v>212</v>
      </c>
      <c r="F396" s="33">
        <v>0</v>
      </c>
      <c r="G396" s="33">
        <v>0.15</v>
      </c>
      <c r="H396" s="33" t="s">
        <v>202</v>
      </c>
      <c r="I396" s="33">
        <v>100</v>
      </c>
    </row>
    <row r="397" spans="1:9" x14ac:dyDescent="0.3">
      <c r="A397" s="30" t="s">
        <v>479</v>
      </c>
      <c r="B397" s="33" t="s">
        <v>23</v>
      </c>
      <c r="C397" s="33">
        <v>1</v>
      </c>
      <c r="D397" s="34" t="s">
        <v>200</v>
      </c>
      <c r="E397" s="34" t="s">
        <v>213</v>
      </c>
      <c r="F397" s="33">
        <v>0</v>
      </c>
      <c r="G397" s="33">
        <v>0.15</v>
      </c>
      <c r="H397" s="33" t="s">
        <v>202</v>
      </c>
      <c r="I397" s="33">
        <v>100</v>
      </c>
    </row>
    <row r="398" spans="1:9" x14ac:dyDescent="0.3">
      <c r="A398" s="30" t="s">
        <v>479</v>
      </c>
      <c r="B398" s="33" t="s">
        <v>23</v>
      </c>
      <c r="C398" s="33">
        <v>1</v>
      </c>
      <c r="D398" s="34" t="s">
        <v>200</v>
      </c>
      <c r="E398" s="34" t="s">
        <v>214</v>
      </c>
      <c r="F398" s="33">
        <v>0</v>
      </c>
      <c r="G398" s="33">
        <v>0.15</v>
      </c>
      <c r="H398" s="33" t="s">
        <v>202</v>
      </c>
      <c r="I398" s="33">
        <v>100</v>
      </c>
    </row>
    <row r="399" spans="1:9" x14ac:dyDescent="0.3">
      <c r="A399" s="30" t="s">
        <v>479</v>
      </c>
      <c r="B399" s="33" t="s">
        <v>23</v>
      </c>
      <c r="C399" s="33">
        <v>1</v>
      </c>
      <c r="D399" s="34" t="s">
        <v>200</v>
      </c>
      <c r="E399" s="34" t="s">
        <v>201</v>
      </c>
      <c r="F399" s="33">
        <v>0</v>
      </c>
      <c r="G399" s="33">
        <v>0.5</v>
      </c>
      <c r="H399" s="33" t="s">
        <v>215</v>
      </c>
      <c r="I399" s="33">
        <v>500</v>
      </c>
    </row>
    <row r="400" spans="1:9" x14ac:dyDescent="0.3">
      <c r="A400" s="30" t="s">
        <v>479</v>
      </c>
      <c r="B400" s="33" t="s">
        <v>23</v>
      </c>
      <c r="C400" s="33">
        <v>1</v>
      </c>
      <c r="D400" s="34" t="s">
        <v>200</v>
      </c>
      <c r="E400" s="34" t="s">
        <v>203</v>
      </c>
      <c r="F400" s="33">
        <v>0</v>
      </c>
      <c r="G400" s="33">
        <v>0.5</v>
      </c>
      <c r="H400" s="33" t="s">
        <v>215</v>
      </c>
      <c r="I400" s="33">
        <v>500</v>
      </c>
    </row>
    <row r="401" spans="1:9" x14ac:dyDescent="0.3">
      <c r="A401" s="30" t="s">
        <v>479</v>
      </c>
      <c r="B401" s="33" t="s">
        <v>23</v>
      </c>
      <c r="C401" s="33">
        <v>1</v>
      </c>
      <c r="D401" s="34" t="s">
        <v>200</v>
      </c>
      <c r="E401" s="34" t="s">
        <v>204</v>
      </c>
      <c r="F401" s="33">
        <v>0</v>
      </c>
      <c r="G401" s="33">
        <v>0.5</v>
      </c>
      <c r="H401" s="33" t="s">
        <v>215</v>
      </c>
      <c r="I401" s="33">
        <v>500</v>
      </c>
    </row>
    <row r="402" spans="1:9" x14ac:dyDescent="0.3">
      <c r="A402" s="30" t="s">
        <v>479</v>
      </c>
      <c r="B402" s="33" t="s">
        <v>23</v>
      </c>
      <c r="C402" s="33">
        <v>1</v>
      </c>
      <c r="D402" s="34" t="s">
        <v>200</v>
      </c>
      <c r="E402" s="34" t="s">
        <v>205</v>
      </c>
      <c r="F402" s="33">
        <v>0</v>
      </c>
      <c r="G402" s="33">
        <v>0.5</v>
      </c>
      <c r="H402" s="33" t="s">
        <v>215</v>
      </c>
      <c r="I402" s="33">
        <v>500</v>
      </c>
    </row>
    <row r="403" spans="1:9" x14ac:dyDescent="0.3">
      <c r="A403" s="30" t="s">
        <v>479</v>
      </c>
      <c r="B403" s="33" t="s">
        <v>23</v>
      </c>
      <c r="C403" s="33">
        <v>1</v>
      </c>
      <c r="D403" s="34" t="s">
        <v>200</v>
      </c>
      <c r="E403" s="34" t="s">
        <v>206</v>
      </c>
      <c r="F403" s="33">
        <v>0</v>
      </c>
      <c r="G403" s="33">
        <v>0.5</v>
      </c>
      <c r="H403" s="33" t="s">
        <v>215</v>
      </c>
      <c r="I403" s="33">
        <v>500</v>
      </c>
    </row>
    <row r="404" spans="1:9" x14ac:dyDescent="0.3">
      <c r="A404" s="30" t="s">
        <v>479</v>
      </c>
      <c r="B404" s="33" t="s">
        <v>23</v>
      </c>
      <c r="C404" s="33">
        <v>1</v>
      </c>
      <c r="D404" s="34" t="s">
        <v>200</v>
      </c>
      <c r="E404" s="34" t="s">
        <v>207</v>
      </c>
      <c r="F404" s="33">
        <v>0</v>
      </c>
      <c r="G404" s="33">
        <v>0.35</v>
      </c>
      <c r="H404" s="33" t="s">
        <v>215</v>
      </c>
      <c r="I404" s="33">
        <v>500</v>
      </c>
    </row>
    <row r="405" spans="1:9" x14ac:dyDescent="0.3">
      <c r="A405" s="30" t="s">
        <v>479</v>
      </c>
      <c r="B405" s="33" t="s">
        <v>23</v>
      </c>
      <c r="C405" s="33">
        <v>1</v>
      </c>
      <c r="D405" s="34" t="s">
        <v>200</v>
      </c>
      <c r="E405" s="34" t="s">
        <v>208</v>
      </c>
      <c r="F405" s="33">
        <v>0</v>
      </c>
      <c r="G405" s="33">
        <v>0.3</v>
      </c>
      <c r="H405" s="33" t="s">
        <v>215</v>
      </c>
      <c r="I405" s="33">
        <v>500</v>
      </c>
    </row>
    <row r="406" spans="1:9" x14ac:dyDescent="0.3">
      <c r="A406" s="30" t="s">
        <v>479</v>
      </c>
      <c r="B406" s="33" t="s">
        <v>23</v>
      </c>
      <c r="C406" s="33">
        <v>1</v>
      </c>
      <c r="D406" s="34" t="s">
        <v>200</v>
      </c>
      <c r="E406" s="34" t="s">
        <v>209</v>
      </c>
      <c r="F406" s="33">
        <v>0</v>
      </c>
      <c r="G406" s="33">
        <v>0.5</v>
      </c>
      <c r="H406" s="33" t="s">
        <v>215</v>
      </c>
      <c r="I406" s="33">
        <v>500</v>
      </c>
    </row>
    <row r="407" spans="1:9" x14ac:dyDescent="0.3">
      <c r="A407" s="30" t="s">
        <v>479</v>
      </c>
      <c r="B407" s="33" t="s">
        <v>23</v>
      </c>
      <c r="C407" s="33">
        <v>1</v>
      </c>
      <c r="D407" s="34" t="s">
        <v>200</v>
      </c>
      <c r="E407" s="34" t="s">
        <v>210</v>
      </c>
      <c r="F407" s="33">
        <v>0</v>
      </c>
      <c r="G407" s="33">
        <v>0.3</v>
      </c>
      <c r="H407" s="33" t="s">
        <v>215</v>
      </c>
      <c r="I407" s="33">
        <v>500</v>
      </c>
    </row>
    <row r="408" spans="1:9" x14ac:dyDescent="0.3">
      <c r="A408" s="30" t="s">
        <v>479</v>
      </c>
      <c r="B408" s="33" t="s">
        <v>23</v>
      </c>
      <c r="C408" s="33">
        <v>1</v>
      </c>
      <c r="D408" s="34" t="s">
        <v>200</v>
      </c>
      <c r="E408" s="34" t="s">
        <v>211</v>
      </c>
      <c r="F408" s="33">
        <v>0</v>
      </c>
      <c r="G408" s="33">
        <v>0.25</v>
      </c>
      <c r="H408" s="33" t="s">
        <v>215</v>
      </c>
      <c r="I408" s="33">
        <v>500</v>
      </c>
    </row>
    <row r="409" spans="1:9" x14ac:dyDescent="0.3">
      <c r="A409" s="30" t="s">
        <v>479</v>
      </c>
      <c r="B409" s="33" t="s">
        <v>23</v>
      </c>
      <c r="C409" s="33">
        <v>1</v>
      </c>
      <c r="D409" s="34" t="s">
        <v>200</v>
      </c>
      <c r="E409" s="34" t="s">
        <v>212</v>
      </c>
      <c r="F409" s="33">
        <v>0</v>
      </c>
      <c r="G409" s="33">
        <v>0.25</v>
      </c>
      <c r="H409" s="33" t="s">
        <v>215</v>
      </c>
      <c r="I409" s="33">
        <v>500</v>
      </c>
    </row>
    <row r="410" spans="1:9" x14ac:dyDescent="0.3">
      <c r="A410" s="30" t="s">
        <v>479</v>
      </c>
      <c r="B410" s="33" t="s">
        <v>23</v>
      </c>
      <c r="C410" s="33">
        <v>1</v>
      </c>
      <c r="D410" s="34" t="s">
        <v>200</v>
      </c>
      <c r="E410" s="34" t="s">
        <v>213</v>
      </c>
      <c r="F410" s="33">
        <v>0</v>
      </c>
      <c r="G410" s="33">
        <v>0.25</v>
      </c>
      <c r="H410" s="33" t="s">
        <v>215</v>
      </c>
      <c r="I410" s="33">
        <v>500</v>
      </c>
    </row>
    <row r="411" spans="1:9" x14ac:dyDescent="0.3">
      <c r="A411" s="30" t="s">
        <v>479</v>
      </c>
      <c r="B411" s="33" t="s">
        <v>23</v>
      </c>
      <c r="C411" s="33">
        <v>1</v>
      </c>
      <c r="D411" s="34" t="s">
        <v>200</v>
      </c>
      <c r="E411" s="34" t="s">
        <v>214</v>
      </c>
      <c r="F411" s="33">
        <v>0</v>
      </c>
      <c r="G411" s="33">
        <v>0.25</v>
      </c>
      <c r="H411" s="33" t="s">
        <v>215</v>
      </c>
      <c r="I411" s="33">
        <v>500</v>
      </c>
    </row>
    <row r="412" spans="1:9" x14ac:dyDescent="0.3">
      <c r="A412" s="30" t="s">
        <v>479</v>
      </c>
      <c r="B412" s="33" t="s">
        <v>23</v>
      </c>
      <c r="C412" s="33">
        <v>1</v>
      </c>
      <c r="D412" s="34" t="s">
        <v>200</v>
      </c>
      <c r="E412" s="34" t="s">
        <v>216</v>
      </c>
      <c r="F412" s="33">
        <v>0</v>
      </c>
      <c r="G412" s="33">
        <v>0.3</v>
      </c>
      <c r="H412" s="33" t="s">
        <v>202</v>
      </c>
      <c r="I412" s="33">
        <v>100</v>
      </c>
    </row>
    <row r="413" spans="1:9" x14ac:dyDescent="0.3">
      <c r="A413" s="30" t="s">
        <v>479</v>
      </c>
      <c r="B413" s="33" t="s">
        <v>23</v>
      </c>
      <c r="C413" s="33">
        <v>1</v>
      </c>
      <c r="D413" s="34" t="s">
        <v>200</v>
      </c>
      <c r="E413" s="34" t="s">
        <v>216</v>
      </c>
      <c r="F413" s="33">
        <v>0</v>
      </c>
      <c r="G413" s="33">
        <v>0.45</v>
      </c>
      <c r="H413" s="33" t="s">
        <v>215</v>
      </c>
      <c r="I413" s="33">
        <v>500</v>
      </c>
    </row>
    <row r="414" spans="1:9" x14ac:dyDescent="0.3">
      <c r="A414" s="30" t="s">
        <v>479</v>
      </c>
      <c r="B414" s="33" t="s">
        <v>23</v>
      </c>
      <c r="C414" s="33">
        <v>1</v>
      </c>
      <c r="D414" s="34" t="s">
        <v>200</v>
      </c>
      <c r="E414" s="34" t="s">
        <v>217</v>
      </c>
      <c r="F414" s="33">
        <v>0</v>
      </c>
      <c r="G414" s="33">
        <v>0.2</v>
      </c>
      <c r="H414" s="33" t="s">
        <v>202</v>
      </c>
      <c r="I414" s="33">
        <v>100</v>
      </c>
    </row>
    <row r="415" spans="1:9" x14ac:dyDescent="0.3">
      <c r="A415" s="30" t="s">
        <v>479</v>
      </c>
      <c r="B415" s="33" t="s">
        <v>23</v>
      </c>
      <c r="C415" s="33">
        <v>1</v>
      </c>
      <c r="D415" s="34" t="s">
        <v>200</v>
      </c>
      <c r="E415" s="34" t="s">
        <v>218</v>
      </c>
      <c r="F415" s="33">
        <v>0</v>
      </c>
      <c r="G415" s="33">
        <v>0.2</v>
      </c>
      <c r="H415" s="33" t="s">
        <v>202</v>
      </c>
      <c r="I415" s="33">
        <v>100</v>
      </c>
    </row>
    <row r="416" spans="1:9" x14ac:dyDescent="0.3">
      <c r="A416" s="30" t="s">
        <v>479</v>
      </c>
      <c r="B416" s="33" t="s">
        <v>23</v>
      </c>
      <c r="C416" s="33">
        <v>1</v>
      </c>
      <c r="D416" s="34" t="s">
        <v>200</v>
      </c>
      <c r="E416" s="34" t="s">
        <v>219</v>
      </c>
      <c r="F416" s="33">
        <v>0</v>
      </c>
      <c r="G416" s="33">
        <v>0.2</v>
      </c>
      <c r="H416" s="33" t="s">
        <v>202</v>
      </c>
      <c r="I416" s="33">
        <v>100</v>
      </c>
    </row>
    <row r="417" spans="1:9" x14ac:dyDescent="0.3">
      <c r="A417" s="30" t="s">
        <v>479</v>
      </c>
      <c r="B417" s="33" t="s">
        <v>23</v>
      </c>
      <c r="C417" s="33">
        <v>1</v>
      </c>
      <c r="D417" s="34" t="s">
        <v>200</v>
      </c>
      <c r="E417" s="34" t="s">
        <v>220</v>
      </c>
      <c r="F417" s="33">
        <v>0</v>
      </c>
      <c r="G417" s="33">
        <v>0.2</v>
      </c>
      <c r="H417" s="33" t="s">
        <v>202</v>
      </c>
      <c r="I417" s="33">
        <v>100</v>
      </c>
    </row>
    <row r="418" spans="1:9" x14ac:dyDescent="0.3">
      <c r="A418" s="30" t="s">
        <v>479</v>
      </c>
      <c r="B418" s="33" t="s">
        <v>23</v>
      </c>
      <c r="C418" s="33">
        <v>1</v>
      </c>
      <c r="D418" s="34" t="s">
        <v>200</v>
      </c>
      <c r="E418" s="34" t="s">
        <v>217</v>
      </c>
      <c r="F418" s="33">
        <v>0</v>
      </c>
      <c r="G418" s="33">
        <v>0.35</v>
      </c>
      <c r="H418" s="33" t="s">
        <v>215</v>
      </c>
      <c r="I418" s="33">
        <v>500</v>
      </c>
    </row>
    <row r="419" spans="1:9" x14ac:dyDescent="0.3">
      <c r="A419" s="30" t="s">
        <v>479</v>
      </c>
      <c r="B419" s="33" t="s">
        <v>23</v>
      </c>
      <c r="C419" s="33">
        <v>1</v>
      </c>
      <c r="D419" s="34" t="s">
        <v>200</v>
      </c>
      <c r="E419" s="34" t="s">
        <v>218</v>
      </c>
      <c r="F419" s="33">
        <v>0</v>
      </c>
      <c r="G419" s="33">
        <v>0.35</v>
      </c>
      <c r="H419" s="33" t="s">
        <v>215</v>
      </c>
      <c r="I419" s="33">
        <v>500</v>
      </c>
    </row>
    <row r="420" spans="1:9" x14ac:dyDescent="0.3">
      <c r="A420" s="30" t="s">
        <v>479</v>
      </c>
      <c r="B420" s="33" t="s">
        <v>23</v>
      </c>
      <c r="C420" s="33">
        <v>1</v>
      </c>
      <c r="D420" s="34" t="s">
        <v>200</v>
      </c>
      <c r="E420" s="34" t="s">
        <v>219</v>
      </c>
      <c r="F420" s="33">
        <v>0</v>
      </c>
      <c r="G420" s="33">
        <v>0.35</v>
      </c>
      <c r="H420" s="33" t="s">
        <v>215</v>
      </c>
      <c r="I420" s="33">
        <v>500</v>
      </c>
    </row>
    <row r="421" spans="1:9" x14ac:dyDescent="0.3">
      <c r="A421" s="30" t="s">
        <v>479</v>
      </c>
      <c r="B421" s="33" t="s">
        <v>23</v>
      </c>
      <c r="C421" s="33">
        <v>1</v>
      </c>
      <c r="D421" s="34" t="s">
        <v>200</v>
      </c>
      <c r="E421" s="34" t="s">
        <v>220</v>
      </c>
      <c r="F421" s="33">
        <v>0</v>
      </c>
      <c r="G421" s="33">
        <v>0.35</v>
      </c>
      <c r="H421" s="33" t="s">
        <v>215</v>
      </c>
      <c r="I421" s="33">
        <v>500</v>
      </c>
    </row>
    <row r="422" spans="1:9" x14ac:dyDescent="0.3">
      <c r="A422" s="30" t="s">
        <v>479</v>
      </c>
      <c r="B422" s="33" t="s">
        <v>23</v>
      </c>
      <c r="C422" s="33">
        <v>1</v>
      </c>
      <c r="D422" s="34" t="s">
        <v>221</v>
      </c>
      <c r="E422" s="34" t="s">
        <v>198</v>
      </c>
      <c r="F422" s="33">
        <v>0</v>
      </c>
      <c r="G422" s="33">
        <v>0.5</v>
      </c>
      <c r="H422" s="33"/>
      <c r="I422" s="33">
        <v>0</v>
      </c>
    </row>
    <row r="423" spans="1:9" x14ac:dyDescent="0.3">
      <c r="A423" s="30" t="s">
        <v>480</v>
      </c>
      <c r="B423" s="33" t="s">
        <v>23</v>
      </c>
      <c r="C423" s="33">
        <v>1</v>
      </c>
      <c r="D423" s="34" t="s">
        <v>188</v>
      </c>
      <c r="E423" s="34" t="s">
        <v>189</v>
      </c>
      <c r="F423" s="33">
        <v>0</v>
      </c>
      <c r="G423" s="33">
        <v>0.15</v>
      </c>
      <c r="H423" s="33"/>
      <c r="I423" s="33">
        <v>0</v>
      </c>
    </row>
    <row r="424" spans="1:9" x14ac:dyDescent="0.3">
      <c r="A424" s="30" t="s">
        <v>480</v>
      </c>
      <c r="B424" s="33" t="s">
        <v>23</v>
      </c>
      <c r="C424" s="33">
        <v>1</v>
      </c>
      <c r="D424" s="34" t="s">
        <v>190</v>
      </c>
      <c r="E424" s="34" t="s">
        <v>198</v>
      </c>
      <c r="F424" s="33">
        <v>0</v>
      </c>
      <c r="G424" s="33">
        <v>0.3</v>
      </c>
      <c r="H424" s="33"/>
      <c r="I424" s="33">
        <v>0</v>
      </c>
    </row>
    <row r="425" spans="1:9" x14ac:dyDescent="0.3">
      <c r="A425" s="30" t="s">
        <v>480</v>
      </c>
      <c r="B425" s="33" t="s">
        <v>23</v>
      </c>
      <c r="C425" s="33">
        <v>1</v>
      </c>
      <c r="D425" s="34" t="s">
        <v>197</v>
      </c>
      <c r="E425" s="34" t="s">
        <v>198</v>
      </c>
      <c r="F425" s="33">
        <v>0</v>
      </c>
      <c r="G425" s="33">
        <v>0.05</v>
      </c>
      <c r="H425" s="33"/>
      <c r="I425" s="33">
        <v>0</v>
      </c>
    </row>
    <row r="426" spans="1:9" x14ac:dyDescent="0.3">
      <c r="A426" s="30" t="s">
        <v>480</v>
      </c>
      <c r="B426" s="33" t="s">
        <v>23</v>
      </c>
      <c r="C426" s="33">
        <v>1</v>
      </c>
      <c r="D426" s="34" t="s">
        <v>197</v>
      </c>
      <c r="E426" s="34" t="s">
        <v>199</v>
      </c>
      <c r="F426" s="33">
        <v>0</v>
      </c>
      <c r="G426" s="33">
        <v>0</v>
      </c>
      <c r="H426" s="33"/>
      <c r="I426" s="33">
        <v>0</v>
      </c>
    </row>
    <row r="427" spans="1:9" x14ac:dyDescent="0.3">
      <c r="A427" s="30" t="s">
        <v>480</v>
      </c>
      <c r="B427" s="33" t="s">
        <v>23</v>
      </c>
      <c r="C427" s="33">
        <v>1</v>
      </c>
      <c r="D427" s="34" t="s">
        <v>200</v>
      </c>
      <c r="E427" s="34" t="s">
        <v>201</v>
      </c>
      <c r="F427" s="33">
        <v>0</v>
      </c>
      <c r="G427" s="33">
        <v>0.35</v>
      </c>
      <c r="H427" s="33" t="s">
        <v>202</v>
      </c>
      <c r="I427" s="33">
        <v>100</v>
      </c>
    </row>
    <row r="428" spans="1:9" x14ac:dyDescent="0.3">
      <c r="A428" s="30" t="s">
        <v>480</v>
      </c>
      <c r="B428" s="33" t="s">
        <v>23</v>
      </c>
      <c r="C428" s="33">
        <v>1</v>
      </c>
      <c r="D428" s="34" t="s">
        <v>200</v>
      </c>
      <c r="E428" s="34" t="s">
        <v>203</v>
      </c>
      <c r="F428" s="33">
        <v>0</v>
      </c>
      <c r="G428" s="33">
        <v>0.3</v>
      </c>
      <c r="H428" s="33" t="s">
        <v>202</v>
      </c>
      <c r="I428" s="33">
        <v>100</v>
      </c>
    </row>
    <row r="429" spans="1:9" x14ac:dyDescent="0.3">
      <c r="A429" s="30" t="s">
        <v>480</v>
      </c>
      <c r="B429" s="33" t="s">
        <v>23</v>
      </c>
      <c r="C429" s="33">
        <v>1</v>
      </c>
      <c r="D429" s="34" t="s">
        <v>200</v>
      </c>
      <c r="E429" s="34" t="s">
        <v>204</v>
      </c>
      <c r="F429" s="33">
        <v>0</v>
      </c>
      <c r="G429" s="33">
        <v>0.3</v>
      </c>
      <c r="H429" s="33" t="s">
        <v>202</v>
      </c>
      <c r="I429" s="33">
        <v>100</v>
      </c>
    </row>
    <row r="430" spans="1:9" x14ac:dyDescent="0.3">
      <c r="A430" s="30" t="s">
        <v>480</v>
      </c>
      <c r="B430" s="33" t="s">
        <v>23</v>
      </c>
      <c r="C430" s="33">
        <v>1</v>
      </c>
      <c r="D430" s="34" t="s">
        <v>200</v>
      </c>
      <c r="E430" s="34" t="s">
        <v>205</v>
      </c>
      <c r="F430" s="33">
        <v>0</v>
      </c>
      <c r="G430" s="33">
        <v>0.3</v>
      </c>
      <c r="H430" s="33" t="s">
        <v>202</v>
      </c>
      <c r="I430" s="33">
        <v>100</v>
      </c>
    </row>
    <row r="431" spans="1:9" x14ac:dyDescent="0.3">
      <c r="A431" s="30" t="s">
        <v>480</v>
      </c>
      <c r="B431" s="33" t="s">
        <v>23</v>
      </c>
      <c r="C431" s="33">
        <v>1</v>
      </c>
      <c r="D431" s="34" t="s">
        <v>200</v>
      </c>
      <c r="E431" s="34" t="s">
        <v>206</v>
      </c>
      <c r="F431" s="33">
        <v>0</v>
      </c>
      <c r="G431" s="33">
        <v>0.3</v>
      </c>
      <c r="H431" s="33" t="s">
        <v>202</v>
      </c>
      <c r="I431" s="33">
        <v>100</v>
      </c>
    </row>
    <row r="432" spans="1:9" x14ac:dyDescent="0.3">
      <c r="A432" s="30" t="s">
        <v>480</v>
      </c>
      <c r="B432" s="33" t="s">
        <v>23</v>
      </c>
      <c r="C432" s="33">
        <v>1</v>
      </c>
      <c r="D432" s="34" t="s">
        <v>200</v>
      </c>
      <c r="E432" s="34" t="s">
        <v>207</v>
      </c>
      <c r="F432" s="33">
        <v>0</v>
      </c>
      <c r="G432" s="33">
        <v>0.2</v>
      </c>
      <c r="H432" s="33" t="s">
        <v>202</v>
      </c>
      <c r="I432" s="33">
        <v>100</v>
      </c>
    </row>
    <row r="433" spans="1:9" x14ac:dyDescent="0.3">
      <c r="A433" s="30" t="s">
        <v>480</v>
      </c>
      <c r="B433" s="33" t="s">
        <v>23</v>
      </c>
      <c r="C433" s="33">
        <v>1</v>
      </c>
      <c r="D433" s="34" t="s">
        <v>200</v>
      </c>
      <c r="E433" s="34" t="s">
        <v>208</v>
      </c>
      <c r="F433" s="33">
        <v>0</v>
      </c>
      <c r="G433" s="33">
        <v>0.2</v>
      </c>
      <c r="H433" s="33" t="s">
        <v>202</v>
      </c>
      <c r="I433" s="33">
        <v>100</v>
      </c>
    </row>
    <row r="434" spans="1:9" x14ac:dyDescent="0.3">
      <c r="A434" s="30" t="s">
        <v>480</v>
      </c>
      <c r="B434" s="33" t="s">
        <v>23</v>
      </c>
      <c r="C434" s="33">
        <v>1</v>
      </c>
      <c r="D434" s="34" t="s">
        <v>200</v>
      </c>
      <c r="E434" s="34" t="s">
        <v>209</v>
      </c>
      <c r="F434" s="33">
        <v>0</v>
      </c>
      <c r="G434" s="33">
        <v>0.3</v>
      </c>
      <c r="H434" s="33" t="s">
        <v>202</v>
      </c>
      <c r="I434" s="33">
        <v>100</v>
      </c>
    </row>
    <row r="435" spans="1:9" x14ac:dyDescent="0.3">
      <c r="A435" s="30" t="s">
        <v>480</v>
      </c>
      <c r="B435" s="33" t="s">
        <v>23</v>
      </c>
      <c r="C435" s="33">
        <v>1</v>
      </c>
      <c r="D435" s="34" t="s">
        <v>200</v>
      </c>
      <c r="E435" s="34" t="s">
        <v>210</v>
      </c>
      <c r="F435" s="33">
        <v>0</v>
      </c>
      <c r="G435" s="33">
        <v>0.2</v>
      </c>
      <c r="H435" s="33" t="s">
        <v>202</v>
      </c>
      <c r="I435" s="33">
        <v>100</v>
      </c>
    </row>
    <row r="436" spans="1:9" x14ac:dyDescent="0.3">
      <c r="A436" s="30" t="s">
        <v>480</v>
      </c>
      <c r="B436" s="33" t="s">
        <v>23</v>
      </c>
      <c r="C436" s="33">
        <v>1</v>
      </c>
      <c r="D436" s="34" t="s">
        <v>200</v>
      </c>
      <c r="E436" s="34" t="s">
        <v>211</v>
      </c>
      <c r="F436" s="33">
        <v>0</v>
      </c>
      <c r="G436" s="33">
        <v>0.15</v>
      </c>
      <c r="H436" s="33" t="s">
        <v>202</v>
      </c>
      <c r="I436" s="33">
        <v>100</v>
      </c>
    </row>
    <row r="437" spans="1:9" x14ac:dyDescent="0.3">
      <c r="A437" s="30" t="s">
        <v>480</v>
      </c>
      <c r="B437" s="33" t="s">
        <v>23</v>
      </c>
      <c r="C437" s="33">
        <v>1</v>
      </c>
      <c r="D437" s="34" t="s">
        <v>200</v>
      </c>
      <c r="E437" s="34" t="s">
        <v>212</v>
      </c>
      <c r="F437" s="33">
        <v>0</v>
      </c>
      <c r="G437" s="33">
        <v>0.15</v>
      </c>
      <c r="H437" s="33" t="s">
        <v>202</v>
      </c>
      <c r="I437" s="33">
        <v>100</v>
      </c>
    </row>
    <row r="438" spans="1:9" x14ac:dyDescent="0.3">
      <c r="A438" s="30" t="s">
        <v>480</v>
      </c>
      <c r="B438" s="33" t="s">
        <v>23</v>
      </c>
      <c r="C438" s="33">
        <v>1</v>
      </c>
      <c r="D438" s="34" t="s">
        <v>200</v>
      </c>
      <c r="E438" s="34" t="s">
        <v>213</v>
      </c>
      <c r="F438" s="33">
        <v>0</v>
      </c>
      <c r="G438" s="33">
        <v>0.15</v>
      </c>
      <c r="H438" s="33" t="s">
        <v>202</v>
      </c>
      <c r="I438" s="33">
        <v>100</v>
      </c>
    </row>
    <row r="439" spans="1:9" x14ac:dyDescent="0.3">
      <c r="A439" s="30" t="s">
        <v>480</v>
      </c>
      <c r="B439" s="33" t="s">
        <v>23</v>
      </c>
      <c r="C439" s="33">
        <v>1</v>
      </c>
      <c r="D439" s="34" t="s">
        <v>200</v>
      </c>
      <c r="E439" s="34" t="s">
        <v>214</v>
      </c>
      <c r="F439" s="33">
        <v>0</v>
      </c>
      <c r="G439" s="33">
        <v>0.15</v>
      </c>
      <c r="H439" s="33" t="s">
        <v>202</v>
      </c>
      <c r="I439" s="33">
        <v>100</v>
      </c>
    </row>
    <row r="440" spans="1:9" x14ac:dyDescent="0.3">
      <c r="A440" s="30" t="s">
        <v>480</v>
      </c>
      <c r="B440" s="33" t="s">
        <v>23</v>
      </c>
      <c r="C440" s="33">
        <v>1</v>
      </c>
      <c r="D440" s="34" t="s">
        <v>200</v>
      </c>
      <c r="E440" s="34" t="s">
        <v>201</v>
      </c>
      <c r="F440" s="33">
        <v>0</v>
      </c>
      <c r="G440" s="33">
        <v>0.5</v>
      </c>
      <c r="H440" s="33" t="s">
        <v>215</v>
      </c>
      <c r="I440" s="33">
        <v>500</v>
      </c>
    </row>
    <row r="441" spans="1:9" x14ac:dyDescent="0.3">
      <c r="A441" s="30" t="s">
        <v>480</v>
      </c>
      <c r="B441" s="33" t="s">
        <v>23</v>
      </c>
      <c r="C441" s="33">
        <v>1</v>
      </c>
      <c r="D441" s="34" t="s">
        <v>200</v>
      </c>
      <c r="E441" s="34" t="s">
        <v>203</v>
      </c>
      <c r="F441" s="33">
        <v>0</v>
      </c>
      <c r="G441" s="33">
        <v>0.5</v>
      </c>
      <c r="H441" s="33" t="s">
        <v>215</v>
      </c>
      <c r="I441" s="33">
        <v>500</v>
      </c>
    </row>
    <row r="442" spans="1:9" x14ac:dyDescent="0.3">
      <c r="A442" s="30" t="s">
        <v>480</v>
      </c>
      <c r="B442" s="33" t="s">
        <v>23</v>
      </c>
      <c r="C442" s="33">
        <v>1</v>
      </c>
      <c r="D442" s="34" t="s">
        <v>200</v>
      </c>
      <c r="E442" s="34" t="s">
        <v>204</v>
      </c>
      <c r="F442" s="33">
        <v>0</v>
      </c>
      <c r="G442" s="33">
        <v>0.5</v>
      </c>
      <c r="H442" s="33" t="s">
        <v>215</v>
      </c>
      <c r="I442" s="33">
        <v>500</v>
      </c>
    </row>
    <row r="443" spans="1:9" x14ac:dyDescent="0.3">
      <c r="A443" s="30" t="s">
        <v>480</v>
      </c>
      <c r="B443" s="33" t="s">
        <v>23</v>
      </c>
      <c r="C443" s="33">
        <v>1</v>
      </c>
      <c r="D443" s="34" t="s">
        <v>200</v>
      </c>
      <c r="E443" s="34" t="s">
        <v>205</v>
      </c>
      <c r="F443" s="33">
        <v>0</v>
      </c>
      <c r="G443" s="33">
        <v>0.5</v>
      </c>
      <c r="H443" s="33" t="s">
        <v>215</v>
      </c>
      <c r="I443" s="33">
        <v>500</v>
      </c>
    </row>
    <row r="444" spans="1:9" x14ac:dyDescent="0.3">
      <c r="A444" s="30" t="s">
        <v>480</v>
      </c>
      <c r="B444" s="33" t="s">
        <v>23</v>
      </c>
      <c r="C444" s="33">
        <v>1</v>
      </c>
      <c r="D444" s="34" t="s">
        <v>200</v>
      </c>
      <c r="E444" s="34" t="s">
        <v>206</v>
      </c>
      <c r="F444" s="33">
        <v>0</v>
      </c>
      <c r="G444" s="33">
        <v>0.5</v>
      </c>
      <c r="H444" s="33" t="s">
        <v>215</v>
      </c>
      <c r="I444" s="33">
        <v>500</v>
      </c>
    </row>
    <row r="445" spans="1:9" x14ac:dyDescent="0.3">
      <c r="A445" s="30" t="s">
        <v>480</v>
      </c>
      <c r="B445" s="33" t="s">
        <v>23</v>
      </c>
      <c r="C445" s="33">
        <v>1</v>
      </c>
      <c r="D445" s="34" t="s">
        <v>200</v>
      </c>
      <c r="E445" s="34" t="s">
        <v>207</v>
      </c>
      <c r="F445" s="33">
        <v>0</v>
      </c>
      <c r="G445" s="33">
        <v>0.35</v>
      </c>
      <c r="H445" s="33" t="s">
        <v>215</v>
      </c>
      <c r="I445" s="33">
        <v>500</v>
      </c>
    </row>
    <row r="446" spans="1:9" x14ac:dyDescent="0.3">
      <c r="A446" s="30" t="s">
        <v>480</v>
      </c>
      <c r="B446" s="33" t="s">
        <v>23</v>
      </c>
      <c r="C446" s="33">
        <v>1</v>
      </c>
      <c r="D446" s="34" t="s">
        <v>200</v>
      </c>
      <c r="E446" s="34" t="s">
        <v>208</v>
      </c>
      <c r="F446" s="33">
        <v>0</v>
      </c>
      <c r="G446" s="33">
        <v>0.3</v>
      </c>
      <c r="H446" s="33" t="s">
        <v>215</v>
      </c>
      <c r="I446" s="33">
        <v>500</v>
      </c>
    </row>
    <row r="447" spans="1:9" x14ac:dyDescent="0.3">
      <c r="A447" s="30" t="s">
        <v>480</v>
      </c>
      <c r="B447" s="33" t="s">
        <v>23</v>
      </c>
      <c r="C447" s="33">
        <v>1</v>
      </c>
      <c r="D447" s="34" t="s">
        <v>200</v>
      </c>
      <c r="E447" s="34" t="s">
        <v>209</v>
      </c>
      <c r="F447" s="33">
        <v>0</v>
      </c>
      <c r="G447" s="33">
        <v>0.5</v>
      </c>
      <c r="H447" s="33" t="s">
        <v>215</v>
      </c>
      <c r="I447" s="33">
        <v>500</v>
      </c>
    </row>
    <row r="448" spans="1:9" x14ac:dyDescent="0.3">
      <c r="A448" s="30" t="s">
        <v>480</v>
      </c>
      <c r="B448" s="33" t="s">
        <v>23</v>
      </c>
      <c r="C448" s="33">
        <v>1</v>
      </c>
      <c r="D448" s="34" t="s">
        <v>200</v>
      </c>
      <c r="E448" s="34" t="s">
        <v>210</v>
      </c>
      <c r="F448" s="33">
        <v>0</v>
      </c>
      <c r="G448" s="33">
        <v>0.3</v>
      </c>
      <c r="H448" s="33" t="s">
        <v>215</v>
      </c>
      <c r="I448" s="33">
        <v>500</v>
      </c>
    </row>
    <row r="449" spans="1:9" x14ac:dyDescent="0.3">
      <c r="A449" s="30" t="s">
        <v>480</v>
      </c>
      <c r="B449" s="33" t="s">
        <v>23</v>
      </c>
      <c r="C449" s="33">
        <v>1</v>
      </c>
      <c r="D449" s="34" t="s">
        <v>200</v>
      </c>
      <c r="E449" s="34" t="s">
        <v>211</v>
      </c>
      <c r="F449" s="33">
        <v>0</v>
      </c>
      <c r="G449" s="33">
        <v>0.25</v>
      </c>
      <c r="H449" s="33" t="s">
        <v>215</v>
      </c>
      <c r="I449" s="33">
        <v>500</v>
      </c>
    </row>
    <row r="450" spans="1:9" x14ac:dyDescent="0.3">
      <c r="A450" s="30" t="s">
        <v>480</v>
      </c>
      <c r="B450" s="33" t="s">
        <v>23</v>
      </c>
      <c r="C450" s="33">
        <v>1</v>
      </c>
      <c r="D450" s="34" t="s">
        <v>200</v>
      </c>
      <c r="E450" s="34" t="s">
        <v>212</v>
      </c>
      <c r="F450" s="33">
        <v>0</v>
      </c>
      <c r="G450" s="33">
        <v>0.25</v>
      </c>
      <c r="H450" s="33" t="s">
        <v>215</v>
      </c>
      <c r="I450" s="33">
        <v>500</v>
      </c>
    </row>
    <row r="451" spans="1:9" x14ac:dyDescent="0.3">
      <c r="A451" s="30" t="s">
        <v>480</v>
      </c>
      <c r="B451" s="33" t="s">
        <v>23</v>
      </c>
      <c r="C451" s="33">
        <v>1</v>
      </c>
      <c r="D451" s="34" t="s">
        <v>200</v>
      </c>
      <c r="E451" s="34" t="s">
        <v>213</v>
      </c>
      <c r="F451" s="33">
        <v>0</v>
      </c>
      <c r="G451" s="33">
        <v>0.25</v>
      </c>
      <c r="H451" s="33" t="s">
        <v>215</v>
      </c>
      <c r="I451" s="33">
        <v>500</v>
      </c>
    </row>
    <row r="452" spans="1:9" x14ac:dyDescent="0.3">
      <c r="A452" s="30" t="s">
        <v>480</v>
      </c>
      <c r="B452" s="33" t="s">
        <v>23</v>
      </c>
      <c r="C452" s="33">
        <v>1</v>
      </c>
      <c r="D452" s="34" t="s">
        <v>200</v>
      </c>
      <c r="E452" s="34" t="s">
        <v>214</v>
      </c>
      <c r="F452" s="33">
        <v>0</v>
      </c>
      <c r="G452" s="33">
        <v>0.25</v>
      </c>
      <c r="H452" s="33" t="s">
        <v>215</v>
      </c>
      <c r="I452" s="33">
        <v>500</v>
      </c>
    </row>
    <row r="453" spans="1:9" x14ac:dyDescent="0.3">
      <c r="A453" s="30" t="s">
        <v>480</v>
      </c>
      <c r="B453" s="33" t="s">
        <v>23</v>
      </c>
      <c r="C453" s="33">
        <v>1</v>
      </c>
      <c r="D453" s="34" t="s">
        <v>200</v>
      </c>
      <c r="E453" s="34" t="s">
        <v>216</v>
      </c>
      <c r="F453" s="33">
        <v>0</v>
      </c>
      <c r="G453" s="33">
        <v>0.3</v>
      </c>
      <c r="H453" s="33" t="s">
        <v>202</v>
      </c>
      <c r="I453" s="33">
        <v>100</v>
      </c>
    </row>
    <row r="454" spans="1:9" x14ac:dyDescent="0.3">
      <c r="A454" s="30" t="s">
        <v>480</v>
      </c>
      <c r="B454" s="33" t="s">
        <v>23</v>
      </c>
      <c r="C454" s="33">
        <v>1</v>
      </c>
      <c r="D454" s="34" t="s">
        <v>200</v>
      </c>
      <c r="E454" s="34" t="s">
        <v>216</v>
      </c>
      <c r="F454" s="33">
        <v>0</v>
      </c>
      <c r="G454" s="33">
        <v>0.45</v>
      </c>
      <c r="H454" s="33" t="s">
        <v>215</v>
      </c>
      <c r="I454" s="33">
        <v>500</v>
      </c>
    </row>
    <row r="455" spans="1:9" x14ac:dyDescent="0.3">
      <c r="A455" s="30" t="s">
        <v>480</v>
      </c>
      <c r="B455" s="33" t="s">
        <v>23</v>
      </c>
      <c r="C455" s="33">
        <v>1</v>
      </c>
      <c r="D455" s="34" t="s">
        <v>200</v>
      </c>
      <c r="E455" s="34" t="s">
        <v>217</v>
      </c>
      <c r="F455" s="33">
        <v>0</v>
      </c>
      <c r="G455" s="33">
        <v>0.2</v>
      </c>
      <c r="H455" s="33" t="s">
        <v>202</v>
      </c>
      <c r="I455" s="33">
        <v>100</v>
      </c>
    </row>
    <row r="456" spans="1:9" x14ac:dyDescent="0.3">
      <c r="A456" s="30" t="s">
        <v>480</v>
      </c>
      <c r="B456" s="33" t="s">
        <v>23</v>
      </c>
      <c r="C456" s="33">
        <v>1</v>
      </c>
      <c r="D456" s="34" t="s">
        <v>200</v>
      </c>
      <c r="E456" s="34" t="s">
        <v>218</v>
      </c>
      <c r="F456" s="33">
        <v>0</v>
      </c>
      <c r="G456" s="33">
        <v>0.2</v>
      </c>
      <c r="H456" s="33" t="s">
        <v>202</v>
      </c>
      <c r="I456" s="33">
        <v>100</v>
      </c>
    </row>
    <row r="457" spans="1:9" x14ac:dyDescent="0.3">
      <c r="A457" s="30" t="s">
        <v>480</v>
      </c>
      <c r="B457" s="33" t="s">
        <v>23</v>
      </c>
      <c r="C457" s="33">
        <v>1</v>
      </c>
      <c r="D457" s="34" t="s">
        <v>200</v>
      </c>
      <c r="E457" s="34" t="s">
        <v>219</v>
      </c>
      <c r="F457" s="33">
        <v>0</v>
      </c>
      <c r="G457" s="33">
        <v>0.2</v>
      </c>
      <c r="H457" s="33" t="s">
        <v>202</v>
      </c>
      <c r="I457" s="33">
        <v>100</v>
      </c>
    </row>
    <row r="458" spans="1:9" x14ac:dyDescent="0.3">
      <c r="A458" s="30" t="s">
        <v>480</v>
      </c>
      <c r="B458" s="33" t="s">
        <v>23</v>
      </c>
      <c r="C458" s="33">
        <v>1</v>
      </c>
      <c r="D458" s="34" t="s">
        <v>200</v>
      </c>
      <c r="E458" s="34" t="s">
        <v>220</v>
      </c>
      <c r="F458" s="33">
        <v>0</v>
      </c>
      <c r="G458" s="33">
        <v>0.2</v>
      </c>
      <c r="H458" s="33" t="s">
        <v>202</v>
      </c>
      <c r="I458" s="33">
        <v>100</v>
      </c>
    </row>
    <row r="459" spans="1:9" x14ac:dyDescent="0.3">
      <c r="A459" s="30" t="s">
        <v>480</v>
      </c>
      <c r="B459" s="33" t="s">
        <v>23</v>
      </c>
      <c r="C459" s="33">
        <v>1</v>
      </c>
      <c r="D459" s="34" t="s">
        <v>200</v>
      </c>
      <c r="E459" s="34" t="s">
        <v>217</v>
      </c>
      <c r="F459" s="33">
        <v>0</v>
      </c>
      <c r="G459" s="33">
        <v>0.35</v>
      </c>
      <c r="H459" s="33" t="s">
        <v>215</v>
      </c>
      <c r="I459" s="33">
        <v>500</v>
      </c>
    </row>
    <row r="460" spans="1:9" x14ac:dyDescent="0.3">
      <c r="A460" s="30" t="s">
        <v>480</v>
      </c>
      <c r="B460" s="33" t="s">
        <v>23</v>
      </c>
      <c r="C460" s="33">
        <v>1</v>
      </c>
      <c r="D460" s="34" t="s">
        <v>200</v>
      </c>
      <c r="E460" s="34" t="s">
        <v>218</v>
      </c>
      <c r="F460" s="33">
        <v>0</v>
      </c>
      <c r="G460" s="33">
        <v>0.35</v>
      </c>
      <c r="H460" s="33" t="s">
        <v>215</v>
      </c>
      <c r="I460" s="33">
        <v>500</v>
      </c>
    </row>
    <row r="461" spans="1:9" x14ac:dyDescent="0.3">
      <c r="A461" s="30" t="s">
        <v>480</v>
      </c>
      <c r="B461" s="33" t="s">
        <v>23</v>
      </c>
      <c r="C461" s="33">
        <v>1</v>
      </c>
      <c r="D461" s="34" t="s">
        <v>200</v>
      </c>
      <c r="E461" s="34" t="s">
        <v>219</v>
      </c>
      <c r="F461" s="33">
        <v>0</v>
      </c>
      <c r="G461" s="33">
        <v>0.35</v>
      </c>
      <c r="H461" s="33" t="s">
        <v>215</v>
      </c>
      <c r="I461" s="33">
        <v>500</v>
      </c>
    </row>
    <row r="462" spans="1:9" x14ac:dyDescent="0.3">
      <c r="A462" s="30" t="s">
        <v>480</v>
      </c>
      <c r="B462" s="33" t="s">
        <v>23</v>
      </c>
      <c r="C462" s="33">
        <v>1</v>
      </c>
      <c r="D462" s="34" t="s">
        <v>200</v>
      </c>
      <c r="E462" s="34" t="s">
        <v>220</v>
      </c>
      <c r="F462" s="33">
        <v>0</v>
      </c>
      <c r="G462" s="33">
        <v>0.35</v>
      </c>
      <c r="H462" s="33" t="s">
        <v>215</v>
      </c>
      <c r="I462" s="33">
        <v>500</v>
      </c>
    </row>
    <row r="463" spans="1:9" x14ac:dyDescent="0.3">
      <c r="A463" s="30" t="s">
        <v>480</v>
      </c>
      <c r="B463" s="33" t="s">
        <v>23</v>
      </c>
      <c r="C463" s="33">
        <v>1</v>
      </c>
      <c r="D463" s="34" t="s">
        <v>221</v>
      </c>
      <c r="E463" s="34" t="s">
        <v>198</v>
      </c>
      <c r="F463" s="33">
        <v>0</v>
      </c>
      <c r="G463" s="33">
        <v>0.5</v>
      </c>
      <c r="H463" s="33"/>
      <c r="I463" s="33">
        <v>0</v>
      </c>
    </row>
    <row r="464" spans="1:9" x14ac:dyDescent="0.3">
      <c r="A464" s="30" t="s">
        <v>481</v>
      </c>
      <c r="B464" s="33" t="s">
        <v>23</v>
      </c>
      <c r="C464" s="33">
        <v>1</v>
      </c>
      <c r="D464" s="34" t="s">
        <v>188</v>
      </c>
      <c r="E464" s="34" t="s">
        <v>189</v>
      </c>
      <c r="F464" s="33">
        <v>0</v>
      </c>
      <c r="G464" s="33">
        <v>0.15</v>
      </c>
      <c r="H464" s="33"/>
      <c r="I464" s="33">
        <v>0</v>
      </c>
    </row>
    <row r="465" spans="1:9" x14ac:dyDescent="0.3">
      <c r="A465" s="30" t="s">
        <v>481</v>
      </c>
      <c r="B465" s="33" t="s">
        <v>23</v>
      </c>
      <c r="C465" s="33">
        <v>1</v>
      </c>
      <c r="D465" s="34" t="s">
        <v>190</v>
      </c>
      <c r="E465" s="34" t="s">
        <v>198</v>
      </c>
      <c r="F465" s="33">
        <v>0</v>
      </c>
      <c r="G465" s="33">
        <v>0.3</v>
      </c>
      <c r="H465" s="33"/>
      <c r="I465" s="33">
        <v>0</v>
      </c>
    </row>
    <row r="466" spans="1:9" x14ac:dyDescent="0.3">
      <c r="A466" s="30" t="s">
        <v>481</v>
      </c>
      <c r="B466" s="33" t="s">
        <v>23</v>
      </c>
      <c r="C466" s="33">
        <v>1</v>
      </c>
      <c r="D466" s="34" t="s">
        <v>197</v>
      </c>
      <c r="E466" s="34" t="s">
        <v>198</v>
      </c>
      <c r="F466" s="33">
        <v>0</v>
      </c>
      <c r="G466" s="33">
        <v>0.05</v>
      </c>
      <c r="H466" s="33"/>
      <c r="I466" s="33">
        <v>0</v>
      </c>
    </row>
    <row r="467" spans="1:9" x14ac:dyDescent="0.3">
      <c r="A467" s="30" t="s">
        <v>481</v>
      </c>
      <c r="B467" s="33" t="s">
        <v>23</v>
      </c>
      <c r="C467" s="33">
        <v>1</v>
      </c>
      <c r="D467" s="34" t="s">
        <v>197</v>
      </c>
      <c r="E467" s="34" t="s">
        <v>199</v>
      </c>
      <c r="F467" s="33">
        <v>0</v>
      </c>
      <c r="G467" s="33">
        <v>0</v>
      </c>
      <c r="H467" s="33"/>
      <c r="I467" s="33">
        <v>0</v>
      </c>
    </row>
    <row r="468" spans="1:9" x14ac:dyDescent="0.3">
      <c r="A468" s="30" t="s">
        <v>481</v>
      </c>
      <c r="B468" s="33" t="s">
        <v>23</v>
      </c>
      <c r="C468" s="33">
        <v>1</v>
      </c>
      <c r="D468" s="34" t="s">
        <v>200</v>
      </c>
      <c r="E468" s="34" t="s">
        <v>201</v>
      </c>
      <c r="F468" s="33">
        <v>0</v>
      </c>
      <c r="G468" s="33">
        <v>0.35</v>
      </c>
      <c r="H468" s="33" t="s">
        <v>202</v>
      </c>
      <c r="I468" s="33">
        <v>100</v>
      </c>
    </row>
    <row r="469" spans="1:9" x14ac:dyDescent="0.3">
      <c r="A469" s="30" t="s">
        <v>481</v>
      </c>
      <c r="B469" s="33" t="s">
        <v>23</v>
      </c>
      <c r="C469" s="33">
        <v>1</v>
      </c>
      <c r="D469" s="34" t="s">
        <v>200</v>
      </c>
      <c r="E469" s="34" t="s">
        <v>203</v>
      </c>
      <c r="F469" s="33">
        <v>0</v>
      </c>
      <c r="G469" s="33">
        <v>0.3</v>
      </c>
      <c r="H469" s="33" t="s">
        <v>202</v>
      </c>
      <c r="I469" s="33">
        <v>100</v>
      </c>
    </row>
    <row r="470" spans="1:9" x14ac:dyDescent="0.3">
      <c r="A470" s="30" t="s">
        <v>481</v>
      </c>
      <c r="B470" s="33" t="s">
        <v>23</v>
      </c>
      <c r="C470" s="33">
        <v>1</v>
      </c>
      <c r="D470" s="34" t="s">
        <v>200</v>
      </c>
      <c r="E470" s="34" t="s">
        <v>204</v>
      </c>
      <c r="F470" s="33">
        <v>0</v>
      </c>
      <c r="G470" s="33">
        <v>0.3</v>
      </c>
      <c r="H470" s="33" t="s">
        <v>202</v>
      </c>
      <c r="I470" s="33">
        <v>100</v>
      </c>
    </row>
    <row r="471" spans="1:9" x14ac:dyDescent="0.3">
      <c r="A471" s="30" t="s">
        <v>481</v>
      </c>
      <c r="B471" s="33" t="s">
        <v>23</v>
      </c>
      <c r="C471" s="33">
        <v>1</v>
      </c>
      <c r="D471" s="34" t="s">
        <v>200</v>
      </c>
      <c r="E471" s="34" t="s">
        <v>205</v>
      </c>
      <c r="F471" s="33">
        <v>0</v>
      </c>
      <c r="G471" s="33">
        <v>0.3</v>
      </c>
      <c r="H471" s="33" t="s">
        <v>202</v>
      </c>
      <c r="I471" s="33">
        <v>100</v>
      </c>
    </row>
    <row r="472" spans="1:9" x14ac:dyDescent="0.3">
      <c r="A472" s="30" t="s">
        <v>481</v>
      </c>
      <c r="B472" s="33" t="s">
        <v>23</v>
      </c>
      <c r="C472" s="33">
        <v>1</v>
      </c>
      <c r="D472" s="34" t="s">
        <v>200</v>
      </c>
      <c r="E472" s="34" t="s">
        <v>206</v>
      </c>
      <c r="F472" s="33">
        <v>0</v>
      </c>
      <c r="G472" s="33">
        <v>0.3</v>
      </c>
      <c r="H472" s="33" t="s">
        <v>202</v>
      </c>
      <c r="I472" s="33">
        <v>100</v>
      </c>
    </row>
    <row r="473" spans="1:9" x14ac:dyDescent="0.3">
      <c r="A473" s="30" t="s">
        <v>481</v>
      </c>
      <c r="B473" s="33" t="s">
        <v>23</v>
      </c>
      <c r="C473" s="33">
        <v>1</v>
      </c>
      <c r="D473" s="34" t="s">
        <v>200</v>
      </c>
      <c r="E473" s="34" t="s">
        <v>207</v>
      </c>
      <c r="F473" s="33">
        <v>0</v>
      </c>
      <c r="G473" s="33">
        <v>0.2</v>
      </c>
      <c r="H473" s="33" t="s">
        <v>202</v>
      </c>
      <c r="I473" s="33">
        <v>100</v>
      </c>
    </row>
    <row r="474" spans="1:9" x14ac:dyDescent="0.3">
      <c r="A474" s="30" t="s">
        <v>481</v>
      </c>
      <c r="B474" s="33" t="s">
        <v>23</v>
      </c>
      <c r="C474" s="33">
        <v>1</v>
      </c>
      <c r="D474" s="34" t="s">
        <v>200</v>
      </c>
      <c r="E474" s="34" t="s">
        <v>208</v>
      </c>
      <c r="F474" s="33">
        <v>0</v>
      </c>
      <c r="G474" s="33">
        <v>0.2</v>
      </c>
      <c r="H474" s="33" t="s">
        <v>202</v>
      </c>
      <c r="I474" s="33">
        <v>100</v>
      </c>
    </row>
    <row r="475" spans="1:9" x14ac:dyDescent="0.3">
      <c r="A475" s="30" t="s">
        <v>481</v>
      </c>
      <c r="B475" s="33" t="s">
        <v>23</v>
      </c>
      <c r="C475" s="33">
        <v>1</v>
      </c>
      <c r="D475" s="34" t="s">
        <v>200</v>
      </c>
      <c r="E475" s="34" t="s">
        <v>209</v>
      </c>
      <c r="F475" s="33">
        <v>0</v>
      </c>
      <c r="G475" s="33">
        <v>0.3</v>
      </c>
      <c r="H475" s="33" t="s">
        <v>202</v>
      </c>
      <c r="I475" s="33">
        <v>100</v>
      </c>
    </row>
    <row r="476" spans="1:9" x14ac:dyDescent="0.3">
      <c r="A476" s="30" t="s">
        <v>481</v>
      </c>
      <c r="B476" s="33" t="s">
        <v>23</v>
      </c>
      <c r="C476" s="33">
        <v>1</v>
      </c>
      <c r="D476" s="34" t="s">
        <v>200</v>
      </c>
      <c r="E476" s="34" t="s">
        <v>210</v>
      </c>
      <c r="F476" s="33">
        <v>0</v>
      </c>
      <c r="G476" s="33">
        <v>0.2</v>
      </c>
      <c r="H476" s="33" t="s">
        <v>202</v>
      </c>
      <c r="I476" s="33">
        <v>100</v>
      </c>
    </row>
    <row r="477" spans="1:9" x14ac:dyDescent="0.3">
      <c r="A477" s="30" t="s">
        <v>481</v>
      </c>
      <c r="B477" s="33" t="s">
        <v>23</v>
      </c>
      <c r="C477" s="33">
        <v>1</v>
      </c>
      <c r="D477" s="34" t="s">
        <v>200</v>
      </c>
      <c r="E477" s="34" t="s">
        <v>211</v>
      </c>
      <c r="F477" s="33">
        <v>0</v>
      </c>
      <c r="G477" s="33">
        <v>0.15</v>
      </c>
      <c r="H477" s="33" t="s">
        <v>202</v>
      </c>
      <c r="I477" s="33">
        <v>100</v>
      </c>
    </row>
    <row r="478" spans="1:9" x14ac:dyDescent="0.3">
      <c r="A478" s="30" t="s">
        <v>481</v>
      </c>
      <c r="B478" s="33" t="s">
        <v>23</v>
      </c>
      <c r="C478" s="33">
        <v>1</v>
      </c>
      <c r="D478" s="34" t="s">
        <v>200</v>
      </c>
      <c r="E478" s="34" t="s">
        <v>212</v>
      </c>
      <c r="F478" s="33">
        <v>0</v>
      </c>
      <c r="G478" s="33">
        <v>0.15</v>
      </c>
      <c r="H478" s="33" t="s">
        <v>202</v>
      </c>
      <c r="I478" s="33">
        <v>100</v>
      </c>
    </row>
    <row r="479" spans="1:9" x14ac:dyDescent="0.3">
      <c r="A479" s="30" t="s">
        <v>481</v>
      </c>
      <c r="B479" s="33" t="s">
        <v>23</v>
      </c>
      <c r="C479" s="33">
        <v>1</v>
      </c>
      <c r="D479" s="34" t="s">
        <v>200</v>
      </c>
      <c r="E479" s="34" t="s">
        <v>213</v>
      </c>
      <c r="F479" s="33">
        <v>0</v>
      </c>
      <c r="G479" s="33">
        <v>0.15</v>
      </c>
      <c r="H479" s="33" t="s">
        <v>202</v>
      </c>
      <c r="I479" s="33">
        <v>100</v>
      </c>
    </row>
    <row r="480" spans="1:9" x14ac:dyDescent="0.3">
      <c r="A480" s="30" t="s">
        <v>481</v>
      </c>
      <c r="B480" s="33" t="s">
        <v>23</v>
      </c>
      <c r="C480" s="33">
        <v>1</v>
      </c>
      <c r="D480" s="34" t="s">
        <v>200</v>
      </c>
      <c r="E480" s="34" t="s">
        <v>214</v>
      </c>
      <c r="F480" s="33">
        <v>0</v>
      </c>
      <c r="G480" s="33">
        <v>0.15</v>
      </c>
      <c r="H480" s="33" t="s">
        <v>202</v>
      </c>
      <c r="I480" s="33">
        <v>100</v>
      </c>
    </row>
    <row r="481" spans="1:9" x14ac:dyDescent="0.3">
      <c r="A481" s="30" t="s">
        <v>481</v>
      </c>
      <c r="B481" s="33" t="s">
        <v>23</v>
      </c>
      <c r="C481" s="33">
        <v>1</v>
      </c>
      <c r="D481" s="34" t="s">
        <v>200</v>
      </c>
      <c r="E481" s="34" t="s">
        <v>201</v>
      </c>
      <c r="F481" s="33">
        <v>0</v>
      </c>
      <c r="G481" s="33">
        <v>0.5</v>
      </c>
      <c r="H481" s="33" t="s">
        <v>215</v>
      </c>
      <c r="I481" s="33">
        <v>500</v>
      </c>
    </row>
    <row r="482" spans="1:9" x14ac:dyDescent="0.3">
      <c r="A482" s="30" t="s">
        <v>481</v>
      </c>
      <c r="B482" s="33" t="s">
        <v>23</v>
      </c>
      <c r="C482" s="33">
        <v>1</v>
      </c>
      <c r="D482" s="34" t="s">
        <v>200</v>
      </c>
      <c r="E482" s="34" t="s">
        <v>203</v>
      </c>
      <c r="F482" s="33">
        <v>0</v>
      </c>
      <c r="G482" s="33">
        <v>0.5</v>
      </c>
      <c r="H482" s="33" t="s">
        <v>215</v>
      </c>
      <c r="I482" s="33">
        <v>500</v>
      </c>
    </row>
    <row r="483" spans="1:9" x14ac:dyDescent="0.3">
      <c r="A483" s="30" t="s">
        <v>481</v>
      </c>
      <c r="B483" s="33" t="s">
        <v>23</v>
      </c>
      <c r="C483" s="33">
        <v>1</v>
      </c>
      <c r="D483" s="34" t="s">
        <v>200</v>
      </c>
      <c r="E483" s="34" t="s">
        <v>204</v>
      </c>
      <c r="F483" s="33">
        <v>0</v>
      </c>
      <c r="G483" s="33">
        <v>0.5</v>
      </c>
      <c r="H483" s="33" t="s">
        <v>215</v>
      </c>
      <c r="I483" s="33">
        <v>500</v>
      </c>
    </row>
    <row r="484" spans="1:9" x14ac:dyDescent="0.3">
      <c r="A484" s="30" t="s">
        <v>481</v>
      </c>
      <c r="B484" s="33" t="s">
        <v>23</v>
      </c>
      <c r="C484" s="33">
        <v>1</v>
      </c>
      <c r="D484" s="34" t="s">
        <v>200</v>
      </c>
      <c r="E484" s="34" t="s">
        <v>205</v>
      </c>
      <c r="F484" s="33">
        <v>0</v>
      </c>
      <c r="G484" s="33">
        <v>0.5</v>
      </c>
      <c r="H484" s="33" t="s">
        <v>215</v>
      </c>
      <c r="I484" s="33">
        <v>500</v>
      </c>
    </row>
    <row r="485" spans="1:9" x14ac:dyDescent="0.3">
      <c r="A485" s="30" t="s">
        <v>481</v>
      </c>
      <c r="B485" s="33" t="s">
        <v>23</v>
      </c>
      <c r="C485" s="33">
        <v>1</v>
      </c>
      <c r="D485" s="34" t="s">
        <v>200</v>
      </c>
      <c r="E485" s="34" t="s">
        <v>206</v>
      </c>
      <c r="F485" s="33">
        <v>0</v>
      </c>
      <c r="G485" s="33">
        <v>0.5</v>
      </c>
      <c r="H485" s="33" t="s">
        <v>215</v>
      </c>
      <c r="I485" s="33">
        <v>500</v>
      </c>
    </row>
    <row r="486" spans="1:9" x14ac:dyDescent="0.3">
      <c r="A486" s="30" t="s">
        <v>481</v>
      </c>
      <c r="B486" s="33" t="s">
        <v>23</v>
      </c>
      <c r="C486" s="33">
        <v>1</v>
      </c>
      <c r="D486" s="34" t="s">
        <v>200</v>
      </c>
      <c r="E486" s="34" t="s">
        <v>207</v>
      </c>
      <c r="F486" s="33">
        <v>0</v>
      </c>
      <c r="G486" s="33">
        <v>0.35</v>
      </c>
      <c r="H486" s="33" t="s">
        <v>215</v>
      </c>
      <c r="I486" s="33">
        <v>500</v>
      </c>
    </row>
    <row r="487" spans="1:9" x14ac:dyDescent="0.3">
      <c r="A487" s="30" t="s">
        <v>481</v>
      </c>
      <c r="B487" s="33" t="s">
        <v>23</v>
      </c>
      <c r="C487" s="33">
        <v>1</v>
      </c>
      <c r="D487" s="34" t="s">
        <v>200</v>
      </c>
      <c r="E487" s="34" t="s">
        <v>208</v>
      </c>
      <c r="F487" s="33">
        <v>0</v>
      </c>
      <c r="G487" s="33">
        <v>0.3</v>
      </c>
      <c r="H487" s="33" t="s">
        <v>215</v>
      </c>
      <c r="I487" s="33">
        <v>500</v>
      </c>
    </row>
    <row r="488" spans="1:9" x14ac:dyDescent="0.3">
      <c r="A488" s="30" t="s">
        <v>481</v>
      </c>
      <c r="B488" s="33" t="s">
        <v>23</v>
      </c>
      <c r="C488" s="33">
        <v>1</v>
      </c>
      <c r="D488" s="34" t="s">
        <v>200</v>
      </c>
      <c r="E488" s="34" t="s">
        <v>209</v>
      </c>
      <c r="F488" s="33">
        <v>0</v>
      </c>
      <c r="G488" s="33">
        <v>0.5</v>
      </c>
      <c r="H488" s="33" t="s">
        <v>215</v>
      </c>
      <c r="I488" s="33">
        <v>500</v>
      </c>
    </row>
    <row r="489" spans="1:9" x14ac:dyDescent="0.3">
      <c r="A489" s="30" t="s">
        <v>481</v>
      </c>
      <c r="B489" s="33" t="s">
        <v>23</v>
      </c>
      <c r="C489" s="33">
        <v>1</v>
      </c>
      <c r="D489" s="34" t="s">
        <v>200</v>
      </c>
      <c r="E489" s="34" t="s">
        <v>210</v>
      </c>
      <c r="F489" s="33">
        <v>0</v>
      </c>
      <c r="G489" s="33">
        <v>0.3</v>
      </c>
      <c r="H489" s="33" t="s">
        <v>215</v>
      </c>
      <c r="I489" s="33">
        <v>500</v>
      </c>
    </row>
    <row r="490" spans="1:9" x14ac:dyDescent="0.3">
      <c r="A490" s="30" t="s">
        <v>481</v>
      </c>
      <c r="B490" s="33" t="s">
        <v>23</v>
      </c>
      <c r="C490" s="33">
        <v>1</v>
      </c>
      <c r="D490" s="34" t="s">
        <v>200</v>
      </c>
      <c r="E490" s="34" t="s">
        <v>211</v>
      </c>
      <c r="F490" s="33">
        <v>0</v>
      </c>
      <c r="G490" s="33">
        <v>0.25</v>
      </c>
      <c r="H490" s="33" t="s">
        <v>215</v>
      </c>
      <c r="I490" s="33">
        <v>500</v>
      </c>
    </row>
    <row r="491" spans="1:9" x14ac:dyDescent="0.3">
      <c r="A491" s="30" t="s">
        <v>481</v>
      </c>
      <c r="B491" s="33" t="s">
        <v>23</v>
      </c>
      <c r="C491" s="33">
        <v>1</v>
      </c>
      <c r="D491" s="34" t="s">
        <v>200</v>
      </c>
      <c r="E491" s="34" t="s">
        <v>212</v>
      </c>
      <c r="F491" s="33">
        <v>0</v>
      </c>
      <c r="G491" s="33">
        <v>0.25</v>
      </c>
      <c r="H491" s="33" t="s">
        <v>215</v>
      </c>
      <c r="I491" s="33">
        <v>500</v>
      </c>
    </row>
    <row r="492" spans="1:9" x14ac:dyDescent="0.3">
      <c r="A492" s="30" t="s">
        <v>481</v>
      </c>
      <c r="B492" s="33" t="s">
        <v>23</v>
      </c>
      <c r="C492" s="33">
        <v>1</v>
      </c>
      <c r="D492" s="34" t="s">
        <v>200</v>
      </c>
      <c r="E492" s="34" t="s">
        <v>213</v>
      </c>
      <c r="F492" s="33">
        <v>0</v>
      </c>
      <c r="G492" s="33">
        <v>0.25</v>
      </c>
      <c r="H492" s="33" t="s">
        <v>215</v>
      </c>
      <c r="I492" s="33">
        <v>500</v>
      </c>
    </row>
    <row r="493" spans="1:9" x14ac:dyDescent="0.3">
      <c r="A493" s="30" t="s">
        <v>481</v>
      </c>
      <c r="B493" s="33" t="s">
        <v>23</v>
      </c>
      <c r="C493" s="33">
        <v>1</v>
      </c>
      <c r="D493" s="34" t="s">
        <v>200</v>
      </c>
      <c r="E493" s="34" t="s">
        <v>214</v>
      </c>
      <c r="F493" s="33">
        <v>0</v>
      </c>
      <c r="G493" s="33">
        <v>0.25</v>
      </c>
      <c r="H493" s="33" t="s">
        <v>215</v>
      </c>
      <c r="I493" s="33">
        <v>500</v>
      </c>
    </row>
    <row r="494" spans="1:9" x14ac:dyDescent="0.3">
      <c r="A494" s="30" t="s">
        <v>481</v>
      </c>
      <c r="B494" s="33" t="s">
        <v>23</v>
      </c>
      <c r="C494" s="33">
        <v>1</v>
      </c>
      <c r="D494" s="34" t="s">
        <v>200</v>
      </c>
      <c r="E494" s="34" t="s">
        <v>216</v>
      </c>
      <c r="F494" s="33">
        <v>0</v>
      </c>
      <c r="G494" s="33">
        <v>0.3</v>
      </c>
      <c r="H494" s="33" t="s">
        <v>202</v>
      </c>
      <c r="I494" s="33">
        <v>100</v>
      </c>
    </row>
    <row r="495" spans="1:9" x14ac:dyDescent="0.3">
      <c r="A495" s="30" t="s">
        <v>481</v>
      </c>
      <c r="B495" s="33" t="s">
        <v>23</v>
      </c>
      <c r="C495" s="33">
        <v>1</v>
      </c>
      <c r="D495" s="34" t="s">
        <v>200</v>
      </c>
      <c r="E495" s="34" t="s">
        <v>216</v>
      </c>
      <c r="F495" s="33">
        <v>0</v>
      </c>
      <c r="G495" s="33">
        <v>0.45</v>
      </c>
      <c r="H495" s="33" t="s">
        <v>215</v>
      </c>
      <c r="I495" s="33">
        <v>500</v>
      </c>
    </row>
    <row r="496" spans="1:9" x14ac:dyDescent="0.3">
      <c r="A496" s="30" t="s">
        <v>481</v>
      </c>
      <c r="B496" s="33" t="s">
        <v>23</v>
      </c>
      <c r="C496" s="33">
        <v>1</v>
      </c>
      <c r="D496" s="34" t="s">
        <v>200</v>
      </c>
      <c r="E496" s="34" t="s">
        <v>217</v>
      </c>
      <c r="F496" s="33">
        <v>0</v>
      </c>
      <c r="G496" s="33">
        <v>0.2</v>
      </c>
      <c r="H496" s="33" t="s">
        <v>202</v>
      </c>
      <c r="I496" s="33">
        <v>100</v>
      </c>
    </row>
    <row r="497" spans="1:9" x14ac:dyDescent="0.3">
      <c r="A497" s="30" t="s">
        <v>481</v>
      </c>
      <c r="B497" s="33" t="s">
        <v>23</v>
      </c>
      <c r="C497" s="33">
        <v>1</v>
      </c>
      <c r="D497" s="34" t="s">
        <v>200</v>
      </c>
      <c r="E497" s="34" t="s">
        <v>218</v>
      </c>
      <c r="F497" s="33">
        <v>0</v>
      </c>
      <c r="G497" s="33">
        <v>0.2</v>
      </c>
      <c r="H497" s="33" t="s">
        <v>202</v>
      </c>
      <c r="I497" s="33">
        <v>100</v>
      </c>
    </row>
    <row r="498" spans="1:9" x14ac:dyDescent="0.3">
      <c r="A498" s="30" t="s">
        <v>481</v>
      </c>
      <c r="B498" s="33" t="s">
        <v>23</v>
      </c>
      <c r="C498" s="33">
        <v>1</v>
      </c>
      <c r="D498" s="34" t="s">
        <v>200</v>
      </c>
      <c r="E498" s="34" t="s">
        <v>219</v>
      </c>
      <c r="F498" s="33">
        <v>0</v>
      </c>
      <c r="G498" s="33">
        <v>0.2</v>
      </c>
      <c r="H498" s="33" t="s">
        <v>202</v>
      </c>
      <c r="I498" s="33">
        <v>100</v>
      </c>
    </row>
    <row r="499" spans="1:9" x14ac:dyDescent="0.3">
      <c r="A499" s="30" t="s">
        <v>481</v>
      </c>
      <c r="B499" s="33" t="s">
        <v>23</v>
      </c>
      <c r="C499" s="33">
        <v>1</v>
      </c>
      <c r="D499" s="34" t="s">
        <v>200</v>
      </c>
      <c r="E499" s="34" t="s">
        <v>220</v>
      </c>
      <c r="F499" s="33">
        <v>0</v>
      </c>
      <c r="G499" s="33">
        <v>0.2</v>
      </c>
      <c r="H499" s="33" t="s">
        <v>202</v>
      </c>
      <c r="I499" s="33">
        <v>100</v>
      </c>
    </row>
    <row r="500" spans="1:9" x14ac:dyDescent="0.3">
      <c r="A500" s="30" t="s">
        <v>481</v>
      </c>
      <c r="B500" s="33" t="s">
        <v>23</v>
      </c>
      <c r="C500" s="33">
        <v>1</v>
      </c>
      <c r="D500" s="34" t="s">
        <v>200</v>
      </c>
      <c r="E500" s="34" t="s">
        <v>217</v>
      </c>
      <c r="F500" s="33">
        <v>0</v>
      </c>
      <c r="G500" s="33">
        <v>0.35</v>
      </c>
      <c r="H500" s="33" t="s">
        <v>215</v>
      </c>
      <c r="I500" s="33">
        <v>500</v>
      </c>
    </row>
    <row r="501" spans="1:9" x14ac:dyDescent="0.3">
      <c r="A501" s="30" t="s">
        <v>481</v>
      </c>
      <c r="B501" s="33" t="s">
        <v>23</v>
      </c>
      <c r="C501" s="33">
        <v>1</v>
      </c>
      <c r="D501" s="34" t="s">
        <v>200</v>
      </c>
      <c r="E501" s="34" t="s">
        <v>218</v>
      </c>
      <c r="F501" s="33">
        <v>0</v>
      </c>
      <c r="G501" s="33">
        <v>0.35</v>
      </c>
      <c r="H501" s="33" t="s">
        <v>215</v>
      </c>
      <c r="I501" s="33">
        <v>500</v>
      </c>
    </row>
    <row r="502" spans="1:9" x14ac:dyDescent="0.3">
      <c r="A502" s="30" t="s">
        <v>481</v>
      </c>
      <c r="B502" s="33" t="s">
        <v>23</v>
      </c>
      <c r="C502" s="33">
        <v>1</v>
      </c>
      <c r="D502" s="34" t="s">
        <v>200</v>
      </c>
      <c r="E502" s="34" t="s">
        <v>219</v>
      </c>
      <c r="F502" s="33">
        <v>0</v>
      </c>
      <c r="G502" s="33">
        <v>0.35</v>
      </c>
      <c r="H502" s="33" t="s">
        <v>215</v>
      </c>
      <c r="I502" s="33">
        <v>500</v>
      </c>
    </row>
    <row r="503" spans="1:9" x14ac:dyDescent="0.3">
      <c r="A503" s="30" t="s">
        <v>481</v>
      </c>
      <c r="B503" s="33" t="s">
        <v>23</v>
      </c>
      <c r="C503" s="33">
        <v>1</v>
      </c>
      <c r="D503" s="34" t="s">
        <v>200</v>
      </c>
      <c r="E503" s="34" t="s">
        <v>220</v>
      </c>
      <c r="F503" s="33">
        <v>0</v>
      </c>
      <c r="G503" s="33">
        <v>0.35</v>
      </c>
      <c r="H503" s="33" t="s">
        <v>215</v>
      </c>
      <c r="I503" s="33">
        <v>500</v>
      </c>
    </row>
    <row r="504" spans="1:9" x14ac:dyDescent="0.3">
      <c r="A504" s="30" t="s">
        <v>481</v>
      </c>
      <c r="B504" s="33" t="s">
        <v>23</v>
      </c>
      <c r="C504" s="33">
        <v>1</v>
      </c>
      <c r="D504" s="34" t="s">
        <v>221</v>
      </c>
      <c r="E504" s="34" t="s">
        <v>198</v>
      </c>
      <c r="F504" s="33">
        <v>0</v>
      </c>
      <c r="G504" s="33">
        <v>0.5</v>
      </c>
      <c r="H504" s="33"/>
      <c r="I504" s="33">
        <v>0</v>
      </c>
    </row>
    <row r="505" spans="1:9" x14ac:dyDescent="0.3">
      <c r="A505" s="30" t="s">
        <v>472</v>
      </c>
      <c r="B505" s="33" t="s">
        <v>23</v>
      </c>
      <c r="C505" s="33">
        <v>1</v>
      </c>
      <c r="D505" s="34" t="s">
        <v>188</v>
      </c>
      <c r="E505" s="34" t="s">
        <v>189</v>
      </c>
      <c r="F505" s="33">
        <v>0</v>
      </c>
      <c r="G505" s="33">
        <v>0.15</v>
      </c>
      <c r="H505" s="33"/>
      <c r="I505" s="33">
        <v>0</v>
      </c>
    </row>
    <row r="506" spans="1:9" x14ac:dyDescent="0.3">
      <c r="A506" s="30" t="s">
        <v>472</v>
      </c>
      <c r="B506" s="33" t="s">
        <v>23</v>
      </c>
      <c r="C506" s="33">
        <v>1</v>
      </c>
      <c r="D506" s="34" t="s">
        <v>190</v>
      </c>
      <c r="E506" s="34" t="s">
        <v>198</v>
      </c>
      <c r="F506" s="33">
        <v>0</v>
      </c>
      <c r="G506" s="33">
        <v>0.3</v>
      </c>
      <c r="H506" s="33"/>
      <c r="I506" s="33">
        <v>0</v>
      </c>
    </row>
    <row r="507" spans="1:9" x14ac:dyDescent="0.3">
      <c r="A507" s="30" t="s">
        <v>472</v>
      </c>
      <c r="B507" s="33" t="s">
        <v>23</v>
      </c>
      <c r="C507" s="33">
        <v>1</v>
      </c>
      <c r="D507" s="34" t="s">
        <v>197</v>
      </c>
      <c r="E507" s="34" t="s">
        <v>198</v>
      </c>
      <c r="F507" s="33">
        <v>0</v>
      </c>
      <c r="G507" s="33">
        <v>0.05</v>
      </c>
      <c r="H507" s="33"/>
      <c r="I507" s="33">
        <v>0</v>
      </c>
    </row>
    <row r="508" spans="1:9" x14ac:dyDescent="0.3">
      <c r="A508" s="30" t="s">
        <v>472</v>
      </c>
      <c r="B508" s="33" t="s">
        <v>23</v>
      </c>
      <c r="C508" s="33">
        <v>1</v>
      </c>
      <c r="D508" s="34" t="s">
        <v>197</v>
      </c>
      <c r="E508" s="34" t="s">
        <v>199</v>
      </c>
      <c r="F508" s="33">
        <v>0</v>
      </c>
      <c r="G508" s="33">
        <v>0</v>
      </c>
      <c r="H508" s="33"/>
      <c r="I508" s="33">
        <v>0</v>
      </c>
    </row>
    <row r="509" spans="1:9" x14ac:dyDescent="0.3">
      <c r="A509" s="30" t="s">
        <v>472</v>
      </c>
      <c r="B509" s="33" t="s">
        <v>23</v>
      </c>
      <c r="C509" s="33">
        <v>1</v>
      </c>
      <c r="D509" s="34" t="s">
        <v>200</v>
      </c>
      <c r="E509" s="34" t="s">
        <v>201</v>
      </c>
      <c r="F509" s="33">
        <v>0</v>
      </c>
      <c r="G509" s="33">
        <v>0.35</v>
      </c>
      <c r="H509" s="33" t="s">
        <v>202</v>
      </c>
      <c r="I509" s="33">
        <v>100</v>
      </c>
    </row>
    <row r="510" spans="1:9" x14ac:dyDescent="0.3">
      <c r="A510" s="30" t="s">
        <v>472</v>
      </c>
      <c r="B510" s="33" t="s">
        <v>23</v>
      </c>
      <c r="C510" s="33">
        <v>1</v>
      </c>
      <c r="D510" s="34" t="s">
        <v>200</v>
      </c>
      <c r="E510" s="34" t="s">
        <v>203</v>
      </c>
      <c r="F510" s="33">
        <v>0</v>
      </c>
      <c r="G510" s="33">
        <v>0.3</v>
      </c>
      <c r="H510" s="33" t="s">
        <v>202</v>
      </c>
      <c r="I510" s="33">
        <v>100</v>
      </c>
    </row>
    <row r="511" spans="1:9" x14ac:dyDescent="0.3">
      <c r="A511" s="30" t="s">
        <v>472</v>
      </c>
      <c r="B511" s="33" t="s">
        <v>23</v>
      </c>
      <c r="C511" s="33">
        <v>1</v>
      </c>
      <c r="D511" s="34" t="s">
        <v>200</v>
      </c>
      <c r="E511" s="34" t="s">
        <v>204</v>
      </c>
      <c r="F511" s="33">
        <v>0</v>
      </c>
      <c r="G511" s="33">
        <v>0.3</v>
      </c>
      <c r="H511" s="33" t="s">
        <v>202</v>
      </c>
      <c r="I511" s="33">
        <v>100</v>
      </c>
    </row>
    <row r="512" spans="1:9" x14ac:dyDescent="0.3">
      <c r="A512" s="30" t="s">
        <v>472</v>
      </c>
      <c r="B512" s="33" t="s">
        <v>23</v>
      </c>
      <c r="C512" s="33">
        <v>1</v>
      </c>
      <c r="D512" s="34" t="s">
        <v>200</v>
      </c>
      <c r="E512" s="34" t="s">
        <v>205</v>
      </c>
      <c r="F512" s="33">
        <v>0</v>
      </c>
      <c r="G512" s="33">
        <v>0.3</v>
      </c>
      <c r="H512" s="33" t="s">
        <v>202</v>
      </c>
      <c r="I512" s="33">
        <v>100</v>
      </c>
    </row>
    <row r="513" spans="1:9" x14ac:dyDescent="0.3">
      <c r="A513" s="30" t="s">
        <v>472</v>
      </c>
      <c r="B513" s="33" t="s">
        <v>23</v>
      </c>
      <c r="C513" s="33">
        <v>1</v>
      </c>
      <c r="D513" s="34" t="s">
        <v>200</v>
      </c>
      <c r="E513" s="34" t="s">
        <v>206</v>
      </c>
      <c r="F513" s="33">
        <v>0</v>
      </c>
      <c r="G513" s="33">
        <v>0.3</v>
      </c>
      <c r="H513" s="33" t="s">
        <v>202</v>
      </c>
      <c r="I513" s="33">
        <v>100</v>
      </c>
    </row>
    <row r="514" spans="1:9" x14ac:dyDescent="0.3">
      <c r="A514" s="30" t="s">
        <v>472</v>
      </c>
      <c r="B514" s="33" t="s">
        <v>23</v>
      </c>
      <c r="C514" s="33">
        <v>1</v>
      </c>
      <c r="D514" s="34" t="s">
        <v>200</v>
      </c>
      <c r="E514" s="34" t="s">
        <v>207</v>
      </c>
      <c r="F514" s="33">
        <v>0</v>
      </c>
      <c r="G514" s="33">
        <v>0.2</v>
      </c>
      <c r="H514" s="33" t="s">
        <v>202</v>
      </c>
      <c r="I514" s="33">
        <v>100</v>
      </c>
    </row>
    <row r="515" spans="1:9" x14ac:dyDescent="0.3">
      <c r="A515" s="30" t="s">
        <v>472</v>
      </c>
      <c r="B515" s="33" t="s">
        <v>23</v>
      </c>
      <c r="C515" s="33">
        <v>1</v>
      </c>
      <c r="D515" s="34" t="s">
        <v>200</v>
      </c>
      <c r="E515" s="34" t="s">
        <v>208</v>
      </c>
      <c r="F515" s="33">
        <v>0</v>
      </c>
      <c r="G515" s="33">
        <v>0.2</v>
      </c>
      <c r="H515" s="33" t="s">
        <v>202</v>
      </c>
      <c r="I515" s="33">
        <v>100</v>
      </c>
    </row>
    <row r="516" spans="1:9" x14ac:dyDescent="0.3">
      <c r="A516" s="30" t="s">
        <v>472</v>
      </c>
      <c r="B516" s="33" t="s">
        <v>23</v>
      </c>
      <c r="C516" s="33">
        <v>1</v>
      </c>
      <c r="D516" s="34" t="s">
        <v>200</v>
      </c>
      <c r="E516" s="34" t="s">
        <v>209</v>
      </c>
      <c r="F516" s="33">
        <v>0</v>
      </c>
      <c r="G516" s="33">
        <v>0.3</v>
      </c>
      <c r="H516" s="33" t="s">
        <v>202</v>
      </c>
      <c r="I516" s="33">
        <v>100</v>
      </c>
    </row>
    <row r="517" spans="1:9" x14ac:dyDescent="0.3">
      <c r="A517" s="30" t="s">
        <v>472</v>
      </c>
      <c r="B517" s="33" t="s">
        <v>23</v>
      </c>
      <c r="C517" s="33">
        <v>1</v>
      </c>
      <c r="D517" s="34" t="s">
        <v>200</v>
      </c>
      <c r="E517" s="34" t="s">
        <v>210</v>
      </c>
      <c r="F517" s="33">
        <v>0</v>
      </c>
      <c r="G517" s="33">
        <v>0.2</v>
      </c>
      <c r="H517" s="33" t="s">
        <v>202</v>
      </c>
      <c r="I517" s="33">
        <v>100</v>
      </c>
    </row>
    <row r="518" spans="1:9" x14ac:dyDescent="0.3">
      <c r="A518" s="30" t="s">
        <v>472</v>
      </c>
      <c r="B518" s="33" t="s">
        <v>23</v>
      </c>
      <c r="C518" s="33">
        <v>1</v>
      </c>
      <c r="D518" s="34" t="s">
        <v>200</v>
      </c>
      <c r="E518" s="34" t="s">
        <v>211</v>
      </c>
      <c r="F518" s="33">
        <v>0</v>
      </c>
      <c r="G518" s="33">
        <v>0.15</v>
      </c>
      <c r="H518" s="33" t="s">
        <v>202</v>
      </c>
      <c r="I518" s="33">
        <v>100</v>
      </c>
    </row>
    <row r="519" spans="1:9" x14ac:dyDescent="0.3">
      <c r="A519" s="30" t="s">
        <v>472</v>
      </c>
      <c r="B519" s="33" t="s">
        <v>23</v>
      </c>
      <c r="C519" s="33">
        <v>1</v>
      </c>
      <c r="D519" s="34" t="s">
        <v>200</v>
      </c>
      <c r="E519" s="34" t="s">
        <v>212</v>
      </c>
      <c r="F519" s="33">
        <v>0</v>
      </c>
      <c r="G519" s="33">
        <v>0.15</v>
      </c>
      <c r="H519" s="33" t="s">
        <v>202</v>
      </c>
      <c r="I519" s="33">
        <v>100</v>
      </c>
    </row>
    <row r="520" spans="1:9" x14ac:dyDescent="0.3">
      <c r="A520" s="30" t="s">
        <v>472</v>
      </c>
      <c r="B520" s="33" t="s">
        <v>23</v>
      </c>
      <c r="C520" s="33">
        <v>1</v>
      </c>
      <c r="D520" s="34" t="s">
        <v>200</v>
      </c>
      <c r="E520" s="34" t="s">
        <v>213</v>
      </c>
      <c r="F520" s="33">
        <v>0</v>
      </c>
      <c r="G520" s="33">
        <v>0.15</v>
      </c>
      <c r="H520" s="33" t="s">
        <v>202</v>
      </c>
      <c r="I520" s="33">
        <v>100</v>
      </c>
    </row>
    <row r="521" spans="1:9" x14ac:dyDescent="0.3">
      <c r="A521" s="30" t="s">
        <v>472</v>
      </c>
      <c r="B521" s="33" t="s">
        <v>23</v>
      </c>
      <c r="C521" s="33">
        <v>1</v>
      </c>
      <c r="D521" s="34" t="s">
        <v>200</v>
      </c>
      <c r="E521" s="34" t="s">
        <v>214</v>
      </c>
      <c r="F521" s="33">
        <v>0</v>
      </c>
      <c r="G521" s="33">
        <v>0.15</v>
      </c>
      <c r="H521" s="33" t="s">
        <v>202</v>
      </c>
      <c r="I521" s="33">
        <v>100</v>
      </c>
    </row>
    <row r="522" spans="1:9" x14ac:dyDescent="0.3">
      <c r="A522" s="30" t="s">
        <v>472</v>
      </c>
      <c r="B522" s="33" t="s">
        <v>23</v>
      </c>
      <c r="C522" s="33">
        <v>1</v>
      </c>
      <c r="D522" s="34" t="s">
        <v>200</v>
      </c>
      <c r="E522" s="34" t="s">
        <v>201</v>
      </c>
      <c r="F522" s="33">
        <v>0</v>
      </c>
      <c r="G522" s="33">
        <v>0.5</v>
      </c>
      <c r="H522" s="33" t="s">
        <v>215</v>
      </c>
      <c r="I522" s="33">
        <v>500</v>
      </c>
    </row>
    <row r="523" spans="1:9" x14ac:dyDescent="0.3">
      <c r="A523" s="30" t="s">
        <v>472</v>
      </c>
      <c r="B523" s="33" t="s">
        <v>23</v>
      </c>
      <c r="C523" s="33">
        <v>1</v>
      </c>
      <c r="D523" s="34" t="s">
        <v>200</v>
      </c>
      <c r="E523" s="34" t="s">
        <v>203</v>
      </c>
      <c r="F523" s="33">
        <v>0</v>
      </c>
      <c r="G523" s="33">
        <v>0.5</v>
      </c>
      <c r="H523" s="33" t="s">
        <v>215</v>
      </c>
      <c r="I523" s="33">
        <v>500</v>
      </c>
    </row>
    <row r="524" spans="1:9" x14ac:dyDescent="0.3">
      <c r="A524" s="30" t="s">
        <v>472</v>
      </c>
      <c r="B524" s="33" t="s">
        <v>23</v>
      </c>
      <c r="C524" s="33">
        <v>1</v>
      </c>
      <c r="D524" s="34" t="s">
        <v>200</v>
      </c>
      <c r="E524" s="34" t="s">
        <v>204</v>
      </c>
      <c r="F524" s="33">
        <v>0</v>
      </c>
      <c r="G524" s="33">
        <v>0.5</v>
      </c>
      <c r="H524" s="33" t="s">
        <v>215</v>
      </c>
      <c r="I524" s="33">
        <v>500</v>
      </c>
    </row>
    <row r="525" spans="1:9" x14ac:dyDescent="0.3">
      <c r="A525" s="30" t="s">
        <v>472</v>
      </c>
      <c r="B525" s="33" t="s">
        <v>23</v>
      </c>
      <c r="C525" s="33">
        <v>1</v>
      </c>
      <c r="D525" s="34" t="s">
        <v>200</v>
      </c>
      <c r="E525" s="34" t="s">
        <v>205</v>
      </c>
      <c r="F525" s="33">
        <v>0</v>
      </c>
      <c r="G525" s="33">
        <v>0.5</v>
      </c>
      <c r="H525" s="33" t="s">
        <v>215</v>
      </c>
      <c r="I525" s="33">
        <v>500</v>
      </c>
    </row>
    <row r="526" spans="1:9" x14ac:dyDescent="0.3">
      <c r="A526" s="30" t="s">
        <v>472</v>
      </c>
      <c r="B526" s="33" t="s">
        <v>23</v>
      </c>
      <c r="C526" s="33">
        <v>1</v>
      </c>
      <c r="D526" s="34" t="s">
        <v>200</v>
      </c>
      <c r="E526" s="34" t="s">
        <v>206</v>
      </c>
      <c r="F526" s="33">
        <v>0</v>
      </c>
      <c r="G526" s="33">
        <v>0.5</v>
      </c>
      <c r="H526" s="33" t="s">
        <v>215</v>
      </c>
      <c r="I526" s="33">
        <v>500</v>
      </c>
    </row>
    <row r="527" spans="1:9" x14ac:dyDescent="0.3">
      <c r="A527" s="30" t="s">
        <v>472</v>
      </c>
      <c r="B527" s="33" t="s">
        <v>23</v>
      </c>
      <c r="C527" s="33">
        <v>1</v>
      </c>
      <c r="D527" s="34" t="s">
        <v>200</v>
      </c>
      <c r="E527" s="34" t="s">
        <v>207</v>
      </c>
      <c r="F527" s="33">
        <v>0</v>
      </c>
      <c r="G527" s="33">
        <v>0.35</v>
      </c>
      <c r="H527" s="33" t="s">
        <v>215</v>
      </c>
      <c r="I527" s="33">
        <v>500</v>
      </c>
    </row>
    <row r="528" spans="1:9" x14ac:dyDescent="0.3">
      <c r="A528" s="30" t="s">
        <v>472</v>
      </c>
      <c r="B528" s="33" t="s">
        <v>23</v>
      </c>
      <c r="C528" s="33">
        <v>1</v>
      </c>
      <c r="D528" s="34" t="s">
        <v>200</v>
      </c>
      <c r="E528" s="34" t="s">
        <v>208</v>
      </c>
      <c r="F528" s="33">
        <v>0</v>
      </c>
      <c r="G528" s="33">
        <v>0.3</v>
      </c>
      <c r="H528" s="33" t="s">
        <v>215</v>
      </c>
      <c r="I528" s="33">
        <v>500</v>
      </c>
    </row>
    <row r="529" spans="1:9" x14ac:dyDescent="0.3">
      <c r="A529" s="30" t="s">
        <v>472</v>
      </c>
      <c r="B529" s="33" t="s">
        <v>23</v>
      </c>
      <c r="C529" s="33">
        <v>1</v>
      </c>
      <c r="D529" s="34" t="s">
        <v>200</v>
      </c>
      <c r="E529" s="34" t="s">
        <v>209</v>
      </c>
      <c r="F529" s="33">
        <v>0</v>
      </c>
      <c r="G529" s="33">
        <v>0.5</v>
      </c>
      <c r="H529" s="33" t="s">
        <v>215</v>
      </c>
      <c r="I529" s="33">
        <v>500</v>
      </c>
    </row>
    <row r="530" spans="1:9" x14ac:dyDescent="0.3">
      <c r="A530" s="30" t="s">
        <v>472</v>
      </c>
      <c r="B530" s="33" t="s">
        <v>23</v>
      </c>
      <c r="C530" s="33">
        <v>1</v>
      </c>
      <c r="D530" s="34" t="s">
        <v>200</v>
      </c>
      <c r="E530" s="34" t="s">
        <v>210</v>
      </c>
      <c r="F530" s="33">
        <v>0</v>
      </c>
      <c r="G530" s="33">
        <v>0.3</v>
      </c>
      <c r="H530" s="33" t="s">
        <v>215</v>
      </c>
      <c r="I530" s="33">
        <v>500</v>
      </c>
    </row>
    <row r="531" spans="1:9" x14ac:dyDescent="0.3">
      <c r="A531" s="30" t="s">
        <v>472</v>
      </c>
      <c r="B531" s="33" t="s">
        <v>23</v>
      </c>
      <c r="C531" s="33">
        <v>1</v>
      </c>
      <c r="D531" s="34" t="s">
        <v>200</v>
      </c>
      <c r="E531" s="34" t="s">
        <v>211</v>
      </c>
      <c r="F531" s="33">
        <v>0</v>
      </c>
      <c r="G531" s="33">
        <v>0.25</v>
      </c>
      <c r="H531" s="33" t="s">
        <v>215</v>
      </c>
      <c r="I531" s="33">
        <v>500</v>
      </c>
    </row>
    <row r="532" spans="1:9" x14ac:dyDescent="0.3">
      <c r="A532" s="30" t="s">
        <v>472</v>
      </c>
      <c r="B532" s="33" t="s">
        <v>23</v>
      </c>
      <c r="C532" s="33">
        <v>1</v>
      </c>
      <c r="D532" s="34" t="s">
        <v>200</v>
      </c>
      <c r="E532" s="34" t="s">
        <v>212</v>
      </c>
      <c r="F532" s="33">
        <v>0</v>
      </c>
      <c r="G532" s="33">
        <v>0.25</v>
      </c>
      <c r="H532" s="33" t="s">
        <v>215</v>
      </c>
      <c r="I532" s="33">
        <v>500</v>
      </c>
    </row>
    <row r="533" spans="1:9" x14ac:dyDescent="0.3">
      <c r="A533" s="30" t="s">
        <v>472</v>
      </c>
      <c r="B533" s="33" t="s">
        <v>23</v>
      </c>
      <c r="C533" s="33">
        <v>1</v>
      </c>
      <c r="D533" s="34" t="s">
        <v>200</v>
      </c>
      <c r="E533" s="34" t="s">
        <v>213</v>
      </c>
      <c r="F533" s="33">
        <v>0</v>
      </c>
      <c r="G533" s="33">
        <v>0.25</v>
      </c>
      <c r="H533" s="33" t="s">
        <v>215</v>
      </c>
      <c r="I533" s="33">
        <v>500</v>
      </c>
    </row>
    <row r="534" spans="1:9" x14ac:dyDescent="0.3">
      <c r="A534" s="30" t="s">
        <v>472</v>
      </c>
      <c r="B534" s="33" t="s">
        <v>23</v>
      </c>
      <c r="C534" s="33">
        <v>1</v>
      </c>
      <c r="D534" s="34" t="s">
        <v>200</v>
      </c>
      <c r="E534" s="34" t="s">
        <v>214</v>
      </c>
      <c r="F534" s="33">
        <v>0</v>
      </c>
      <c r="G534" s="33">
        <v>0.25</v>
      </c>
      <c r="H534" s="33" t="s">
        <v>215</v>
      </c>
      <c r="I534" s="33">
        <v>500</v>
      </c>
    </row>
    <row r="535" spans="1:9" x14ac:dyDescent="0.3">
      <c r="A535" s="30" t="s">
        <v>472</v>
      </c>
      <c r="B535" s="33" t="s">
        <v>23</v>
      </c>
      <c r="C535" s="33">
        <v>1</v>
      </c>
      <c r="D535" s="34" t="s">
        <v>200</v>
      </c>
      <c r="E535" s="34" t="s">
        <v>216</v>
      </c>
      <c r="F535" s="33">
        <v>0</v>
      </c>
      <c r="G535" s="33">
        <v>0.3</v>
      </c>
      <c r="H535" s="33" t="s">
        <v>202</v>
      </c>
      <c r="I535" s="33">
        <v>100</v>
      </c>
    </row>
    <row r="536" spans="1:9" x14ac:dyDescent="0.3">
      <c r="A536" s="30" t="s">
        <v>472</v>
      </c>
      <c r="B536" s="33" t="s">
        <v>23</v>
      </c>
      <c r="C536" s="33">
        <v>1</v>
      </c>
      <c r="D536" s="34" t="s">
        <v>200</v>
      </c>
      <c r="E536" s="34" t="s">
        <v>216</v>
      </c>
      <c r="F536" s="33">
        <v>0</v>
      </c>
      <c r="G536" s="33">
        <v>0.45</v>
      </c>
      <c r="H536" s="33" t="s">
        <v>215</v>
      </c>
      <c r="I536" s="33">
        <v>500</v>
      </c>
    </row>
    <row r="537" spans="1:9" x14ac:dyDescent="0.3">
      <c r="A537" s="30" t="s">
        <v>472</v>
      </c>
      <c r="B537" s="33" t="s">
        <v>23</v>
      </c>
      <c r="C537" s="33">
        <v>1</v>
      </c>
      <c r="D537" s="34" t="s">
        <v>200</v>
      </c>
      <c r="E537" s="34" t="s">
        <v>217</v>
      </c>
      <c r="F537" s="33">
        <v>0</v>
      </c>
      <c r="G537" s="33">
        <v>0.2</v>
      </c>
      <c r="H537" s="33" t="s">
        <v>202</v>
      </c>
      <c r="I537" s="33">
        <v>100</v>
      </c>
    </row>
    <row r="538" spans="1:9" x14ac:dyDescent="0.3">
      <c r="A538" s="30" t="s">
        <v>472</v>
      </c>
      <c r="B538" s="33" t="s">
        <v>23</v>
      </c>
      <c r="C538" s="33">
        <v>1</v>
      </c>
      <c r="D538" s="34" t="s">
        <v>200</v>
      </c>
      <c r="E538" s="34" t="s">
        <v>218</v>
      </c>
      <c r="F538" s="33">
        <v>0</v>
      </c>
      <c r="G538" s="33">
        <v>0.2</v>
      </c>
      <c r="H538" s="33" t="s">
        <v>202</v>
      </c>
      <c r="I538" s="33">
        <v>100</v>
      </c>
    </row>
    <row r="539" spans="1:9" x14ac:dyDescent="0.3">
      <c r="A539" s="30" t="s">
        <v>472</v>
      </c>
      <c r="B539" s="33" t="s">
        <v>23</v>
      </c>
      <c r="C539" s="33">
        <v>1</v>
      </c>
      <c r="D539" s="34" t="s">
        <v>200</v>
      </c>
      <c r="E539" s="34" t="s">
        <v>219</v>
      </c>
      <c r="F539" s="33">
        <v>0</v>
      </c>
      <c r="G539" s="33">
        <v>0.2</v>
      </c>
      <c r="H539" s="33" t="s">
        <v>202</v>
      </c>
      <c r="I539" s="33">
        <v>100</v>
      </c>
    </row>
    <row r="540" spans="1:9" x14ac:dyDescent="0.3">
      <c r="A540" s="30" t="s">
        <v>472</v>
      </c>
      <c r="B540" s="33" t="s">
        <v>23</v>
      </c>
      <c r="C540" s="33">
        <v>1</v>
      </c>
      <c r="D540" s="34" t="s">
        <v>200</v>
      </c>
      <c r="E540" s="34" t="s">
        <v>220</v>
      </c>
      <c r="F540" s="33">
        <v>0</v>
      </c>
      <c r="G540" s="33">
        <v>0.2</v>
      </c>
      <c r="H540" s="33" t="s">
        <v>202</v>
      </c>
      <c r="I540" s="33">
        <v>100</v>
      </c>
    </row>
    <row r="541" spans="1:9" x14ac:dyDescent="0.3">
      <c r="A541" s="30" t="s">
        <v>472</v>
      </c>
      <c r="B541" s="33" t="s">
        <v>23</v>
      </c>
      <c r="C541" s="33">
        <v>1</v>
      </c>
      <c r="D541" s="34" t="s">
        <v>200</v>
      </c>
      <c r="E541" s="34" t="s">
        <v>217</v>
      </c>
      <c r="F541" s="33">
        <v>0</v>
      </c>
      <c r="G541" s="33">
        <v>0.35</v>
      </c>
      <c r="H541" s="33" t="s">
        <v>215</v>
      </c>
      <c r="I541" s="33">
        <v>500</v>
      </c>
    </row>
    <row r="542" spans="1:9" x14ac:dyDescent="0.3">
      <c r="A542" s="30" t="s">
        <v>472</v>
      </c>
      <c r="B542" s="33" t="s">
        <v>23</v>
      </c>
      <c r="C542" s="33">
        <v>1</v>
      </c>
      <c r="D542" s="34" t="s">
        <v>200</v>
      </c>
      <c r="E542" s="34" t="s">
        <v>218</v>
      </c>
      <c r="F542" s="33">
        <v>0</v>
      </c>
      <c r="G542" s="33">
        <v>0.35</v>
      </c>
      <c r="H542" s="33" t="s">
        <v>215</v>
      </c>
      <c r="I542" s="33">
        <v>500</v>
      </c>
    </row>
    <row r="543" spans="1:9" x14ac:dyDescent="0.3">
      <c r="A543" s="30" t="s">
        <v>472</v>
      </c>
      <c r="B543" s="33" t="s">
        <v>23</v>
      </c>
      <c r="C543" s="33">
        <v>1</v>
      </c>
      <c r="D543" s="34" t="s">
        <v>200</v>
      </c>
      <c r="E543" s="34" t="s">
        <v>219</v>
      </c>
      <c r="F543" s="33">
        <v>0</v>
      </c>
      <c r="G543" s="33">
        <v>0.35</v>
      </c>
      <c r="H543" s="33" t="s">
        <v>215</v>
      </c>
      <c r="I543" s="33">
        <v>500</v>
      </c>
    </row>
    <row r="544" spans="1:9" x14ac:dyDescent="0.3">
      <c r="A544" s="30" t="s">
        <v>472</v>
      </c>
      <c r="B544" s="33" t="s">
        <v>23</v>
      </c>
      <c r="C544" s="33">
        <v>1</v>
      </c>
      <c r="D544" s="34" t="s">
        <v>200</v>
      </c>
      <c r="E544" s="34" t="s">
        <v>220</v>
      </c>
      <c r="F544" s="33">
        <v>0</v>
      </c>
      <c r="G544" s="33">
        <v>0.35</v>
      </c>
      <c r="H544" s="33" t="s">
        <v>215</v>
      </c>
      <c r="I544" s="33">
        <v>500</v>
      </c>
    </row>
    <row r="545" spans="1:9" x14ac:dyDescent="0.3">
      <c r="A545" s="30" t="s">
        <v>472</v>
      </c>
      <c r="B545" s="33" t="s">
        <v>23</v>
      </c>
      <c r="C545" s="33">
        <v>1</v>
      </c>
      <c r="D545" s="34" t="s">
        <v>221</v>
      </c>
      <c r="E545" s="34" t="s">
        <v>198</v>
      </c>
      <c r="F545" s="33">
        <v>0</v>
      </c>
      <c r="G545" s="33">
        <v>0.5</v>
      </c>
      <c r="H545" s="33"/>
      <c r="I545" s="33">
        <v>0</v>
      </c>
    </row>
    <row r="546" spans="1:9" x14ac:dyDescent="0.3">
      <c r="A546" s="30" t="s">
        <v>482</v>
      </c>
      <c r="B546" s="33" t="s">
        <v>23</v>
      </c>
      <c r="C546" s="33">
        <v>1</v>
      </c>
      <c r="D546" s="34" t="s">
        <v>188</v>
      </c>
      <c r="E546" s="34" t="s">
        <v>189</v>
      </c>
      <c r="F546" s="33">
        <v>0</v>
      </c>
      <c r="G546" s="33">
        <v>0.15</v>
      </c>
      <c r="H546" s="33"/>
      <c r="I546" s="33">
        <v>0</v>
      </c>
    </row>
    <row r="547" spans="1:9" x14ac:dyDescent="0.3">
      <c r="A547" s="30" t="s">
        <v>482</v>
      </c>
      <c r="B547" s="33" t="s">
        <v>23</v>
      </c>
      <c r="C547" s="33">
        <v>1</v>
      </c>
      <c r="D547" s="34" t="s">
        <v>190</v>
      </c>
      <c r="E547" s="34" t="s">
        <v>198</v>
      </c>
      <c r="F547" s="33">
        <v>0</v>
      </c>
      <c r="G547" s="33">
        <v>0.3</v>
      </c>
      <c r="H547" s="33"/>
      <c r="I547" s="33">
        <v>0</v>
      </c>
    </row>
    <row r="548" spans="1:9" x14ac:dyDescent="0.3">
      <c r="A548" s="30" t="s">
        <v>482</v>
      </c>
      <c r="B548" s="33" t="s">
        <v>23</v>
      </c>
      <c r="C548" s="33">
        <v>1</v>
      </c>
      <c r="D548" s="34" t="s">
        <v>197</v>
      </c>
      <c r="E548" s="34" t="s">
        <v>198</v>
      </c>
      <c r="F548" s="33">
        <v>0</v>
      </c>
      <c r="G548" s="33">
        <v>0.05</v>
      </c>
      <c r="H548" s="33"/>
      <c r="I548" s="33">
        <v>0</v>
      </c>
    </row>
    <row r="549" spans="1:9" x14ac:dyDescent="0.3">
      <c r="A549" s="30" t="s">
        <v>482</v>
      </c>
      <c r="B549" s="33" t="s">
        <v>23</v>
      </c>
      <c r="C549" s="33">
        <v>1</v>
      </c>
      <c r="D549" s="34" t="s">
        <v>197</v>
      </c>
      <c r="E549" s="34" t="s">
        <v>199</v>
      </c>
      <c r="F549" s="33">
        <v>0</v>
      </c>
      <c r="G549" s="33">
        <v>0</v>
      </c>
      <c r="H549" s="33"/>
      <c r="I549" s="33">
        <v>0</v>
      </c>
    </row>
    <row r="550" spans="1:9" x14ac:dyDescent="0.3">
      <c r="A550" s="30" t="s">
        <v>482</v>
      </c>
      <c r="B550" s="33" t="s">
        <v>23</v>
      </c>
      <c r="C550" s="33">
        <v>1</v>
      </c>
      <c r="D550" s="34" t="s">
        <v>200</v>
      </c>
      <c r="E550" s="34" t="s">
        <v>201</v>
      </c>
      <c r="F550" s="33">
        <v>0</v>
      </c>
      <c r="G550" s="33">
        <v>0.35</v>
      </c>
      <c r="H550" s="33" t="s">
        <v>202</v>
      </c>
      <c r="I550" s="33">
        <v>100</v>
      </c>
    </row>
    <row r="551" spans="1:9" x14ac:dyDescent="0.3">
      <c r="A551" s="30" t="s">
        <v>482</v>
      </c>
      <c r="B551" s="33" t="s">
        <v>23</v>
      </c>
      <c r="C551" s="33">
        <v>1</v>
      </c>
      <c r="D551" s="34" t="s">
        <v>200</v>
      </c>
      <c r="E551" s="34" t="s">
        <v>203</v>
      </c>
      <c r="F551" s="33">
        <v>0</v>
      </c>
      <c r="G551" s="33">
        <v>0.3</v>
      </c>
      <c r="H551" s="33" t="s">
        <v>202</v>
      </c>
      <c r="I551" s="33">
        <v>100</v>
      </c>
    </row>
    <row r="552" spans="1:9" x14ac:dyDescent="0.3">
      <c r="A552" s="30" t="s">
        <v>482</v>
      </c>
      <c r="B552" s="33" t="s">
        <v>23</v>
      </c>
      <c r="C552" s="33">
        <v>1</v>
      </c>
      <c r="D552" s="34" t="s">
        <v>200</v>
      </c>
      <c r="E552" s="34" t="s">
        <v>204</v>
      </c>
      <c r="F552" s="33">
        <v>0</v>
      </c>
      <c r="G552" s="33">
        <v>0.3</v>
      </c>
      <c r="H552" s="33" t="s">
        <v>202</v>
      </c>
      <c r="I552" s="33">
        <v>100</v>
      </c>
    </row>
    <row r="553" spans="1:9" x14ac:dyDescent="0.3">
      <c r="A553" s="30" t="s">
        <v>482</v>
      </c>
      <c r="B553" s="33" t="s">
        <v>23</v>
      </c>
      <c r="C553" s="33">
        <v>1</v>
      </c>
      <c r="D553" s="34" t="s">
        <v>200</v>
      </c>
      <c r="E553" s="34" t="s">
        <v>205</v>
      </c>
      <c r="F553" s="33">
        <v>0</v>
      </c>
      <c r="G553" s="33">
        <v>0.3</v>
      </c>
      <c r="H553" s="33" t="s">
        <v>202</v>
      </c>
      <c r="I553" s="33">
        <v>100</v>
      </c>
    </row>
    <row r="554" spans="1:9" x14ac:dyDescent="0.3">
      <c r="A554" s="30" t="s">
        <v>482</v>
      </c>
      <c r="B554" s="33" t="s">
        <v>23</v>
      </c>
      <c r="C554" s="33">
        <v>1</v>
      </c>
      <c r="D554" s="34" t="s">
        <v>200</v>
      </c>
      <c r="E554" s="34" t="s">
        <v>206</v>
      </c>
      <c r="F554" s="33">
        <v>0</v>
      </c>
      <c r="G554" s="33">
        <v>0.3</v>
      </c>
      <c r="H554" s="33" t="s">
        <v>202</v>
      </c>
      <c r="I554" s="33">
        <v>100</v>
      </c>
    </row>
    <row r="555" spans="1:9" x14ac:dyDescent="0.3">
      <c r="A555" s="30" t="s">
        <v>482</v>
      </c>
      <c r="B555" s="33" t="s">
        <v>23</v>
      </c>
      <c r="C555" s="33">
        <v>1</v>
      </c>
      <c r="D555" s="34" t="s">
        <v>200</v>
      </c>
      <c r="E555" s="34" t="s">
        <v>207</v>
      </c>
      <c r="F555" s="33">
        <v>0</v>
      </c>
      <c r="G555" s="33">
        <v>0.2</v>
      </c>
      <c r="H555" s="33" t="s">
        <v>202</v>
      </c>
      <c r="I555" s="33">
        <v>100</v>
      </c>
    </row>
    <row r="556" spans="1:9" x14ac:dyDescent="0.3">
      <c r="A556" s="30" t="s">
        <v>482</v>
      </c>
      <c r="B556" s="33" t="s">
        <v>23</v>
      </c>
      <c r="C556" s="33">
        <v>1</v>
      </c>
      <c r="D556" s="34" t="s">
        <v>200</v>
      </c>
      <c r="E556" s="34" t="s">
        <v>208</v>
      </c>
      <c r="F556" s="33">
        <v>0</v>
      </c>
      <c r="G556" s="33">
        <v>0.2</v>
      </c>
      <c r="H556" s="33" t="s">
        <v>202</v>
      </c>
      <c r="I556" s="33">
        <v>100</v>
      </c>
    </row>
    <row r="557" spans="1:9" x14ac:dyDescent="0.3">
      <c r="A557" s="30" t="s">
        <v>482</v>
      </c>
      <c r="B557" s="33" t="s">
        <v>23</v>
      </c>
      <c r="C557" s="33">
        <v>1</v>
      </c>
      <c r="D557" s="34" t="s">
        <v>200</v>
      </c>
      <c r="E557" s="34" t="s">
        <v>209</v>
      </c>
      <c r="F557" s="33">
        <v>0</v>
      </c>
      <c r="G557" s="33">
        <v>0.3</v>
      </c>
      <c r="H557" s="33" t="s">
        <v>202</v>
      </c>
      <c r="I557" s="33">
        <v>100</v>
      </c>
    </row>
    <row r="558" spans="1:9" x14ac:dyDescent="0.3">
      <c r="A558" s="30" t="s">
        <v>482</v>
      </c>
      <c r="B558" s="33" t="s">
        <v>23</v>
      </c>
      <c r="C558" s="33">
        <v>1</v>
      </c>
      <c r="D558" s="34" t="s">
        <v>200</v>
      </c>
      <c r="E558" s="34" t="s">
        <v>210</v>
      </c>
      <c r="F558" s="33">
        <v>0</v>
      </c>
      <c r="G558" s="33">
        <v>0.2</v>
      </c>
      <c r="H558" s="33" t="s">
        <v>202</v>
      </c>
      <c r="I558" s="33">
        <v>100</v>
      </c>
    </row>
    <row r="559" spans="1:9" x14ac:dyDescent="0.3">
      <c r="A559" s="30" t="s">
        <v>482</v>
      </c>
      <c r="B559" s="33" t="s">
        <v>23</v>
      </c>
      <c r="C559" s="33">
        <v>1</v>
      </c>
      <c r="D559" s="34" t="s">
        <v>200</v>
      </c>
      <c r="E559" s="34" t="s">
        <v>211</v>
      </c>
      <c r="F559" s="33">
        <v>0</v>
      </c>
      <c r="G559" s="33">
        <v>0.15</v>
      </c>
      <c r="H559" s="33" t="s">
        <v>202</v>
      </c>
      <c r="I559" s="33">
        <v>100</v>
      </c>
    </row>
    <row r="560" spans="1:9" x14ac:dyDescent="0.3">
      <c r="A560" s="30" t="s">
        <v>482</v>
      </c>
      <c r="B560" s="33" t="s">
        <v>23</v>
      </c>
      <c r="C560" s="33">
        <v>1</v>
      </c>
      <c r="D560" s="34" t="s">
        <v>200</v>
      </c>
      <c r="E560" s="34" t="s">
        <v>212</v>
      </c>
      <c r="F560" s="33">
        <v>0</v>
      </c>
      <c r="G560" s="33">
        <v>0.15</v>
      </c>
      <c r="H560" s="33" t="s">
        <v>202</v>
      </c>
      <c r="I560" s="33">
        <v>100</v>
      </c>
    </row>
    <row r="561" spans="1:9" x14ac:dyDescent="0.3">
      <c r="A561" s="30" t="s">
        <v>482</v>
      </c>
      <c r="B561" s="33" t="s">
        <v>23</v>
      </c>
      <c r="C561" s="33">
        <v>1</v>
      </c>
      <c r="D561" s="34" t="s">
        <v>200</v>
      </c>
      <c r="E561" s="34" t="s">
        <v>213</v>
      </c>
      <c r="F561" s="33">
        <v>0</v>
      </c>
      <c r="G561" s="33">
        <v>0.15</v>
      </c>
      <c r="H561" s="33" t="s">
        <v>202</v>
      </c>
      <c r="I561" s="33">
        <v>100</v>
      </c>
    </row>
    <row r="562" spans="1:9" x14ac:dyDescent="0.3">
      <c r="A562" s="30" t="s">
        <v>482</v>
      </c>
      <c r="B562" s="33" t="s">
        <v>23</v>
      </c>
      <c r="C562" s="33">
        <v>1</v>
      </c>
      <c r="D562" s="34" t="s">
        <v>200</v>
      </c>
      <c r="E562" s="34" t="s">
        <v>214</v>
      </c>
      <c r="F562" s="33">
        <v>0</v>
      </c>
      <c r="G562" s="33">
        <v>0.15</v>
      </c>
      <c r="H562" s="33" t="s">
        <v>202</v>
      </c>
      <c r="I562" s="33">
        <v>100</v>
      </c>
    </row>
    <row r="563" spans="1:9" x14ac:dyDescent="0.3">
      <c r="A563" s="30" t="s">
        <v>482</v>
      </c>
      <c r="B563" s="33" t="s">
        <v>23</v>
      </c>
      <c r="C563" s="33">
        <v>1</v>
      </c>
      <c r="D563" s="34" t="s">
        <v>200</v>
      </c>
      <c r="E563" s="34" t="s">
        <v>201</v>
      </c>
      <c r="F563" s="33">
        <v>0</v>
      </c>
      <c r="G563" s="33">
        <v>0.5</v>
      </c>
      <c r="H563" s="33" t="s">
        <v>215</v>
      </c>
      <c r="I563" s="33">
        <v>500</v>
      </c>
    </row>
    <row r="564" spans="1:9" x14ac:dyDescent="0.3">
      <c r="A564" s="30" t="s">
        <v>482</v>
      </c>
      <c r="B564" s="33" t="s">
        <v>23</v>
      </c>
      <c r="C564" s="33">
        <v>1</v>
      </c>
      <c r="D564" s="34" t="s">
        <v>200</v>
      </c>
      <c r="E564" s="34" t="s">
        <v>203</v>
      </c>
      <c r="F564" s="33">
        <v>0</v>
      </c>
      <c r="G564" s="33">
        <v>0.5</v>
      </c>
      <c r="H564" s="33" t="s">
        <v>215</v>
      </c>
      <c r="I564" s="33">
        <v>500</v>
      </c>
    </row>
    <row r="565" spans="1:9" x14ac:dyDescent="0.3">
      <c r="A565" s="30" t="s">
        <v>482</v>
      </c>
      <c r="B565" s="33" t="s">
        <v>23</v>
      </c>
      <c r="C565" s="33">
        <v>1</v>
      </c>
      <c r="D565" s="34" t="s">
        <v>200</v>
      </c>
      <c r="E565" s="34" t="s">
        <v>204</v>
      </c>
      <c r="F565" s="33">
        <v>0</v>
      </c>
      <c r="G565" s="33">
        <v>0.5</v>
      </c>
      <c r="H565" s="33" t="s">
        <v>215</v>
      </c>
      <c r="I565" s="33">
        <v>500</v>
      </c>
    </row>
    <row r="566" spans="1:9" x14ac:dyDescent="0.3">
      <c r="A566" s="30" t="s">
        <v>482</v>
      </c>
      <c r="B566" s="33" t="s">
        <v>23</v>
      </c>
      <c r="C566" s="33">
        <v>1</v>
      </c>
      <c r="D566" s="34" t="s">
        <v>200</v>
      </c>
      <c r="E566" s="34" t="s">
        <v>205</v>
      </c>
      <c r="F566" s="33">
        <v>0</v>
      </c>
      <c r="G566" s="33">
        <v>0.5</v>
      </c>
      <c r="H566" s="33" t="s">
        <v>215</v>
      </c>
      <c r="I566" s="33">
        <v>500</v>
      </c>
    </row>
    <row r="567" spans="1:9" x14ac:dyDescent="0.3">
      <c r="A567" s="30" t="s">
        <v>482</v>
      </c>
      <c r="B567" s="33" t="s">
        <v>23</v>
      </c>
      <c r="C567" s="33">
        <v>1</v>
      </c>
      <c r="D567" s="34" t="s">
        <v>200</v>
      </c>
      <c r="E567" s="34" t="s">
        <v>206</v>
      </c>
      <c r="F567" s="33">
        <v>0</v>
      </c>
      <c r="G567" s="33">
        <v>0.5</v>
      </c>
      <c r="H567" s="33" t="s">
        <v>215</v>
      </c>
      <c r="I567" s="33">
        <v>500</v>
      </c>
    </row>
    <row r="568" spans="1:9" x14ac:dyDescent="0.3">
      <c r="A568" s="30" t="s">
        <v>482</v>
      </c>
      <c r="B568" s="33" t="s">
        <v>23</v>
      </c>
      <c r="C568" s="33">
        <v>1</v>
      </c>
      <c r="D568" s="34" t="s">
        <v>200</v>
      </c>
      <c r="E568" s="34" t="s">
        <v>207</v>
      </c>
      <c r="F568" s="33">
        <v>0</v>
      </c>
      <c r="G568" s="33">
        <v>0.35</v>
      </c>
      <c r="H568" s="33" t="s">
        <v>215</v>
      </c>
      <c r="I568" s="33">
        <v>500</v>
      </c>
    </row>
    <row r="569" spans="1:9" x14ac:dyDescent="0.3">
      <c r="A569" s="30" t="s">
        <v>482</v>
      </c>
      <c r="B569" s="33" t="s">
        <v>23</v>
      </c>
      <c r="C569" s="33">
        <v>1</v>
      </c>
      <c r="D569" s="34" t="s">
        <v>200</v>
      </c>
      <c r="E569" s="34" t="s">
        <v>208</v>
      </c>
      <c r="F569" s="33">
        <v>0</v>
      </c>
      <c r="G569" s="33">
        <v>0.3</v>
      </c>
      <c r="H569" s="33" t="s">
        <v>215</v>
      </c>
      <c r="I569" s="33">
        <v>500</v>
      </c>
    </row>
    <row r="570" spans="1:9" x14ac:dyDescent="0.3">
      <c r="A570" s="30" t="s">
        <v>482</v>
      </c>
      <c r="B570" s="33" t="s">
        <v>23</v>
      </c>
      <c r="C570" s="33">
        <v>1</v>
      </c>
      <c r="D570" s="34" t="s">
        <v>200</v>
      </c>
      <c r="E570" s="34" t="s">
        <v>209</v>
      </c>
      <c r="F570" s="33">
        <v>0</v>
      </c>
      <c r="G570" s="33">
        <v>0.5</v>
      </c>
      <c r="H570" s="33" t="s">
        <v>215</v>
      </c>
      <c r="I570" s="33">
        <v>500</v>
      </c>
    </row>
    <row r="571" spans="1:9" x14ac:dyDescent="0.3">
      <c r="A571" s="30" t="s">
        <v>482</v>
      </c>
      <c r="B571" s="33" t="s">
        <v>23</v>
      </c>
      <c r="C571" s="33">
        <v>1</v>
      </c>
      <c r="D571" s="34" t="s">
        <v>200</v>
      </c>
      <c r="E571" s="34" t="s">
        <v>210</v>
      </c>
      <c r="F571" s="33">
        <v>0</v>
      </c>
      <c r="G571" s="33">
        <v>0.3</v>
      </c>
      <c r="H571" s="33" t="s">
        <v>215</v>
      </c>
      <c r="I571" s="33">
        <v>500</v>
      </c>
    </row>
    <row r="572" spans="1:9" x14ac:dyDescent="0.3">
      <c r="A572" s="30" t="s">
        <v>482</v>
      </c>
      <c r="B572" s="33" t="s">
        <v>23</v>
      </c>
      <c r="C572" s="33">
        <v>1</v>
      </c>
      <c r="D572" s="34" t="s">
        <v>200</v>
      </c>
      <c r="E572" s="34" t="s">
        <v>211</v>
      </c>
      <c r="F572" s="33">
        <v>0</v>
      </c>
      <c r="G572" s="33">
        <v>0.25</v>
      </c>
      <c r="H572" s="33" t="s">
        <v>215</v>
      </c>
      <c r="I572" s="33">
        <v>500</v>
      </c>
    </row>
    <row r="573" spans="1:9" x14ac:dyDescent="0.3">
      <c r="A573" s="30" t="s">
        <v>482</v>
      </c>
      <c r="B573" s="33" t="s">
        <v>23</v>
      </c>
      <c r="C573" s="33">
        <v>1</v>
      </c>
      <c r="D573" s="34" t="s">
        <v>200</v>
      </c>
      <c r="E573" s="34" t="s">
        <v>212</v>
      </c>
      <c r="F573" s="33">
        <v>0</v>
      </c>
      <c r="G573" s="33">
        <v>0.25</v>
      </c>
      <c r="H573" s="33" t="s">
        <v>215</v>
      </c>
      <c r="I573" s="33">
        <v>500</v>
      </c>
    </row>
    <row r="574" spans="1:9" x14ac:dyDescent="0.3">
      <c r="A574" s="30" t="s">
        <v>482</v>
      </c>
      <c r="B574" s="33" t="s">
        <v>23</v>
      </c>
      <c r="C574" s="33">
        <v>1</v>
      </c>
      <c r="D574" s="34" t="s">
        <v>200</v>
      </c>
      <c r="E574" s="34" t="s">
        <v>213</v>
      </c>
      <c r="F574" s="33">
        <v>0</v>
      </c>
      <c r="G574" s="33">
        <v>0.25</v>
      </c>
      <c r="H574" s="33" t="s">
        <v>215</v>
      </c>
      <c r="I574" s="33">
        <v>500</v>
      </c>
    </row>
    <row r="575" spans="1:9" x14ac:dyDescent="0.3">
      <c r="A575" s="30" t="s">
        <v>482</v>
      </c>
      <c r="B575" s="33" t="s">
        <v>23</v>
      </c>
      <c r="C575" s="33">
        <v>1</v>
      </c>
      <c r="D575" s="34" t="s">
        <v>200</v>
      </c>
      <c r="E575" s="34" t="s">
        <v>214</v>
      </c>
      <c r="F575" s="33">
        <v>0</v>
      </c>
      <c r="G575" s="33">
        <v>0.25</v>
      </c>
      <c r="H575" s="33" t="s">
        <v>215</v>
      </c>
      <c r="I575" s="33">
        <v>500</v>
      </c>
    </row>
    <row r="576" spans="1:9" x14ac:dyDescent="0.3">
      <c r="A576" s="30" t="s">
        <v>482</v>
      </c>
      <c r="B576" s="33" t="s">
        <v>23</v>
      </c>
      <c r="C576" s="33">
        <v>1</v>
      </c>
      <c r="D576" s="34" t="s">
        <v>200</v>
      </c>
      <c r="E576" s="34" t="s">
        <v>216</v>
      </c>
      <c r="F576" s="33">
        <v>0</v>
      </c>
      <c r="G576" s="33">
        <v>0.3</v>
      </c>
      <c r="H576" s="33" t="s">
        <v>202</v>
      </c>
      <c r="I576" s="33">
        <v>100</v>
      </c>
    </row>
    <row r="577" spans="1:9" x14ac:dyDescent="0.3">
      <c r="A577" s="30" t="s">
        <v>482</v>
      </c>
      <c r="B577" s="33" t="s">
        <v>23</v>
      </c>
      <c r="C577" s="33">
        <v>1</v>
      </c>
      <c r="D577" s="34" t="s">
        <v>200</v>
      </c>
      <c r="E577" s="34" t="s">
        <v>216</v>
      </c>
      <c r="F577" s="33">
        <v>0</v>
      </c>
      <c r="G577" s="33">
        <v>0.45</v>
      </c>
      <c r="H577" s="33" t="s">
        <v>215</v>
      </c>
      <c r="I577" s="33">
        <v>500</v>
      </c>
    </row>
    <row r="578" spans="1:9" x14ac:dyDescent="0.3">
      <c r="A578" s="30" t="s">
        <v>482</v>
      </c>
      <c r="B578" s="33" t="s">
        <v>23</v>
      </c>
      <c r="C578" s="33">
        <v>1</v>
      </c>
      <c r="D578" s="34" t="s">
        <v>200</v>
      </c>
      <c r="E578" s="34" t="s">
        <v>217</v>
      </c>
      <c r="F578" s="33">
        <v>0</v>
      </c>
      <c r="G578" s="33">
        <v>0.2</v>
      </c>
      <c r="H578" s="33" t="s">
        <v>202</v>
      </c>
      <c r="I578" s="33">
        <v>100</v>
      </c>
    </row>
    <row r="579" spans="1:9" x14ac:dyDescent="0.3">
      <c r="A579" s="30" t="s">
        <v>482</v>
      </c>
      <c r="B579" s="33" t="s">
        <v>23</v>
      </c>
      <c r="C579" s="33">
        <v>1</v>
      </c>
      <c r="D579" s="34" t="s">
        <v>200</v>
      </c>
      <c r="E579" s="34" t="s">
        <v>218</v>
      </c>
      <c r="F579" s="33">
        <v>0</v>
      </c>
      <c r="G579" s="33">
        <v>0.2</v>
      </c>
      <c r="H579" s="33" t="s">
        <v>202</v>
      </c>
      <c r="I579" s="33">
        <v>100</v>
      </c>
    </row>
    <row r="580" spans="1:9" x14ac:dyDescent="0.3">
      <c r="A580" s="30" t="s">
        <v>482</v>
      </c>
      <c r="B580" s="33" t="s">
        <v>23</v>
      </c>
      <c r="C580" s="33">
        <v>1</v>
      </c>
      <c r="D580" s="34" t="s">
        <v>200</v>
      </c>
      <c r="E580" s="34" t="s">
        <v>219</v>
      </c>
      <c r="F580" s="33">
        <v>0</v>
      </c>
      <c r="G580" s="33">
        <v>0.2</v>
      </c>
      <c r="H580" s="33" t="s">
        <v>202</v>
      </c>
      <c r="I580" s="33">
        <v>100</v>
      </c>
    </row>
    <row r="581" spans="1:9" x14ac:dyDescent="0.3">
      <c r="A581" s="30" t="s">
        <v>482</v>
      </c>
      <c r="B581" s="33" t="s">
        <v>23</v>
      </c>
      <c r="C581" s="33">
        <v>1</v>
      </c>
      <c r="D581" s="34" t="s">
        <v>200</v>
      </c>
      <c r="E581" s="34" t="s">
        <v>220</v>
      </c>
      <c r="F581" s="33">
        <v>0</v>
      </c>
      <c r="G581" s="33">
        <v>0.2</v>
      </c>
      <c r="H581" s="33" t="s">
        <v>202</v>
      </c>
      <c r="I581" s="33">
        <v>100</v>
      </c>
    </row>
    <row r="582" spans="1:9" x14ac:dyDescent="0.3">
      <c r="A582" s="30" t="s">
        <v>482</v>
      </c>
      <c r="B582" s="33" t="s">
        <v>23</v>
      </c>
      <c r="C582" s="33">
        <v>1</v>
      </c>
      <c r="D582" s="34" t="s">
        <v>200</v>
      </c>
      <c r="E582" s="34" t="s">
        <v>217</v>
      </c>
      <c r="F582" s="33">
        <v>0</v>
      </c>
      <c r="G582" s="33">
        <v>0.35</v>
      </c>
      <c r="H582" s="33" t="s">
        <v>215</v>
      </c>
      <c r="I582" s="33">
        <v>500</v>
      </c>
    </row>
    <row r="583" spans="1:9" x14ac:dyDescent="0.3">
      <c r="A583" s="30" t="s">
        <v>482</v>
      </c>
      <c r="B583" s="33" t="s">
        <v>23</v>
      </c>
      <c r="C583" s="33">
        <v>1</v>
      </c>
      <c r="D583" s="34" t="s">
        <v>200</v>
      </c>
      <c r="E583" s="34" t="s">
        <v>218</v>
      </c>
      <c r="F583" s="33">
        <v>0</v>
      </c>
      <c r="G583" s="33">
        <v>0.35</v>
      </c>
      <c r="H583" s="33" t="s">
        <v>215</v>
      </c>
      <c r="I583" s="33">
        <v>500</v>
      </c>
    </row>
    <row r="584" spans="1:9" x14ac:dyDescent="0.3">
      <c r="A584" s="30" t="s">
        <v>482</v>
      </c>
      <c r="B584" s="33" t="s">
        <v>23</v>
      </c>
      <c r="C584" s="33">
        <v>1</v>
      </c>
      <c r="D584" s="34" t="s">
        <v>200</v>
      </c>
      <c r="E584" s="34" t="s">
        <v>219</v>
      </c>
      <c r="F584" s="33">
        <v>0</v>
      </c>
      <c r="G584" s="33">
        <v>0.35</v>
      </c>
      <c r="H584" s="33" t="s">
        <v>215</v>
      </c>
      <c r="I584" s="33">
        <v>500</v>
      </c>
    </row>
    <row r="585" spans="1:9" x14ac:dyDescent="0.3">
      <c r="A585" s="30" t="s">
        <v>482</v>
      </c>
      <c r="B585" s="33" t="s">
        <v>23</v>
      </c>
      <c r="C585" s="33">
        <v>1</v>
      </c>
      <c r="D585" s="34" t="s">
        <v>200</v>
      </c>
      <c r="E585" s="34" t="s">
        <v>220</v>
      </c>
      <c r="F585" s="33">
        <v>0</v>
      </c>
      <c r="G585" s="33">
        <v>0.35</v>
      </c>
      <c r="H585" s="33" t="s">
        <v>215</v>
      </c>
      <c r="I585" s="33">
        <v>500</v>
      </c>
    </row>
    <row r="586" spans="1:9" x14ac:dyDescent="0.3">
      <c r="A586" s="30" t="s">
        <v>482</v>
      </c>
      <c r="B586" s="33" t="s">
        <v>23</v>
      </c>
      <c r="C586" s="33">
        <v>1</v>
      </c>
      <c r="D586" s="34" t="s">
        <v>221</v>
      </c>
      <c r="E586" s="34" t="s">
        <v>198</v>
      </c>
      <c r="F586" s="33">
        <v>0</v>
      </c>
      <c r="G586" s="33">
        <v>0.5</v>
      </c>
      <c r="H586" s="33"/>
      <c r="I586" s="33">
        <v>0</v>
      </c>
    </row>
    <row r="587" spans="1:9" x14ac:dyDescent="0.3">
      <c r="A587" s="30" t="s">
        <v>483</v>
      </c>
      <c r="B587" s="33" t="s">
        <v>23</v>
      </c>
      <c r="C587" s="33">
        <v>1</v>
      </c>
      <c r="D587" s="34" t="s">
        <v>188</v>
      </c>
      <c r="E587" s="34" t="s">
        <v>189</v>
      </c>
      <c r="F587" s="33">
        <v>0</v>
      </c>
      <c r="G587" s="33">
        <v>0.15</v>
      </c>
      <c r="H587" s="33"/>
      <c r="I587" s="33">
        <v>0</v>
      </c>
    </row>
    <row r="588" spans="1:9" x14ac:dyDescent="0.3">
      <c r="A588" s="30" t="s">
        <v>483</v>
      </c>
      <c r="B588" s="33" t="s">
        <v>23</v>
      </c>
      <c r="C588" s="33">
        <v>1</v>
      </c>
      <c r="D588" s="34" t="s">
        <v>190</v>
      </c>
      <c r="E588" s="34" t="s">
        <v>198</v>
      </c>
      <c r="F588" s="33">
        <v>0</v>
      </c>
      <c r="G588" s="33">
        <v>0.3</v>
      </c>
      <c r="H588" s="33"/>
      <c r="I588" s="33">
        <v>0</v>
      </c>
    </row>
    <row r="589" spans="1:9" x14ac:dyDescent="0.3">
      <c r="A589" s="30" t="s">
        <v>483</v>
      </c>
      <c r="B589" s="33" t="s">
        <v>23</v>
      </c>
      <c r="C589" s="33">
        <v>1</v>
      </c>
      <c r="D589" s="34" t="s">
        <v>197</v>
      </c>
      <c r="E589" s="34" t="s">
        <v>198</v>
      </c>
      <c r="F589" s="33">
        <v>0</v>
      </c>
      <c r="G589" s="33">
        <v>0.05</v>
      </c>
      <c r="H589" s="33"/>
      <c r="I589" s="33">
        <v>0</v>
      </c>
    </row>
    <row r="590" spans="1:9" x14ac:dyDescent="0.3">
      <c r="A590" s="30" t="s">
        <v>483</v>
      </c>
      <c r="B590" s="33" t="s">
        <v>23</v>
      </c>
      <c r="C590" s="33">
        <v>1</v>
      </c>
      <c r="D590" s="34" t="s">
        <v>197</v>
      </c>
      <c r="E590" s="34" t="s">
        <v>199</v>
      </c>
      <c r="F590" s="33">
        <v>0</v>
      </c>
      <c r="G590" s="33">
        <v>0</v>
      </c>
      <c r="H590" s="33"/>
      <c r="I590" s="33">
        <v>0</v>
      </c>
    </row>
    <row r="591" spans="1:9" x14ac:dyDescent="0.3">
      <c r="A591" s="30" t="s">
        <v>483</v>
      </c>
      <c r="B591" s="33" t="s">
        <v>23</v>
      </c>
      <c r="C591" s="33">
        <v>1</v>
      </c>
      <c r="D591" s="34" t="s">
        <v>200</v>
      </c>
      <c r="E591" s="34" t="s">
        <v>201</v>
      </c>
      <c r="F591" s="33">
        <v>0</v>
      </c>
      <c r="G591" s="33">
        <v>0.35</v>
      </c>
      <c r="H591" s="33" t="s">
        <v>202</v>
      </c>
      <c r="I591" s="33">
        <v>100</v>
      </c>
    </row>
    <row r="592" spans="1:9" x14ac:dyDescent="0.3">
      <c r="A592" s="30" t="s">
        <v>483</v>
      </c>
      <c r="B592" s="33" t="s">
        <v>23</v>
      </c>
      <c r="C592" s="33">
        <v>1</v>
      </c>
      <c r="D592" s="34" t="s">
        <v>200</v>
      </c>
      <c r="E592" s="34" t="s">
        <v>203</v>
      </c>
      <c r="F592" s="33">
        <v>0</v>
      </c>
      <c r="G592" s="33">
        <v>0.3</v>
      </c>
      <c r="H592" s="33" t="s">
        <v>202</v>
      </c>
      <c r="I592" s="33">
        <v>100</v>
      </c>
    </row>
    <row r="593" spans="1:9" x14ac:dyDescent="0.3">
      <c r="A593" s="30" t="s">
        <v>483</v>
      </c>
      <c r="B593" s="33" t="s">
        <v>23</v>
      </c>
      <c r="C593" s="33">
        <v>1</v>
      </c>
      <c r="D593" s="34" t="s">
        <v>200</v>
      </c>
      <c r="E593" s="34" t="s">
        <v>204</v>
      </c>
      <c r="F593" s="33">
        <v>0</v>
      </c>
      <c r="G593" s="33">
        <v>0.3</v>
      </c>
      <c r="H593" s="33" t="s">
        <v>202</v>
      </c>
      <c r="I593" s="33">
        <v>100</v>
      </c>
    </row>
    <row r="594" spans="1:9" x14ac:dyDescent="0.3">
      <c r="A594" s="30" t="s">
        <v>483</v>
      </c>
      <c r="B594" s="33" t="s">
        <v>23</v>
      </c>
      <c r="C594" s="33">
        <v>1</v>
      </c>
      <c r="D594" s="34" t="s">
        <v>200</v>
      </c>
      <c r="E594" s="34" t="s">
        <v>205</v>
      </c>
      <c r="F594" s="33">
        <v>0</v>
      </c>
      <c r="G594" s="33">
        <v>0.3</v>
      </c>
      <c r="H594" s="33" t="s">
        <v>202</v>
      </c>
      <c r="I594" s="33">
        <v>100</v>
      </c>
    </row>
    <row r="595" spans="1:9" x14ac:dyDescent="0.3">
      <c r="A595" s="30" t="s">
        <v>483</v>
      </c>
      <c r="B595" s="33" t="s">
        <v>23</v>
      </c>
      <c r="C595" s="33">
        <v>1</v>
      </c>
      <c r="D595" s="34" t="s">
        <v>200</v>
      </c>
      <c r="E595" s="34" t="s">
        <v>206</v>
      </c>
      <c r="F595" s="33">
        <v>0</v>
      </c>
      <c r="G595" s="33">
        <v>0.3</v>
      </c>
      <c r="H595" s="33" t="s">
        <v>202</v>
      </c>
      <c r="I595" s="33">
        <v>100</v>
      </c>
    </row>
    <row r="596" spans="1:9" x14ac:dyDescent="0.3">
      <c r="A596" s="30" t="s">
        <v>483</v>
      </c>
      <c r="B596" s="33" t="s">
        <v>23</v>
      </c>
      <c r="C596" s="33">
        <v>1</v>
      </c>
      <c r="D596" s="34" t="s">
        <v>200</v>
      </c>
      <c r="E596" s="34" t="s">
        <v>207</v>
      </c>
      <c r="F596" s="33">
        <v>0</v>
      </c>
      <c r="G596" s="33">
        <v>0.2</v>
      </c>
      <c r="H596" s="33" t="s">
        <v>202</v>
      </c>
      <c r="I596" s="33">
        <v>100</v>
      </c>
    </row>
    <row r="597" spans="1:9" x14ac:dyDescent="0.3">
      <c r="A597" s="30" t="s">
        <v>483</v>
      </c>
      <c r="B597" s="33" t="s">
        <v>23</v>
      </c>
      <c r="C597" s="33">
        <v>1</v>
      </c>
      <c r="D597" s="34" t="s">
        <v>200</v>
      </c>
      <c r="E597" s="34" t="s">
        <v>208</v>
      </c>
      <c r="F597" s="33">
        <v>0</v>
      </c>
      <c r="G597" s="33">
        <v>0.2</v>
      </c>
      <c r="H597" s="33" t="s">
        <v>202</v>
      </c>
      <c r="I597" s="33">
        <v>100</v>
      </c>
    </row>
    <row r="598" spans="1:9" x14ac:dyDescent="0.3">
      <c r="A598" s="30" t="s">
        <v>483</v>
      </c>
      <c r="B598" s="33" t="s">
        <v>23</v>
      </c>
      <c r="C598" s="33">
        <v>1</v>
      </c>
      <c r="D598" s="34" t="s">
        <v>200</v>
      </c>
      <c r="E598" s="34" t="s">
        <v>209</v>
      </c>
      <c r="F598" s="33">
        <v>0</v>
      </c>
      <c r="G598" s="33">
        <v>0.3</v>
      </c>
      <c r="H598" s="33" t="s">
        <v>202</v>
      </c>
      <c r="I598" s="33">
        <v>100</v>
      </c>
    </row>
    <row r="599" spans="1:9" x14ac:dyDescent="0.3">
      <c r="A599" s="30" t="s">
        <v>483</v>
      </c>
      <c r="B599" s="33" t="s">
        <v>23</v>
      </c>
      <c r="C599" s="33">
        <v>1</v>
      </c>
      <c r="D599" s="34" t="s">
        <v>200</v>
      </c>
      <c r="E599" s="34" t="s">
        <v>210</v>
      </c>
      <c r="F599" s="33">
        <v>0</v>
      </c>
      <c r="G599" s="33">
        <v>0.2</v>
      </c>
      <c r="H599" s="33" t="s">
        <v>202</v>
      </c>
      <c r="I599" s="33">
        <v>100</v>
      </c>
    </row>
    <row r="600" spans="1:9" x14ac:dyDescent="0.3">
      <c r="A600" s="30" t="s">
        <v>483</v>
      </c>
      <c r="B600" s="33" t="s">
        <v>23</v>
      </c>
      <c r="C600" s="33">
        <v>1</v>
      </c>
      <c r="D600" s="34" t="s">
        <v>200</v>
      </c>
      <c r="E600" s="34" t="s">
        <v>211</v>
      </c>
      <c r="F600" s="33">
        <v>0</v>
      </c>
      <c r="G600" s="33">
        <v>0.15</v>
      </c>
      <c r="H600" s="33" t="s">
        <v>202</v>
      </c>
      <c r="I600" s="33">
        <v>100</v>
      </c>
    </row>
    <row r="601" spans="1:9" x14ac:dyDescent="0.3">
      <c r="A601" s="30" t="s">
        <v>483</v>
      </c>
      <c r="B601" s="33" t="s">
        <v>23</v>
      </c>
      <c r="C601" s="33">
        <v>1</v>
      </c>
      <c r="D601" s="34" t="s">
        <v>200</v>
      </c>
      <c r="E601" s="34" t="s">
        <v>212</v>
      </c>
      <c r="F601" s="33">
        <v>0</v>
      </c>
      <c r="G601" s="33">
        <v>0.15</v>
      </c>
      <c r="H601" s="33" t="s">
        <v>202</v>
      </c>
      <c r="I601" s="33">
        <v>100</v>
      </c>
    </row>
    <row r="602" spans="1:9" x14ac:dyDescent="0.3">
      <c r="A602" s="30" t="s">
        <v>483</v>
      </c>
      <c r="B602" s="33" t="s">
        <v>23</v>
      </c>
      <c r="C602" s="33">
        <v>1</v>
      </c>
      <c r="D602" s="34" t="s">
        <v>200</v>
      </c>
      <c r="E602" s="34" t="s">
        <v>213</v>
      </c>
      <c r="F602" s="33">
        <v>0</v>
      </c>
      <c r="G602" s="33">
        <v>0.15</v>
      </c>
      <c r="H602" s="33" t="s">
        <v>202</v>
      </c>
      <c r="I602" s="33">
        <v>100</v>
      </c>
    </row>
    <row r="603" spans="1:9" x14ac:dyDescent="0.3">
      <c r="A603" s="30" t="s">
        <v>483</v>
      </c>
      <c r="B603" s="33" t="s">
        <v>23</v>
      </c>
      <c r="C603" s="33">
        <v>1</v>
      </c>
      <c r="D603" s="34" t="s">
        <v>200</v>
      </c>
      <c r="E603" s="34" t="s">
        <v>214</v>
      </c>
      <c r="F603" s="33">
        <v>0</v>
      </c>
      <c r="G603" s="33">
        <v>0.15</v>
      </c>
      <c r="H603" s="33" t="s">
        <v>202</v>
      </c>
      <c r="I603" s="33">
        <v>100</v>
      </c>
    </row>
    <row r="604" spans="1:9" x14ac:dyDescent="0.3">
      <c r="A604" s="30" t="s">
        <v>483</v>
      </c>
      <c r="B604" s="33" t="s">
        <v>23</v>
      </c>
      <c r="C604" s="33">
        <v>1</v>
      </c>
      <c r="D604" s="34" t="s">
        <v>200</v>
      </c>
      <c r="E604" s="34" t="s">
        <v>201</v>
      </c>
      <c r="F604" s="33">
        <v>0</v>
      </c>
      <c r="G604" s="33">
        <v>0.5</v>
      </c>
      <c r="H604" s="33" t="s">
        <v>215</v>
      </c>
      <c r="I604" s="33">
        <v>500</v>
      </c>
    </row>
    <row r="605" spans="1:9" x14ac:dyDescent="0.3">
      <c r="A605" s="30" t="s">
        <v>483</v>
      </c>
      <c r="B605" s="33" t="s">
        <v>23</v>
      </c>
      <c r="C605" s="33">
        <v>1</v>
      </c>
      <c r="D605" s="34" t="s">
        <v>200</v>
      </c>
      <c r="E605" s="34" t="s">
        <v>203</v>
      </c>
      <c r="F605" s="33">
        <v>0</v>
      </c>
      <c r="G605" s="33">
        <v>0.5</v>
      </c>
      <c r="H605" s="33" t="s">
        <v>215</v>
      </c>
      <c r="I605" s="33">
        <v>500</v>
      </c>
    </row>
    <row r="606" spans="1:9" x14ac:dyDescent="0.3">
      <c r="A606" s="30" t="s">
        <v>483</v>
      </c>
      <c r="B606" s="33" t="s">
        <v>23</v>
      </c>
      <c r="C606" s="33">
        <v>1</v>
      </c>
      <c r="D606" s="34" t="s">
        <v>200</v>
      </c>
      <c r="E606" s="34" t="s">
        <v>204</v>
      </c>
      <c r="F606" s="33">
        <v>0</v>
      </c>
      <c r="G606" s="33">
        <v>0.5</v>
      </c>
      <c r="H606" s="33" t="s">
        <v>215</v>
      </c>
      <c r="I606" s="33">
        <v>500</v>
      </c>
    </row>
    <row r="607" spans="1:9" x14ac:dyDescent="0.3">
      <c r="A607" s="30" t="s">
        <v>483</v>
      </c>
      <c r="B607" s="33" t="s">
        <v>23</v>
      </c>
      <c r="C607" s="33">
        <v>1</v>
      </c>
      <c r="D607" s="34" t="s">
        <v>200</v>
      </c>
      <c r="E607" s="34" t="s">
        <v>205</v>
      </c>
      <c r="F607" s="33">
        <v>0</v>
      </c>
      <c r="G607" s="33">
        <v>0.5</v>
      </c>
      <c r="H607" s="33" t="s">
        <v>215</v>
      </c>
      <c r="I607" s="33">
        <v>500</v>
      </c>
    </row>
    <row r="608" spans="1:9" x14ac:dyDescent="0.3">
      <c r="A608" s="30" t="s">
        <v>483</v>
      </c>
      <c r="B608" s="33" t="s">
        <v>23</v>
      </c>
      <c r="C608" s="33">
        <v>1</v>
      </c>
      <c r="D608" s="34" t="s">
        <v>200</v>
      </c>
      <c r="E608" s="34" t="s">
        <v>206</v>
      </c>
      <c r="F608" s="33">
        <v>0</v>
      </c>
      <c r="G608" s="33">
        <v>0.5</v>
      </c>
      <c r="H608" s="33" t="s">
        <v>215</v>
      </c>
      <c r="I608" s="33">
        <v>500</v>
      </c>
    </row>
    <row r="609" spans="1:9" x14ac:dyDescent="0.3">
      <c r="A609" s="30" t="s">
        <v>483</v>
      </c>
      <c r="B609" s="33" t="s">
        <v>23</v>
      </c>
      <c r="C609" s="33">
        <v>1</v>
      </c>
      <c r="D609" s="34" t="s">
        <v>200</v>
      </c>
      <c r="E609" s="34" t="s">
        <v>207</v>
      </c>
      <c r="F609" s="33">
        <v>0</v>
      </c>
      <c r="G609" s="33">
        <v>0.35</v>
      </c>
      <c r="H609" s="33" t="s">
        <v>215</v>
      </c>
      <c r="I609" s="33">
        <v>500</v>
      </c>
    </row>
    <row r="610" spans="1:9" x14ac:dyDescent="0.3">
      <c r="A610" s="30" t="s">
        <v>483</v>
      </c>
      <c r="B610" s="33" t="s">
        <v>23</v>
      </c>
      <c r="C610" s="33">
        <v>1</v>
      </c>
      <c r="D610" s="34" t="s">
        <v>200</v>
      </c>
      <c r="E610" s="34" t="s">
        <v>208</v>
      </c>
      <c r="F610" s="33">
        <v>0</v>
      </c>
      <c r="G610" s="33">
        <v>0.3</v>
      </c>
      <c r="H610" s="33" t="s">
        <v>215</v>
      </c>
      <c r="I610" s="33">
        <v>500</v>
      </c>
    </row>
    <row r="611" spans="1:9" x14ac:dyDescent="0.3">
      <c r="A611" s="30" t="s">
        <v>483</v>
      </c>
      <c r="B611" s="33" t="s">
        <v>23</v>
      </c>
      <c r="C611" s="33">
        <v>1</v>
      </c>
      <c r="D611" s="34" t="s">
        <v>200</v>
      </c>
      <c r="E611" s="34" t="s">
        <v>209</v>
      </c>
      <c r="F611" s="33">
        <v>0</v>
      </c>
      <c r="G611" s="33">
        <v>0.5</v>
      </c>
      <c r="H611" s="33" t="s">
        <v>215</v>
      </c>
      <c r="I611" s="33">
        <v>500</v>
      </c>
    </row>
    <row r="612" spans="1:9" x14ac:dyDescent="0.3">
      <c r="A612" s="30" t="s">
        <v>483</v>
      </c>
      <c r="B612" s="33" t="s">
        <v>23</v>
      </c>
      <c r="C612" s="33">
        <v>1</v>
      </c>
      <c r="D612" s="34" t="s">
        <v>200</v>
      </c>
      <c r="E612" s="34" t="s">
        <v>210</v>
      </c>
      <c r="F612" s="33">
        <v>0</v>
      </c>
      <c r="G612" s="33">
        <v>0.3</v>
      </c>
      <c r="H612" s="33" t="s">
        <v>215</v>
      </c>
      <c r="I612" s="33">
        <v>500</v>
      </c>
    </row>
    <row r="613" spans="1:9" x14ac:dyDescent="0.3">
      <c r="A613" s="30" t="s">
        <v>483</v>
      </c>
      <c r="B613" s="33" t="s">
        <v>23</v>
      </c>
      <c r="C613" s="33">
        <v>1</v>
      </c>
      <c r="D613" s="34" t="s">
        <v>200</v>
      </c>
      <c r="E613" s="34" t="s">
        <v>211</v>
      </c>
      <c r="F613" s="33">
        <v>0</v>
      </c>
      <c r="G613" s="33">
        <v>0.25</v>
      </c>
      <c r="H613" s="33" t="s">
        <v>215</v>
      </c>
      <c r="I613" s="33">
        <v>500</v>
      </c>
    </row>
    <row r="614" spans="1:9" x14ac:dyDescent="0.3">
      <c r="A614" s="30" t="s">
        <v>483</v>
      </c>
      <c r="B614" s="33" t="s">
        <v>23</v>
      </c>
      <c r="C614" s="33">
        <v>1</v>
      </c>
      <c r="D614" s="34" t="s">
        <v>200</v>
      </c>
      <c r="E614" s="34" t="s">
        <v>212</v>
      </c>
      <c r="F614" s="33">
        <v>0</v>
      </c>
      <c r="G614" s="33">
        <v>0.25</v>
      </c>
      <c r="H614" s="33" t="s">
        <v>215</v>
      </c>
      <c r="I614" s="33">
        <v>500</v>
      </c>
    </row>
    <row r="615" spans="1:9" x14ac:dyDescent="0.3">
      <c r="A615" s="30" t="s">
        <v>483</v>
      </c>
      <c r="B615" s="33" t="s">
        <v>23</v>
      </c>
      <c r="C615" s="33">
        <v>1</v>
      </c>
      <c r="D615" s="34" t="s">
        <v>200</v>
      </c>
      <c r="E615" s="34" t="s">
        <v>213</v>
      </c>
      <c r="F615" s="33">
        <v>0</v>
      </c>
      <c r="G615" s="33">
        <v>0.25</v>
      </c>
      <c r="H615" s="33" t="s">
        <v>215</v>
      </c>
      <c r="I615" s="33">
        <v>500</v>
      </c>
    </row>
    <row r="616" spans="1:9" x14ac:dyDescent="0.3">
      <c r="A616" s="30" t="s">
        <v>483</v>
      </c>
      <c r="B616" s="33" t="s">
        <v>23</v>
      </c>
      <c r="C616" s="33">
        <v>1</v>
      </c>
      <c r="D616" s="34" t="s">
        <v>200</v>
      </c>
      <c r="E616" s="34" t="s">
        <v>214</v>
      </c>
      <c r="F616" s="33">
        <v>0</v>
      </c>
      <c r="G616" s="33">
        <v>0.25</v>
      </c>
      <c r="H616" s="33" t="s">
        <v>215</v>
      </c>
      <c r="I616" s="33">
        <v>500</v>
      </c>
    </row>
    <row r="617" spans="1:9" x14ac:dyDescent="0.3">
      <c r="A617" s="30" t="s">
        <v>483</v>
      </c>
      <c r="B617" s="33" t="s">
        <v>23</v>
      </c>
      <c r="C617" s="33">
        <v>1</v>
      </c>
      <c r="D617" s="34" t="s">
        <v>200</v>
      </c>
      <c r="E617" s="34" t="s">
        <v>216</v>
      </c>
      <c r="F617" s="33">
        <v>0</v>
      </c>
      <c r="G617" s="33">
        <v>0.3</v>
      </c>
      <c r="H617" s="33" t="s">
        <v>202</v>
      </c>
      <c r="I617" s="33">
        <v>100</v>
      </c>
    </row>
    <row r="618" spans="1:9" x14ac:dyDescent="0.3">
      <c r="A618" s="30" t="s">
        <v>483</v>
      </c>
      <c r="B618" s="33" t="s">
        <v>23</v>
      </c>
      <c r="C618" s="33">
        <v>1</v>
      </c>
      <c r="D618" s="34" t="s">
        <v>200</v>
      </c>
      <c r="E618" s="34" t="s">
        <v>216</v>
      </c>
      <c r="F618" s="33">
        <v>0</v>
      </c>
      <c r="G618" s="33">
        <v>0.45</v>
      </c>
      <c r="H618" s="33" t="s">
        <v>215</v>
      </c>
      <c r="I618" s="33">
        <v>500</v>
      </c>
    </row>
    <row r="619" spans="1:9" x14ac:dyDescent="0.3">
      <c r="A619" s="30" t="s">
        <v>483</v>
      </c>
      <c r="B619" s="33" t="s">
        <v>23</v>
      </c>
      <c r="C619" s="33">
        <v>1</v>
      </c>
      <c r="D619" s="34" t="s">
        <v>200</v>
      </c>
      <c r="E619" s="34" t="s">
        <v>217</v>
      </c>
      <c r="F619" s="33">
        <v>0</v>
      </c>
      <c r="G619" s="33">
        <v>0.2</v>
      </c>
      <c r="H619" s="33" t="s">
        <v>202</v>
      </c>
      <c r="I619" s="33">
        <v>100</v>
      </c>
    </row>
    <row r="620" spans="1:9" x14ac:dyDescent="0.3">
      <c r="A620" s="30" t="s">
        <v>483</v>
      </c>
      <c r="B620" s="33" t="s">
        <v>23</v>
      </c>
      <c r="C620" s="33">
        <v>1</v>
      </c>
      <c r="D620" s="34" t="s">
        <v>200</v>
      </c>
      <c r="E620" s="34" t="s">
        <v>218</v>
      </c>
      <c r="F620" s="33">
        <v>0</v>
      </c>
      <c r="G620" s="33">
        <v>0.2</v>
      </c>
      <c r="H620" s="33" t="s">
        <v>202</v>
      </c>
      <c r="I620" s="33">
        <v>100</v>
      </c>
    </row>
    <row r="621" spans="1:9" x14ac:dyDescent="0.3">
      <c r="A621" s="30" t="s">
        <v>483</v>
      </c>
      <c r="B621" s="33" t="s">
        <v>23</v>
      </c>
      <c r="C621" s="33">
        <v>1</v>
      </c>
      <c r="D621" s="34" t="s">
        <v>200</v>
      </c>
      <c r="E621" s="34" t="s">
        <v>219</v>
      </c>
      <c r="F621" s="33">
        <v>0</v>
      </c>
      <c r="G621" s="33">
        <v>0.2</v>
      </c>
      <c r="H621" s="33" t="s">
        <v>202</v>
      </c>
      <c r="I621" s="33">
        <v>100</v>
      </c>
    </row>
    <row r="622" spans="1:9" x14ac:dyDescent="0.3">
      <c r="A622" s="30" t="s">
        <v>483</v>
      </c>
      <c r="B622" s="33" t="s">
        <v>23</v>
      </c>
      <c r="C622" s="33">
        <v>1</v>
      </c>
      <c r="D622" s="34" t="s">
        <v>200</v>
      </c>
      <c r="E622" s="34" t="s">
        <v>220</v>
      </c>
      <c r="F622" s="33">
        <v>0</v>
      </c>
      <c r="G622" s="33">
        <v>0.2</v>
      </c>
      <c r="H622" s="33" t="s">
        <v>202</v>
      </c>
      <c r="I622" s="33">
        <v>100</v>
      </c>
    </row>
    <row r="623" spans="1:9" x14ac:dyDescent="0.3">
      <c r="A623" s="30" t="s">
        <v>483</v>
      </c>
      <c r="B623" s="33" t="s">
        <v>23</v>
      </c>
      <c r="C623" s="33">
        <v>1</v>
      </c>
      <c r="D623" s="34" t="s">
        <v>200</v>
      </c>
      <c r="E623" s="34" t="s">
        <v>217</v>
      </c>
      <c r="F623" s="33">
        <v>0</v>
      </c>
      <c r="G623" s="33">
        <v>0.35</v>
      </c>
      <c r="H623" s="33" t="s">
        <v>215</v>
      </c>
      <c r="I623" s="33">
        <v>500</v>
      </c>
    </row>
    <row r="624" spans="1:9" x14ac:dyDescent="0.3">
      <c r="A624" s="30" t="s">
        <v>483</v>
      </c>
      <c r="B624" s="33" t="s">
        <v>23</v>
      </c>
      <c r="C624" s="33">
        <v>1</v>
      </c>
      <c r="D624" s="34" t="s">
        <v>200</v>
      </c>
      <c r="E624" s="34" t="s">
        <v>218</v>
      </c>
      <c r="F624" s="33">
        <v>0</v>
      </c>
      <c r="G624" s="33">
        <v>0.35</v>
      </c>
      <c r="H624" s="33" t="s">
        <v>215</v>
      </c>
      <c r="I624" s="33">
        <v>500</v>
      </c>
    </row>
    <row r="625" spans="1:9" x14ac:dyDescent="0.3">
      <c r="A625" s="30" t="s">
        <v>483</v>
      </c>
      <c r="B625" s="33" t="s">
        <v>23</v>
      </c>
      <c r="C625" s="33">
        <v>1</v>
      </c>
      <c r="D625" s="34" t="s">
        <v>200</v>
      </c>
      <c r="E625" s="34" t="s">
        <v>219</v>
      </c>
      <c r="F625" s="33">
        <v>0</v>
      </c>
      <c r="G625" s="33">
        <v>0.35</v>
      </c>
      <c r="H625" s="33" t="s">
        <v>215</v>
      </c>
      <c r="I625" s="33">
        <v>500</v>
      </c>
    </row>
    <row r="626" spans="1:9" x14ac:dyDescent="0.3">
      <c r="A626" s="30" t="s">
        <v>483</v>
      </c>
      <c r="B626" s="33" t="s">
        <v>23</v>
      </c>
      <c r="C626" s="33">
        <v>1</v>
      </c>
      <c r="D626" s="34" t="s">
        <v>200</v>
      </c>
      <c r="E626" s="34" t="s">
        <v>220</v>
      </c>
      <c r="F626" s="33">
        <v>0</v>
      </c>
      <c r="G626" s="33">
        <v>0.35</v>
      </c>
      <c r="H626" s="33" t="s">
        <v>215</v>
      </c>
      <c r="I626" s="33">
        <v>500</v>
      </c>
    </row>
    <row r="627" spans="1:9" x14ac:dyDescent="0.3">
      <c r="A627" s="30" t="s">
        <v>483</v>
      </c>
      <c r="B627" s="33" t="s">
        <v>23</v>
      </c>
      <c r="C627" s="33">
        <v>1</v>
      </c>
      <c r="D627" s="34" t="s">
        <v>221</v>
      </c>
      <c r="E627" s="34" t="s">
        <v>198</v>
      </c>
      <c r="F627" s="33">
        <v>0</v>
      </c>
      <c r="G627" s="33">
        <v>0.5</v>
      </c>
      <c r="H627" s="33"/>
      <c r="I627" s="33">
        <v>0</v>
      </c>
    </row>
    <row r="628" spans="1:9" x14ac:dyDescent="0.3">
      <c r="A628" s="30" t="s">
        <v>484</v>
      </c>
      <c r="B628" s="33" t="s">
        <v>23</v>
      </c>
      <c r="C628" s="33">
        <v>1</v>
      </c>
      <c r="D628" s="34" t="s">
        <v>188</v>
      </c>
      <c r="E628" s="34" t="s">
        <v>189</v>
      </c>
      <c r="F628" s="33">
        <v>0</v>
      </c>
      <c r="G628" s="33">
        <v>0.15</v>
      </c>
      <c r="H628" s="33"/>
      <c r="I628" s="33">
        <v>0</v>
      </c>
    </row>
    <row r="629" spans="1:9" x14ac:dyDescent="0.3">
      <c r="A629" s="30" t="s">
        <v>484</v>
      </c>
      <c r="B629" s="33" t="s">
        <v>23</v>
      </c>
      <c r="C629" s="33">
        <v>1</v>
      </c>
      <c r="D629" s="34" t="s">
        <v>190</v>
      </c>
      <c r="E629" s="34" t="s">
        <v>198</v>
      </c>
      <c r="F629" s="33">
        <v>0</v>
      </c>
      <c r="G629" s="33">
        <v>0.3</v>
      </c>
      <c r="H629" s="33"/>
      <c r="I629" s="33">
        <v>0</v>
      </c>
    </row>
    <row r="630" spans="1:9" x14ac:dyDescent="0.3">
      <c r="A630" s="30" t="s">
        <v>484</v>
      </c>
      <c r="B630" s="33" t="s">
        <v>23</v>
      </c>
      <c r="C630" s="33">
        <v>1</v>
      </c>
      <c r="D630" s="34" t="s">
        <v>197</v>
      </c>
      <c r="E630" s="34" t="s">
        <v>198</v>
      </c>
      <c r="F630" s="33">
        <v>0</v>
      </c>
      <c r="G630" s="33">
        <v>0.05</v>
      </c>
      <c r="H630" s="33"/>
      <c r="I630" s="33">
        <v>0</v>
      </c>
    </row>
    <row r="631" spans="1:9" x14ac:dyDescent="0.3">
      <c r="A631" s="30" t="s">
        <v>484</v>
      </c>
      <c r="B631" s="33" t="s">
        <v>23</v>
      </c>
      <c r="C631" s="33">
        <v>1</v>
      </c>
      <c r="D631" s="34" t="s">
        <v>197</v>
      </c>
      <c r="E631" s="34" t="s">
        <v>199</v>
      </c>
      <c r="F631" s="33">
        <v>0</v>
      </c>
      <c r="G631" s="33">
        <v>0</v>
      </c>
      <c r="H631" s="33"/>
      <c r="I631" s="33">
        <v>0</v>
      </c>
    </row>
    <row r="632" spans="1:9" x14ac:dyDescent="0.3">
      <c r="A632" s="30" t="s">
        <v>484</v>
      </c>
      <c r="B632" s="33" t="s">
        <v>23</v>
      </c>
      <c r="C632" s="33">
        <v>1</v>
      </c>
      <c r="D632" s="34" t="s">
        <v>200</v>
      </c>
      <c r="E632" s="34" t="s">
        <v>201</v>
      </c>
      <c r="F632" s="33">
        <v>0</v>
      </c>
      <c r="G632" s="33">
        <v>0.35</v>
      </c>
      <c r="H632" s="33" t="s">
        <v>202</v>
      </c>
      <c r="I632" s="33">
        <v>100</v>
      </c>
    </row>
    <row r="633" spans="1:9" x14ac:dyDescent="0.3">
      <c r="A633" s="30" t="s">
        <v>484</v>
      </c>
      <c r="B633" s="33" t="s">
        <v>23</v>
      </c>
      <c r="C633" s="33">
        <v>1</v>
      </c>
      <c r="D633" s="34" t="s">
        <v>200</v>
      </c>
      <c r="E633" s="34" t="s">
        <v>203</v>
      </c>
      <c r="F633" s="33">
        <v>0</v>
      </c>
      <c r="G633" s="33">
        <v>0.3</v>
      </c>
      <c r="H633" s="33" t="s">
        <v>202</v>
      </c>
      <c r="I633" s="33">
        <v>100</v>
      </c>
    </row>
    <row r="634" spans="1:9" x14ac:dyDescent="0.3">
      <c r="A634" s="30" t="s">
        <v>484</v>
      </c>
      <c r="B634" s="33" t="s">
        <v>23</v>
      </c>
      <c r="C634" s="33">
        <v>1</v>
      </c>
      <c r="D634" s="34" t="s">
        <v>200</v>
      </c>
      <c r="E634" s="34" t="s">
        <v>204</v>
      </c>
      <c r="F634" s="33">
        <v>0</v>
      </c>
      <c r="G634" s="33">
        <v>0.3</v>
      </c>
      <c r="H634" s="33" t="s">
        <v>202</v>
      </c>
      <c r="I634" s="33">
        <v>100</v>
      </c>
    </row>
    <row r="635" spans="1:9" x14ac:dyDescent="0.3">
      <c r="A635" s="30" t="s">
        <v>484</v>
      </c>
      <c r="B635" s="33" t="s">
        <v>23</v>
      </c>
      <c r="C635" s="33">
        <v>1</v>
      </c>
      <c r="D635" s="34" t="s">
        <v>200</v>
      </c>
      <c r="E635" s="34" t="s">
        <v>205</v>
      </c>
      <c r="F635" s="33">
        <v>0</v>
      </c>
      <c r="G635" s="33">
        <v>0.3</v>
      </c>
      <c r="H635" s="33" t="s">
        <v>202</v>
      </c>
      <c r="I635" s="33">
        <v>100</v>
      </c>
    </row>
    <row r="636" spans="1:9" x14ac:dyDescent="0.3">
      <c r="A636" s="30" t="s">
        <v>484</v>
      </c>
      <c r="B636" s="33" t="s">
        <v>23</v>
      </c>
      <c r="C636" s="33">
        <v>1</v>
      </c>
      <c r="D636" s="34" t="s">
        <v>200</v>
      </c>
      <c r="E636" s="34" t="s">
        <v>206</v>
      </c>
      <c r="F636" s="33">
        <v>0</v>
      </c>
      <c r="G636" s="33">
        <v>0.3</v>
      </c>
      <c r="H636" s="33" t="s">
        <v>202</v>
      </c>
      <c r="I636" s="33">
        <v>100</v>
      </c>
    </row>
    <row r="637" spans="1:9" x14ac:dyDescent="0.3">
      <c r="A637" s="30" t="s">
        <v>484</v>
      </c>
      <c r="B637" s="33" t="s">
        <v>23</v>
      </c>
      <c r="C637" s="33">
        <v>1</v>
      </c>
      <c r="D637" s="34" t="s">
        <v>200</v>
      </c>
      <c r="E637" s="34" t="s">
        <v>207</v>
      </c>
      <c r="F637" s="33">
        <v>0</v>
      </c>
      <c r="G637" s="33">
        <v>0.2</v>
      </c>
      <c r="H637" s="33" t="s">
        <v>202</v>
      </c>
      <c r="I637" s="33">
        <v>100</v>
      </c>
    </row>
    <row r="638" spans="1:9" x14ac:dyDescent="0.3">
      <c r="A638" s="30" t="s">
        <v>484</v>
      </c>
      <c r="B638" s="33" t="s">
        <v>23</v>
      </c>
      <c r="C638" s="33">
        <v>1</v>
      </c>
      <c r="D638" s="34" t="s">
        <v>200</v>
      </c>
      <c r="E638" s="34" t="s">
        <v>208</v>
      </c>
      <c r="F638" s="33">
        <v>0</v>
      </c>
      <c r="G638" s="33">
        <v>0.2</v>
      </c>
      <c r="H638" s="33" t="s">
        <v>202</v>
      </c>
      <c r="I638" s="33">
        <v>100</v>
      </c>
    </row>
    <row r="639" spans="1:9" x14ac:dyDescent="0.3">
      <c r="A639" s="30" t="s">
        <v>484</v>
      </c>
      <c r="B639" s="33" t="s">
        <v>23</v>
      </c>
      <c r="C639" s="33">
        <v>1</v>
      </c>
      <c r="D639" s="34" t="s">
        <v>200</v>
      </c>
      <c r="E639" s="34" t="s">
        <v>209</v>
      </c>
      <c r="F639" s="33">
        <v>0</v>
      </c>
      <c r="G639" s="33">
        <v>0.3</v>
      </c>
      <c r="H639" s="33" t="s">
        <v>202</v>
      </c>
      <c r="I639" s="33">
        <v>100</v>
      </c>
    </row>
    <row r="640" spans="1:9" x14ac:dyDescent="0.3">
      <c r="A640" s="30" t="s">
        <v>484</v>
      </c>
      <c r="B640" s="33" t="s">
        <v>23</v>
      </c>
      <c r="C640" s="33">
        <v>1</v>
      </c>
      <c r="D640" s="34" t="s">
        <v>200</v>
      </c>
      <c r="E640" s="34" t="s">
        <v>210</v>
      </c>
      <c r="F640" s="33">
        <v>0</v>
      </c>
      <c r="G640" s="33">
        <v>0.2</v>
      </c>
      <c r="H640" s="33" t="s">
        <v>202</v>
      </c>
      <c r="I640" s="33">
        <v>100</v>
      </c>
    </row>
    <row r="641" spans="1:9" x14ac:dyDescent="0.3">
      <c r="A641" s="30" t="s">
        <v>484</v>
      </c>
      <c r="B641" s="33" t="s">
        <v>23</v>
      </c>
      <c r="C641" s="33">
        <v>1</v>
      </c>
      <c r="D641" s="34" t="s">
        <v>200</v>
      </c>
      <c r="E641" s="34" t="s">
        <v>211</v>
      </c>
      <c r="F641" s="33">
        <v>0</v>
      </c>
      <c r="G641" s="33">
        <v>0.15</v>
      </c>
      <c r="H641" s="33" t="s">
        <v>202</v>
      </c>
      <c r="I641" s="33">
        <v>100</v>
      </c>
    </row>
    <row r="642" spans="1:9" x14ac:dyDescent="0.3">
      <c r="A642" s="30" t="s">
        <v>484</v>
      </c>
      <c r="B642" s="33" t="s">
        <v>23</v>
      </c>
      <c r="C642" s="33">
        <v>1</v>
      </c>
      <c r="D642" s="34" t="s">
        <v>200</v>
      </c>
      <c r="E642" s="34" t="s">
        <v>212</v>
      </c>
      <c r="F642" s="33">
        <v>0</v>
      </c>
      <c r="G642" s="33">
        <v>0.15</v>
      </c>
      <c r="H642" s="33" t="s">
        <v>202</v>
      </c>
      <c r="I642" s="33">
        <v>100</v>
      </c>
    </row>
    <row r="643" spans="1:9" x14ac:dyDescent="0.3">
      <c r="A643" s="30" t="s">
        <v>484</v>
      </c>
      <c r="B643" s="33" t="s">
        <v>23</v>
      </c>
      <c r="C643" s="33">
        <v>1</v>
      </c>
      <c r="D643" s="34" t="s">
        <v>200</v>
      </c>
      <c r="E643" s="34" t="s">
        <v>213</v>
      </c>
      <c r="F643" s="33">
        <v>0</v>
      </c>
      <c r="G643" s="33">
        <v>0.15</v>
      </c>
      <c r="H643" s="33" t="s">
        <v>202</v>
      </c>
      <c r="I643" s="33">
        <v>100</v>
      </c>
    </row>
    <row r="644" spans="1:9" x14ac:dyDescent="0.3">
      <c r="A644" s="30" t="s">
        <v>484</v>
      </c>
      <c r="B644" s="33" t="s">
        <v>23</v>
      </c>
      <c r="C644" s="33">
        <v>1</v>
      </c>
      <c r="D644" s="34" t="s">
        <v>200</v>
      </c>
      <c r="E644" s="34" t="s">
        <v>214</v>
      </c>
      <c r="F644" s="33">
        <v>0</v>
      </c>
      <c r="G644" s="33">
        <v>0.15</v>
      </c>
      <c r="H644" s="33" t="s">
        <v>202</v>
      </c>
      <c r="I644" s="33">
        <v>100</v>
      </c>
    </row>
    <row r="645" spans="1:9" x14ac:dyDescent="0.3">
      <c r="A645" s="30" t="s">
        <v>484</v>
      </c>
      <c r="B645" s="33" t="s">
        <v>23</v>
      </c>
      <c r="C645" s="33">
        <v>1</v>
      </c>
      <c r="D645" s="34" t="s">
        <v>200</v>
      </c>
      <c r="E645" s="34" t="s">
        <v>201</v>
      </c>
      <c r="F645" s="33">
        <v>0</v>
      </c>
      <c r="G645" s="33">
        <v>0.5</v>
      </c>
      <c r="H645" s="33" t="s">
        <v>215</v>
      </c>
      <c r="I645" s="33">
        <v>500</v>
      </c>
    </row>
    <row r="646" spans="1:9" x14ac:dyDescent="0.3">
      <c r="A646" s="30" t="s">
        <v>484</v>
      </c>
      <c r="B646" s="33" t="s">
        <v>23</v>
      </c>
      <c r="C646" s="33">
        <v>1</v>
      </c>
      <c r="D646" s="34" t="s">
        <v>200</v>
      </c>
      <c r="E646" s="34" t="s">
        <v>203</v>
      </c>
      <c r="F646" s="33">
        <v>0</v>
      </c>
      <c r="G646" s="33">
        <v>0.5</v>
      </c>
      <c r="H646" s="33" t="s">
        <v>215</v>
      </c>
      <c r="I646" s="33">
        <v>500</v>
      </c>
    </row>
    <row r="647" spans="1:9" x14ac:dyDescent="0.3">
      <c r="A647" s="30" t="s">
        <v>484</v>
      </c>
      <c r="B647" s="33" t="s">
        <v>23</v>
      </c>
      <c r="C647" s="33">
        <v>1</v>
      </c>
      <c r="D647" s="34" t="s">
        <v>200</v>
      </c>
      <c r="E647" s="34" t="s">
        <v>204</v>
      </c>
      <c r="F647" s="33">
        <v>0</v>
      </c>
      <c r="G647" s="33">
        <v>0.5</v>
      </c>
      <c r="H647" s="33" t="s">
        <v>215</v>
      </c>
      <c r="I647" s="33">
        <v>500</v>
      </c>
    </row>
    <row r="648" spans="1:9" x14ac:dyDescent="0.3">
      <c r="A648" s="30" t="s">
        <v>484</v>
      </c>
      <c r="B648" s="33" t="s">
        <v>23</v>
      </c>
      <c r="C648" s="33">
        <v>1</v>
      </c>
      <c r="D648" s="34" t="s">
        <v>200</v>
      </c>
      <c r="E648" s="34" t="s">
        <v>205</v>
      </c>
      <c r="F648" s="33">
        <v>0</v>
      </c>
      <c r="G648" s="33">
        <v>0.5</v>
      </c>
      <c r="H648" s="33" t="s">
        <v>215</v>
      </c>
      <c r="I648" s="33">
        <v>500</v>
      </c>
    </row>
    <row r="649" spans="1:9" x14ac:dyDescent="0.3">
      <c r="A649" s="30" t="s">
        <v>484</v>
      </c>
      <c r="B649" s="33" t="s">
        <v>23</v>
      </c>
      <c r="C649" s="33">
        <v>1</v>
      </c>
      <c r="D649" s="34" t="s">
        <v>200</v>
      </c>
      <c r="E649" s="34" t="s">
        <v>206</v>
      </c>
      <c r="F649" s="33">
        <v>0</v>
      </c>
      <c r="G649" s="33">
        <v>0.5</v>
      </c>
      <c r="H649" s="33" t="s">
        <v>215</v>
      </c>
      <c r="I649" s="33">
        <v>500</v>
      </c>
    </row>
    <row r="650" spans="1:9" x14ac:dyDescent="0.3">
      <c r="A650" s="30" t="s">
        <v>484</v>
      </c>
      <c r="B650" s="33" t="s">
        <v>23</v>
      </c>
      <c r="C650" s="33">
        <v>1</v>
      </c>
      <c r="D650" s="34" t="s">
        <v>200</v>
      </c>
      <c r="E650" s="34" t="s">
        <v>207</v>
      </c>
      <c r="F650" s="33">
        <v>0</v>
      </c>
      <c r="G650" s="33">
        <v>0.35</v>
      </c>
      <c r="H650" s="33" t="s">
        <v>215</v>
      </c>
      <c r="I650" s="33">
        <v>500</v>
      </c>
    </row>
    <row r="651" spans="1:9" x14ac:dyDescent="0.3">
      <c r="A651" s="30" t="s">
        <v>484</v>
      </c>
      <c r="B651" s="33" t="s">
        <v>23</v>
      </c>
      <c r="C651" s="33">
        <v>1</v>
      </c>
      <c r="D651" s="34" t="s">
        <v>200</v>
      </c>
      <c r="E651" s="34" t="s">
        <v>208</v>
      </c>
      <c r="F651" s="33">
        <v>0</v>
      </c>
      <c r="G651" s="33">
        <v>0.3</v>
      </c>
      <c r="H651" s="33" t="s">
        <v>215</v>
      </c>
      <c r="I651" s="33">
        <v>500</v>
      </c>
    </row>
    <row r="652" spans="1:9" x14ac:dyDescent="0.3">
      <c r="A652" s="30" t="s">
        <v>484</v>
      </c>
      <c r="B652" s="33" t="s">
        <v>23</v>
      </c>
      <c r="C652" s="33">
        <v>1</v>
      </c>
      <c r="D652" s="34" t="s">
        <v>200</v>
      </c>
      <c r="E652" s="34" t="s">
        <v>209</v>
      </c>
      <c r="F652" s="33">
        <v>0</v>
      </c>
      <c r="G652" s="33">
        <v>0.5</v>
      </c>
      <c r="H652" s="33" t="s">
        <v>215</v>
      </c>
      <c r="I652" s="33">
        <v>500</v>
      </c>
    </row>
    <row r="653" spans="1:9" x14ac:dyDescent="0.3">
      <c r="A653" s="30" t="s">
        <v>484</v>
      </c>
      <c r="B653" s="33" t="s">
        <v>23</v>
      </c>
      <c r="C653" s="33">
        <v>1</v>
      </c>
      <c r="D653" s="34" t="s">
        <v>200</v>
      </c>
      <c r="E653" s="34" t="s">
        <v>210</v>
      </c>
      <c r="F653" s="33">
        <v>0</v>
      </c>
      <c r="G653" s="33">
        <v>0.3</v>
      </c>
      <c r="H653" s="33" t="s">
        <v>215</v>
      </c>
      <c r="I653" s="33">
        <v>500</v>
      </c>
    </row>
    <row r="654" spans="1:9" x14ac:dyDescent="0.3">
      <c r="A654" s="30" t="s">
        <v>484</v>
      </c>
      <c r="B654" s="33" t="s">
        <v>23</v>
      </c>
      <c r="C654" s="33">
        <v>1</v>
      </c>
      <c r="D654" s="34" t="s">
        <v>200</v>
      </c>
      <c r="E654" s="34" t="s">
        <v>211</v>
      </c>
      <c r="F654" s="33">
        <v>0</v>
      </c>
      <c r="G654" s="33">
        <v>0.25</v>
      </c>
      <c r="H654" s="33" t="s">
        <v>215</v>
      </c>
      <c r="I654" s="33">
        <v>500</v>
      </c>
    </row>
    <row r="655" spans="1:9" x14ac:dyDescent="0.3">
      <c r="A655" s="30" t="s">
        <v>484</v>
      </c>
      <c r="B655" s="33" t="s">
        <v>23</v>
      </c>
      <c r="C655" s="33">
        <v>1</v>
      </c>
      <c r="D655" s="34" t="s">
        <v>200</v>
      </c>
      <c r="E655" s="34" t="s">
        <v>212</v>
      </c>
      <c r="F655" s="33">
        <v>0</v>
      </c>
      <c r="G655" s="33">
        <v>0.25</v>
      </c>
      <c r="H655" s="33" t="s">
        <v>215</v>
      </c>
      <c r="I655" s="33">
        <v>500</v>
      </c>
    </row>
    <row r="656" spans="1:9" x14ac:dyDescent="0.3">
      <c r="A656" s="30" t="s">
        <v>484</v>
      </c>
      <c r="B656" s="33" t="s">
        <v>23</v>
      </c>
      <c r="C656" s="33">
        <v>1</v>
      </c>
      <c r="D656" s="34" t="s">
        <v>200</v>
      </c>
      <c r="E656" s="34" t="s">
        <v>213</v>
      </c>
      <c r="F656" s="33">
        <v>0</v>
      </c>
      <c r="G656" s="33">
        <v>0.25</v>
      </c>
      <c r="H656" s="33" t="s">
        <v>215</v>
      </c>
      <c r="I656" s="33">
        <v>500</v>
      </c>
    </row>
    <row r="657" spans="1:9" x14ac:dyDescent="0.3">
      <c r="A657" s="30" t="s">
        <v>484</v>
      </c>
      <c r="B657" s="33" t="s">
        <v>23</v>
      </c>
      <c r="C657" s="33">
        <v>1</v>
      </c>
      <c r="D657" s="34" t="s">
        <v>200</v>
      </c>
      <c r="E657" s="34" t="s">
        <v>214</v>
      </c>
      <c r="F657" s="33">
        <v>0</v>
      </c>
      <c r="G657" s="33">
        <v>0.25</v>
      </c>
      <c r="H657" s="33" t="s">
        <v>215</v>
      </c>
      <c r="I657" s="33">
        <v>500</v>
      </c>
    </row>
    <row r="658" spans="1:9" x14ac:dyDescent="0.3">
      <c r="A658" s="30" t="s">
        <v>484</v>
      </c>
      <c r="B658" s="33" t="s">
        <v>23</v>
      </c>
      <c r="C658" s="33">
        <v>1</v>
      </c>
      <c r="D658" s="34" t="s">
        <v>200</v>
      </c>
      <c r="E658" s="34" t="s">
        <v>216</v>
      </c>
      <c r="F658" s="33">
        <v>0</v>
      </c>
      <c r="G658" s="33">
        <v>0.3</v>
      </c>
      <c r="H658" s="33" t="s">
        <v>202</v>
      </c>
      <c r="I658" s="33">
        <v>100</v>
      </c>
    </row>
    <row r="659" spans="1:9" x14ac:dyDescent="0.3">
      <c r="A659" s="30" t="s">
        <v>484</v>
      </c>
      <c r="B659" s="33" t="s">
        <v>23</v>
      </c>
      <c r="C659" s="33">
        <v>1</v>
      </c>
      <c r="D659" s="34" t="s">
        <v>200</v>
      </c>
      <c r="E659" s="34" t="s">
        <v>216</v>
      </c>
      <c r="F659" s="33">
        <v>0</v>
      </c>
      <c r="G659" s="33">
        <v>0.45</v>
      </c>
      <c r="H659" s="33" t="s">
        <v>215</v>
      </c>
      <c r="I659" s="33">
        <v>500</v>
      </c>
    </row>
    <row r="660" spans="1:9" x14ac:dyDescent="0.3">
      <c r="A660" s="30" t="s">
        <v>484</v>
      </c>
      <c r="B660" s="33" t="s">
        <v>23</v>
      </c>
      <c r="C660" s="33">
        <v>1</v>
      </c>
      <c r="D660" s="34" t="s">
        <v>200</v>
      </c>
      <c r="E660" s="34" t="s">
        <v>217</v>
      </c>
      <c r="F660" s="33">
        <v>0</v>
      </c>
      <c r="G660" s="33">
        <v>0.2</v>
      </c>
      <c r="H660" s="33" t="s">
        <v>202</v>
      </c>
      <c r="I660" s="33">
        <v>100</v>
      </c>
    </row>
    <row r="661" spans="1:9" x14ac:dyDescent="0.3">
      <c r="A661" s="30" t="s">
        <v>484</v>
      </c>
      <c r="B661" s="33" t="s">
        <v>23</v>
      </c>
      <c r="C661" s="33">
        <v>1</v>
      </c>
      <c r="D661" s="34" t="s">
        <v>200</v>
      </c>
      <c r="E661" s="34" t="s">
        <v>218</v>
      </c>
      <c r="F661" s="33">
        <v>0</v>
      </c>
      <c r="G661" s="33">
        <v>0.2</v>
      </c>
      <c r="H661" s="33" t="s">
        <v>202</v>
      </c>
      <c r="I661" s="33">
        <v>100</v>
      </c>
    </row>
    <row r="662" spans="1:9" x14ac:dyDescent="0.3">
      <c r="A662" s="30" t="s">
        <v>484</v>
      </c>
      <c r="B662" s="33" t="s">
        <v>23</v>
      </c>
      <c r="C662" s="33">
        <v>1</v>
      </c>
      <c r="D662" s="34" t="s">
        <v>200</v>
      </c>
      <c r="E662" s="34" t="s">
        <v>219</v>
      </c>
      <c r="F662" s="33">
        <v>0</v>
      </c>
      <c r="G662" s="33">
        <v>0.2</v>
      </c>
      <c r="H662" s="33" t="s">
        <v>202</v>
      </c>
      <c r="I662" s="33">
        <v>100</v>
      </c>
    </row>
    <row r="663" spans="1:9" x14ac:dyDescent="0.3">
      <c r="A663" s="30" t="s">
        <v>484</v>
      </c>
      <c r="B663" s="33" t="s">
        <v>23</v>
      </c>
      <c r="C663" s="33">
        <v>1</v>
      </c>
      <c r="D663" s="34" t="s">
        <v>200</v>
      </c>
      <c r="E663" s="34" t="s">
        <v>220</v>
      </c>
      <c r="F663" s="33">
        <v>0</v>
      </c>
      <c r="G663" s="33">
        <v>0.2</v>
      </c>
      <c r="H663" s="33" t="s">
        <v>202</v>
      </c>
      <c r="I663" s="33">
        <v>100</v>
      </c>
    </row>
    <row r="664" spans="1:9" x14ac:dyDescent="0.3">
      <c r="A664" s="30" t="s">
        <v>484</v>
      </c>
      <c r="B664" s="33" t="s">
        <v>23</v>
      </c>
      <c r="C664" s="33">
        <v>1</v>
      </c>
      <c r="D664" s="34" t="s">
        <v>200</v>
      </c>
      <c r="E664" s="34" t="s">
        <v>217</v>
      </c>
      <c r="F664" s="33">
        <v>0</v>
      </c>
      <c r="G664" s="33">
        <v>0.35</v>
      </c>
      <c r="H664" s="33" t="s">
        <v>215</v>
      </c>
      <c r="I664" s="33">
        <v>500</v>
      </c>
    </row>
    <row r="665" spans="1:9" x14ac:dyDescent="0.3">
      <c r="A665" s="30" t="s">
        <v>484</v>
      </c>
      <c r="B665" s="33" t="s">
        <v>23</v>
      </c>
      <c r="C665" s="33">
        <v>1</v>
      </c>
      <c r="D665" s="34" t="s">
        <v>200</v>
      </c>
      <c r="E665" s="34" t="s">
        <v>218</v>
      </c>
      <c r="F665" s="33">
        <v>0</v>
      </c>
      <c r="G665" s="33">
        <v>0.35</v>
      </c>
      <c r="H665" s="33" t="s">
        <v>215</v>
      </c>
      <c r="I665" s="33">
        <v>500</v>
      </c>
    </row>
    <row r="666" spans="1:9" x14ac:dyDescent="0.3">
      <c r="A666" s="30" t="s">
        <v>484</v>
      </c>
      <c r="B666" s="33" t="s">
        <v>23</v>
      </c>
      <c r="C666" s="33">
        <v>1</v>
      </c>
      <c r="D666" s="34" t="s">
        <v>200</v>
      </c>
      <c r="E666" s="34" t="s">
        <v>219</v>
      </c>
      <c r="F666" s="33">
        <v>0</v>
      </c>
      <c r="G666" s="33">
        <v>0.35</v>
      </c>
      <c r="H666" s="33" t="s">
        <v>215</v>
      </c>
      <c r="I666" s="33">
        <v>500</v>
      </c>
    </row>
    <row r="667" spans="1:9" x14ac:dyDescent="0.3">
      <c r="A667" s="30" t="s">
        <v>484</v>
      </c>
      <c r="B667" s="33" t="s">
        <v>23</v>
      </c>
      <c r="C667" s="33">
        <v>1</v>
      </c>
      <c r="D667" s="34" t="s">
        <v>200</v>
      </c>
      <c r="E667" s="34" t="s">
        <v>220</v>
      </c>
      <c r="F667" s="33">
        <v>0</v>
      </c>
      <c r="G667" s="33">
        <v>0.35</v>
      </c>
      <c r="H667" s="33" t="s">
        <v>215</v>
      </c>
      <c r="I667" s="33">
        <v>500</v>
      </c>
    </row>
    <row r="668" spans="1:9" x14ac:dyDescent="0.3">
      <c r="A668" s="30" t="s">
        <v>484</v>
      </c>
      <c r="B668" s="33" t="s">
        <v>23</v>
      </c>
      <c r="C668" s="33">
        <v>1</v>
      </c>
      <c r="D668" s="34" t="s">
        <v>221</v>
      </c>
      <c r="E668" s="34" t="s">
        <v>198</v>
      </c>
      <c r="F668" s="33">
        <v>0</v>
      </c>
      <c r="G668" s="33">
        <v>0.5</v>
      </c>
      <c r="H668" s="33"/>
      <c r="I668" s="33">
        <v>0</v>
      </c>
    </row>
    <row r="669" spans="1:9" x14ac:dyDescent="0.3">
      <c r="A669" s="30" t="s">
        <v>485</v>
      </c>
      <c r="B669" s="33" t="s">
        <v>23</v>
      </c>
      <c r="C669" s="33">
        <v>1</v>
      </c>
      <c r="D669" s="34" t="s">
        <v>188</v>
      </c>
      <c r="E669" s="34" t="s">
        <v>189</v>
      </c>
      <c r="F669" s="33">
        <v>0</v>
      </c>
      <c r="G669" s="33">
        <v>0.15</v>
      </c>
      <c r="H669" s="33"/>
      <c r="I669" s="33">
        <v>0</v>
      </c>
    </row>
    <row r="670" spans="1:9" x14ac:dyDescent="0.3">
      <c r="A670" s="30" t="s">
        <v>485</v>
      </c>
      <c r="B670" s="33" t="s">
        <v>23</v>
      </c>
      <c r="C670" s="33">
        <v>1</v>
      </c>
      <c r="D670" s="34" t="s">
        <v>190</v>
      </c>
      <c r="E670" s="34" t="s">
        <v>198</v>
      </c>
      <c r="F670" s="33">
        <v>0</v>
      </c>
      <c r="G670" s="33">
        <v>0.3</v>
      </c>
      <c r="H670" s="33"/>
      <c r="I670" s="33">
        <v>0</v>
      </c>
    </row>
    <row r="671" spans="1:9" x14ac:dyDescent="0.3">
      <c r="A671" s="30" t="s">
        <v>485</v>
      </c>
      <c r="B671" s="33" t="s">
        <v>23</v>
      </c>
      <c r="C671" s="33">
        <v>1</v>
      </c>
      <c r="D671" s="34" t="s">
        <v>197</v>
      </c>
      <c r="E671" s="34" t="s">
        <v>198</v>
      </c>
      <c r="F671" s="33">
        <v>0</v>
      </c>
      <c r="G671" s="33">
        <v>0.05</v>
      </c>
      <c r="H671" s="33"/>
      <c r="I671" s="33">
        <v>0</v>
      </c>
    </row>
    <row r="672" spans="1:9" x14ac:dyDescent="0.3">
      <c r="A672" s="30" t="s">
        <v>485</v>
      </c>
      <c r="B672" s="33" t="s">
        <v>23</v>
      </c>
      <c r="C672" s="33">
        <v>1</v>
      </c>
      <c r="D672" s="34" t="s">
        <v>197</v>
      </c>
      <c r="E672" s="34" t="s">
        <v>199</v>
      </c>
      <c r="F672" s="33">
        <v>0</v>
      </c>
      <c r="G672" s="33">
        <v>0</v>
      </c>
      <c r="H672" s="33"/>
      <c r="I672" s="33">
        <v>0</v>
      </c>
    </row>
    <row r="673" spans="1:9" x14ac:dyDescent="0.3">
      <c r="A673" s="30" t="s">
        <v>485</v>
      </c>
      <c r="B673" s="33" t="s">
        <v>23</v>
      </c>
      <c r="C673" s="33">
        <v>1</v>
      </c>
      <c r="D673" s="34" t="s">
        <v>200</v>
      </c>
      <c r="E673" s="34" t="s">
        <v>201</v>
      </c>
      <c r="F673" s="33">
        <v>0</v>
      </c>
      <c r="G673" s="33">
        <v>0.35</v>
      </c>
      <c r="H673" s="33" t="s">
        <v>202</v>
      </c>
      <c r="I673" s="33">
        <v>100</v>
      </c>
    </row>
    <row r="674" spans="1:9" x14ac:dyDescent="0.3">
      <c r="A674" s="30" t="s">
        <v>485</v>
      </c>
      <c r="B674" s="33" t="s">
        <v>23</v>
      </c>
      <c r="C674" s="33">
        <v>1</v>
      </c>
      <c r="D674" s="34" t="s">
        <v>200</v>
      </c>
      <c r="E674" s="34" t="s">
        <v>203</v>
      </c>
      <c r="F674" s="33">
        <v>0</v>
      </c>
      <c r="G674" s="33">
        <v>0.3</v>
      </c>
      <c r="H674" s="33" t="s">
        <v>202</v>
      </c>
      <c r="I674" s="33">
        <v>100</v>
      </c>
    </row>
    <row r="675" spans="1:9" x14ac:dyDescent="0.3">
      <c r="A675" s="30" t="s">
        <v>485</v>
      </c>
      <c r="B675" s="33" t="s">
        <v>23</v>
      </c>
      <c r="C675" s="33">
        <v>1</v>
      </c>
      <c r="D675" s="34" t="s">
        <v>200</v>
      </c>
      <c r="E675" s="34" t="s">
        <v>204</v>
      </c>
      <c r="F675" s="33">
        <v>0</v>
      </c>
      <c r="G675" s="33">
        <v>0.3</v>
      </c>
      <c r="H675" s="33" t="s">
        <v>202</v>
      </c>
      <c r="I675" s="33">
        <v>100</v>
      </c>
    </row>
    <row r="676" spans="1:9" x14ac:dyDescent="0.3">
      <c r="A676" s="30" t="s">
        <v>485</v>
      </c>
      <c r="B676" s="33" t="s">
        <v>23</v>
      </c>
      <c r="C676" s="33">
        <v>1</v>
      </c>
      <c r="D676" s="34" t="s">
        <v>200</v>
      </c>
      <c r="E676" s="34" t="s">
        <v>205</v>
      </c>
      <c r="F676" s="33">
        <v>0</v>
      </c>
      <c r="G676" s="33">
        <v>0.3</v>
      </c>
      <c r="H676" s="33" t="s">
        <v>202</v>
      </c>
      <c r="I676" s="33">
        <v>100</v>
      </c>
    </row>
    <row r="677" spans="1:9" x14ac:dyDescent="0.3">
      <c r="A677" s="30" t="s">
        <v>485</v>
      </c>
      <c r="B677" s="33" t="s">
        <v>23</v>
      </c>
      <c r="C677" s="33">
        <v>1</v>
      </c>
      <c r="D677" s="34" t="s">
        <v>200</v>
      </c>
      <c r="E677" s="34" t="s">
        <v>206</v>
      </c>
      <c r="F677" s="33">
        <v>0</v>
      </c>
      <c r="G677" s="33">
        <v>0.3</v>
      </c>
      <c r="H677" s="33" t="s">
        <v>202</v>
      </c>
      <c r="I677" s="33">
        <v>100</v>
      </c>
    </row>
    <row r="678" spans="1:9" x14ac:dyDescent="0.3">
      <c r="A678" s="30" t="s">
        <v>485</v>
      </c>
      <c r="B678" s="33" t="s">
        <v>23</v>
      </c>
      <c r="C678" s="33">
        <v>1</v>
      </c>
      <c r="D678" s="34" t="s">
        <v>200</v>
      </c>
      <c r="E678" s="34" t="s">
        <v>207</v>
      </c>
      <c r="F678" s="33">
        <v>0</v>
      </c>
      <c r="G678" s="33">
        <v>0.2</v>
      </c>
      <c r="H678" s="33" t="s">
        <v>202</v>
      </c>
      <c r="I678" s="33">
        <v>100</v>
      </c>
    </row>
    <row r="679" spans="1:9" x14ac:dyDescent="0.3">
      <c r="A679" s="30" t="s">
        <v>485</v>
      </c>
      <c r="B679" s="33" t="s">
        <v>23</v>
      </c>
      <c r="C679" s="33">
        <v>1</v>
      </c>
      <c r="D679" s="34" t="s">
        <v>200</v>
      </c>
      <c r="E679" s="34" t="s">
        <v>208</v>
      </c>
      <c r="F679" s="33">
        <v>0</v>
      </c>
      <c r="G679" s="33">
        <v>0.2</v>
      </c>
      <c r="H679" s="33" t="s">
        <v>202</v>
      </c>
      <c r="I679" s="33">
        <v>100</v>
      </c>
    </row>
    <row r="680" spans="1:9" x14ac:dyDescent="0.3">
      <c r="A680" s="30" t="s">
        <v>485</v>
      </c>
      <c r="B680" s="33" t="s">
        <v>23</v>
      </c>
      <c r="C680" s="33">
        <v>1</v>
      </c>
      <c r="D680" s="34" t="s">
        <v>200</v>
      </c>
      <c r="E680" s="34" t="s">
        <v>209</v>
      </c>
      <c r="F680" s="33">
        <v>0</v>
      </c>
      <c r="G680" s="33">
        <v>0.3</v>
      </c>
      <c r="H680" s="33" t="s">
        <v>202</v>
      </c>
      <c r="I680" s="33">
        <v>100</v>
      </c>
    </row>
    <row r="681" spans="1:9" x14ac:dyDescent="0.3">
      <c r="A681" s="30" t="s">
        <v>485</v>
      </c>
      <c r="B681" s="33" t="s">
        <v>23</v>
      </c>
      <c r="C681" s="33">
        <v>1</v>
      </c>
      <c r="D681" s="34" t="s">
        <v>200</v>
      </c>
      <c r="E681" s="34" t="s">
        <v>210</v>
      </c>
      <c r="F681" s="33">
        <v>0</v>
      </c>
      <c r="G681" s="33">
        <v>0.2</v>
      </c>
      <c r="H681" s="33" t="s">
        <v>202</v>
      </c>
      <c r="I681" s="33">
        <v>100</v>
      </c>
    </row>
    <row r="682" spans="1:9" x14ac:dyDescent="0.3">
      <c r="A682" s="30" t="s">
        <v>485</v>
      </c>
      <c r="B682" s="33" t="s">
        <v>23</v>
      </c>
      <c r="C682" s="33">
        <v>1</v>
      </c>
      <c r="D682" s="34" t="s">
        <v>200</v>
      </c>
      <c r="E682" s="34" t="s">
        <v>211</v>
      </c>
      <c r="F682" s="33">
        <v>0</v>
      </c>
      <c r="G682" s="33">
        <v>0.15</v>
      </c>
      <c r="H682" s="33" t="s">
        <v>202</v>
      </c>
      <c r="I682" s="33">
        <v>100</v>
      </c>
    </row>
    <row r="683" spans="1:9" x14ac:dyDescent="0.3">
      <c r="A683" s="30" t="s">
        <v>485</v>
      </c>
      <c r="B683" s="33" t="s">
        <v>23</v>
      </c>
      <c r="C683" s="33">
        <v>1</v>
      </c>
      <c r="D683" s="34" t="s">
        <v>200</v>
      </c>
      <c r="E683" s="34" t="s">
        <v>212</v>
      </c>
      <c r="F683" s="33">
        <v>0</v>
      </c>
      <c r="G683" s="33">
        <v>0.15</v>
      </c>
      <c r="H683" s="33" t="s">
        <v>202</v>
      </c>
      <c r="I683" s="33">
        <v>100</v>
      </c>
    </row>
    <row r="684" spans="1:9" x14ac:dyDescent="0.3">
      <c r="A684" s="30" t="s">
        <v>485</v>
      </c>
      <c r="B684" s="33" t="s">
        <v>23</v>
      </c>
      <c r="C684" s="33">
        <v>1</v>
      </c>
      <c r="D684" s="34" t="s">
        <v>200</v>
      </c>
      <c r="E684" s="34" t="s">
        <v>213</v>
      </c>
      <c r="F684" s="33">
        <v>0</v>
      </c>
      <c r="G684" s="33">
        <v>0.15</v>
      </c>
      <c r="H684" s="33" t="s">
        <v>202</v>
      </c>
      <c r="I684" s="33">
        <v>100</v>
      </c>
    </row>
    <row r="685" spans="1:9" x14ac:dyDescent="0.3">
      <c r="A685" s="30" t="s">
        <v>485</v>
      </c>
      <c r="B685" s="33" t="s">
        <v>23</v>
      </c>
      <c r="C685" s="33">
        <v>1</v>
      </c>
      <c r="D685" s="34" t="s">
        <v>200</v>
      </c>
      <c r="E685" s="34" t="s">
        <v>214</v>
      </c>
      <c r="F685" s="33">
        <v>0</v>
      </c>
      <c r="G685" s="33">
        <v>0.15</v>
      </c>
      <c r="H685" s="33" t="s">
        <v>202</v>
      </c>
      <c r="I685" s="33">
        <v>100</v>
      </c>
    </row>
    <row r="686" spans="1:9" x14ac:dyDescent="0.3">
      <c r="A686" s="30" t="s">
        <v>485</v>
      </c>
      <c r="B686" s="33" t="s">
        <v>23</v>
      </c>
      <c r="C686" s="33">
        <v>1</v>
      </c>
      <c r="D686" s="34" t="s">
        <v>200</v>
      </c>
      <c r="E686" s="34" t="s">
        <v>201</v>
      </c>
      <c r="F686" s="33">
        <v>0</v>
      </c>
      <c r="G686" s="33">
        <v>0.5</v>
      </c>
      <c r="H686" s="33" t="s">
        <v>215</v>
      </c>
      <c r="I686" s="33">
        <v>500</v>
      </c>
    </row>
    <row r="687" spans="1:9" x14ac:dyDescent="0.3">
      <c r="A687" s="30" t="s">
        <v>485</v>
      </c>
      <c r="B687" s="33" t="s">
        <v>23</v>
      </c>
      <c r="C687" s="33">
        <v>1</v>
      </c>
      <c r="D687" s="34" t="s">
        <v>200</v>
      </c>
      <c r="E687" s="34" t="s">
        <v>203</v>
      </c>
      <c r="F687" s="33">
        <v>0</v>
      </c>
      <c r="G687" s="33">
        <v>0.5</v>
      </c>
      <c r="H687" s="33" t="s">
        <v>215</v>
      </c>
      <c r="I687" s="33">
        <v>500</v>
      </c>
    </row>
    <row r="688" spans="1:9" x14ac:dyDescent="0.3">
      <c r="A688" s="30" t="s">
        <v>485</v>
      </c>
      <c r="B688" s="33" t="s">
        <v>23</v>
      </c>
      <c r="C688" s="33">
        <v>1</v>
      </c>
      <c r="D688" s="34" t="s">
        <v>200</v>
      </c>
      <c r="E688" s="34" t="s">
        <v>204</v>
      </c>
      <c r="F688" s="33">
        <v>0</v>
      </c>
      <c r="G688" s="33">
        <v>0.5</v>
      </c>
      <c r="H688" s="33" t="s">
        <v>215</v>
      </c>
      <c r="I688" s="33">
        <v>500</v>
      </c>
    </row>
    <row r="689" spans="1:9" x14ac:dyDescent="0.3">
      <c r="A689" s="30" t="s">
        <v>485</v>
      </c>
      <c r="B689" s="33" t="s">
        <v>23</v>
      </c>
      <c r="C689" s="33">
        <v>1</v>
      </c>
      <c r="D689" s="34" t="s">
        <v>200</v>
      </c>
      <c r="E689" s="34" t="s">
        <v>205</v>
      </c>
      <c r="F689" s="33">
        <v>0</v>
      </c>
      <c r="G689" s="33">
        <v>0.5</v>
      </c>
      <c r="H689" s="33" t="s">
        <v>215</v>
      </c>
      <c r="I689" s="33">
        <v>500</v>
      </c>
    </row>
    <row r="690" spans="1:9" x14ac:dyDescent="0.3">
      <c r="A690" s="30" t="s">
        <v>485</v>
      </c>
      <c r="B690" s="33" t="s">
        <v>23</v>
      </c>
      <c r="C690" s="33">
        <v>1</v>
      </c>
      <c r="D690" s="34" t="s">
        <v>200</v>
      </c>
      <c r="E690" s="34" t="s">
        <v>206</v>
      </c>
      <c r="F690" s="33">
        <v>0</v>
      </c>
      <c r="G690" s="33">
        <v>0.5</v>
      </c>
      <c r="H690" s="33" t="s">
        <v>215</v>
      </c>
      <c r="I690" s="33">
        <v>500</v>
      </c>
    </row>
    <row r="691" spans="1:9" x14ac:dyDescent="0.3">
      <c r="A691" s="30" t="s">
        <v>485</v>
      </c>
      <c r="B691" s="33" t="s">
        <v>23</v>
      </c>
      <c r="C691" s="33">
        <v>1</v>
      </c>
      <c r="D691" s="34" t="s">
        <v>200</v>
      </c>
      <c r="E691" s="34" t="s">
        <v>207</v>
      </c>
      <c r="F691" s="33">
        <v>0</v>
      </c>
      <c r="G691" s="33">
        <v>0.35</v>
      </c>
      <c r="H691" s="33" t="s">
        <v>215</v>
      </c>
      <c r="I691" s="33">
        <v>500</v>
      </c>
    </row>
    <row r="692" spans="1:9" x14ac:dyDescent="0.3">
      <c r="A692" s="30" t="s">
        <v>485</v>
      </c>
      <c r="B692" s="33" t="s">
        <v>23</v>
      </c>
      <c r="C692" s="33">
        <v>1</v>
      </c>
      <c r="D692" s="34" t="s">
        <v>200</v>
      </c>
      <c r="E692" s="34" t="s">
        <v>208</v>
      </c>
      <c r="F692" s="33">
        <v>0</v>
      </c>
      <c r="G692" s="33">
        <v>0.3</v>
      </c>
      <c r="H692" s="33" t="s">
        <v>215</v>
      </c>
      <c r="I692" s="33">
        <v>500</v>
      </c>
    </row>
    <row r="693" spans="1:9" x14ac:dyDescent="0.3">
      <c r="A693" s="30" t="s">
        <v>485</v>
      </c>
      <c r="B693" s="33" t="s">
        <v>23</v>
      </c>
      <c r="C693" s="33">
        <v>1</v>
      </c>
      <c r="D693" s="34" t="s">
        <v>200</v>
      </c>
      <c r="E693" s="34" t="s">
        <v>209</v>
      </c>
      <c r="F693" s="33">
        <v>0</v>
      </c>
      <c r="G693" s="33">
        <v>0.5</v>
      </c>
      <c r="H693" s="33" t="s">
        <v>215</v>
      </c>
      <c r="I693" s="33">
        <v>500</v>
      </c>
    </row>
    <row r="694" spans="1:9" x14ac:dyDescent="0.3">
      <c r="A694" s="30" t="s">
        <v>485</v>
      </c>
      <c r="B694" s="33" t="s">
        <v>23</v>
      </c>
      <c r="C694" s="33">
        <v>1</v>
      </c>
      <c r="D694" s="34" t="s">
        <v>200</v>
      </c>
      <c r="E694" s="34" t="s">
        <v>210</v>
      </c>
      <c r="F694" s="33">
        <v>0</v>
      </c>
      <c r="G694" s="33">
        <v>0.3</v>
      </c>
      <c r="H694" s="33" t="s">
        <v>215</v>
      </c>
      <c r="I694" s="33">
        <v>500</v>
      </c>
    </row>
    <row r="695" spans="1:9" x14ac:dyDescent="0.3">
      <c r="A695" s="30" t="s">
        <v>485</v>
      </c>
      <c r="B695" s="33" t="s">
        <v>23</v>
      </c>
      <c r="C695" s="33">
        <v>1</v>
      </c>
      <c r="D695" s="34" t="s">
        <v>200</v>
      </c>
      <c r="E695" s="34" t="s">
        <v>211</v>
      </c>
      <c r="F695" s="33">
        <v>0</v>
      </c>
      <c r="G695" s="33">
        <v>0.25</v>
      </c>
      <c r="H695" s="33" t="s">
        <v>215</v>
      </c>
      <c r="I695" s="33">
        <v>500</v>
      </c>
    </row>
    <row r="696" spans="1:9" x14ac:dyDescent="0.3">
      <c r="A696" s="30" t="s">
        <v>485</v>
      </c>
      <c r="B696" s="33" t="s">
        <v>23</v>
      </c>
      <c r="C696" s="33">
        <v>1</v>
      </c>
      <c r="D696" s="34" t="s">
        <v>200</v>
      </c>
      <c r="E696" s="34" t="s">
        <v>212</v>
      </c>
      <c r="F696" s="33">
        <v>0</v>
      </c>
      <c r="G696" s="33">
        <v>0.25</v>
      </c>
      <c r="H696" s="33" t="s">
        <v>215</v>
      </c>
      <c r="I696" s="33">
        <v>500</v>
      </c>
    </row>
    <row r="697" spans="1:9" x14ac:dyDescent="0.3">
      <c r="A697" s="30" t="s">
        <v>485</v>
      </c>
      <c r="B697" s="33" t="s">
        <v>23</v>
      </c>
      <c r="C697" s="33">
        <v>1</v>
      </c>
      <c r="D697" s="34" t="s">
        <v>200</v>
      </c>
      <c r="E697" s="34" t="s">
        <v>213</v>
      </c>
      <c r="F697" s="33">
        <v>0</v>
      </c>
      <c r="G697" s="33">
        <v>0.25</v>
      </c>
      <c r="H697" s="33" t="s">
        <v>215</v>
      </c>
      <c r="I697" s="33">
        <v>500</v>
      </c>
    </row>
    <row r="698" spans="1:9" x14ac:dyDescent="0.3">
      <c r="A698" s="30" t="s">
        <v>485</v>
      </c>
      <c r="B698" s="33" t="s">
        <v>23</v>
      </c>
      <c r="C698" s="33">
        <v>1</v>
      </c>
      <c r="D698" s="34" t="s">
        <v>200</v>
      </c>
      <c r="E698" s="34" t="s">
        <v>214</v>
      </c>
      <c r="F698" s="33">
        <v>0</v>
      </c>
      <c r="G698" s="33">
        <v>0.25</v>
      </c>
      <c r="H698" s="33" t="s">
        <v>215</v>
      </c>
      <c r="I698" s="33">
        <v>500</v>
      </c>
    </row>
    <row r="699" spans="1:9" x14ac:dyDescent="0.3">
      <c r="A699" s="30" t="s">
        <v>485</v>
      </c>
      <c r="B699" s="33" t="s">
        <v>23</v>
      </c>
      <c r="C699" s="33">
        <v>1</v>
      </c>
      <c r="D699" s="34" t="s">
        <v>200</v>
      </c>
      <c r="E699" s="34" t="s">
        <v>216</v>
      </c>
      <c r="F699" s="33">
        <v>0</v>
      </c>
      <c r="G699" s="33">
        <v>0.3</v>
      </c>
      <c r="H699" s="33" t="s">
        <v>202</v>
      </c>
      <c r="I699" s="33">
        <v>100</v>
      </c>
    </row>
    <row r="700" spans="1:9" x14ac:dyDescent="0.3">
      <c r="A700" s="30" t="s">
        <v>485</v>
      </c>
      <c r="B700" s="33" t="s">
        <v>23</v>
      </c>
      <c r="C700" s="33">
        <v>1</v>
      </c>
      <c r="D700" s="34" t="s">
        <v>200</v>
      </c>
      <c r="E700" s="34" t="s">
        <v>216</v>
      </c>
      <c r="F700" s="33">
        <v>0</v>
      </c>
      <c r="G700" s="33">
        <v>0.45</v>
      </c>
      <c r="H700" s="33" t="s">
        <v>215</v>
      </c>
      <c r="I700" s="33">
        <v>500</v>
      </c>
    </row>
    <row r="701" spans="1:9" x14ac:dyDescent="0.3">
      <c r="A701" s="30" t="s">
        <v>485</v>
      </c>
      <c r="B701" s="33" t="s">
        <v>23</v>
      </c>
      <c r="C701" s="33">
        <v>1</v>
      </c>
      <c r="D701" s="34" t="s">
        <v>200</v>
      </c>
      <c r="E701" s="34" t="s">
        <v>217</v>
      </c>
      <c r="F701" s="33">
        <v>0</v>
      </c>
      <c r="G701" s="33">
        <v>0.2</v>
      </c>
      <c r="H701" s="33" t="s">
        <v>202</v>
      </c>
      <c r="I701" s="33">
        <v>100</v>
      </c>
    </row>
    <row r="702" spans="1:9" x14ac:dyDescent="0.3">
      <c r="A702" s="30" t="s">
        <v>485</v>
      </c>
      <c r="B702" s="33" t="s">
        <v>23</v>
      </c>
      <c r="C702" s="33">
        <v>1</v>
      </c>
      <c r="D702" s="34" t="s">
        <v>200</v>
      </c>
      <c r="E702" s="34" t="s">
        <v>218</v>
      </c>
      <c r="F702" s="33">
        <v>0</v>
      </c>
      <c r="G702" s="33">
        <v>0.2</v>
      </c>
      <c r="H702" s="33" t="s">
        <v>202</v>
      </c>
      <c r="I702" s="33">
        <v>100</v>
      </c>
    </row>
    <row r="703" spans="1:9" x14ac:dyDescent="0.3">
      <c r="A703" s="30" t="s">
        <v>485</v>
      </c>
      <c r="B703" s="33" t="s">
        <v>23</v>
      </c>
      <c r="C703" s="33">
        <v>1</v>
      </c>
      <c r="D703" s="34" t="s">
        <v>200</v>
      </c>
      <c r="E703" s="34" t="s">
        <v>219</v>
      </c>
      <c r="F703" s="33">
        <v>0</v>
      </c>
      <c r="G703" s="33">
        <v>0.2</v>
      </c>
      <c r="H703" s="33" t="s">
        <v>202</v>
      </c>
      <c r="I703" s="33">
        <v>100</v>
      </c>
    </row>
    <row r="704" spans="1:9" x14ac:dyDescent="0.3">
      <c r="A704" s="30" t="s">
        <v>485</v>
      </c>
      <c r="B704" s="33" t="s">
        <v>23</v>
      </c>
      <c r="C704" s="33">
        <v>1</v>
      </c>
      <c r="D704" s="34" t="s">
        <v>200</v>
      </c>
      <c r="E704" s="34" t="s">
        <v>220</v>
      </c>
      <c r="F704" s="33">
        <v>0</v>
      </c>
      <c r="G704" s="33">
        <v>0.2</v>
      </c>
      <c r="H704" s="33" t="s">
        <v>202</v>
      </c>
      <c r="I704" s="33">
        <v>100</v>
      </c>
    </row>
    <row r="705" spans="1:9" x14ac:dyDescent="0.3">
      <c r="A705" s="30" t="s">
        <v>485</v>
      </c>
      <c r="B705" s="33" t="s">
        <v>23</v>
      </c>
      <c r="C705" s="33">
        <v>1</v>
      </c>
      <c r="D705" s="34" t="s">
        <v>200</v>
      </c>
      <c r="E705" s="34" t="s">
        <v>217</v>
      </c>
      <c r="F705" s="33">
        <v>0</v>
      </c>
      <c r="G705" s="33">
        <v>0.35</v>
      </c>
      <c r="H705" s="33" t="s">
        <v>215</v>
      </c>
      <c r="I705" s="33">
        <v>500</v>
      </c>
    </row>
    <row r="706" spans="1:9" x14ac:dyDescent="0.3">
      <c r="A706" s="30" t="s">
        <v>485</v>
      </c>
      <c r="B706" s="33" t="s">
        <v>23</v>
      </c>
      <c r="C706" s="33">
        <v>1</v>
      </c>
      <c r="D706" s="34" t="s">
        <v>200</v>
      </c>
      <c r="E706" s="34" t="s">
        <v>218</v>
      </c>
      <c r="F706" s="33">
        <v>0</v>
      </c>
      <c r="G706" s="33">
        <v>0.35</v>
      </c>
      <c r="H706" s="33" t="s">
        <v>215</v>
      </c>
      <c r="I706" s="33">
        <v>500</v>
      </c>
    </row>
    <row r="707" spans="1:9" x14ac:dyDescent="0.3">
      <c r="A707" s="30" t="s">
        <v>485</v>
      </c>
      <c r="B707" s="33" t="s">
        <v>23</v>
      </c>
      <c r="C707" s="33">
        <v>1</v>
      </c>
      <c r="D707" s="34" t="s">
        <v>200</v>
      </c>
      <c r="E707" s="34" t="s">
        <v>219</v>
      </c>
      <c r="F707" s="33">
        <v>0</v>
      </c>
      <c r="G707" s="33">
        <v>0.35</v>
      </c>
      <c r="H707" s="33" t="s">
        <v>215</v>
      </c>
      <c r="I707" s="33">
        <v>500</v>
      </c>
    </row>
    <row r="708" spans="1:9" x14ac:dyDescent="0.3">
      <c r="A708" s="30" t="s">
        <v>485</v>
      </c>
      <c r="B708" s="33" t="s">
        <v>23</v>
      </c>
      <c r="C708" s="33">
        <v>1</v>
      </c>
      <c r="D708" s="34" t="s">
        <v>200</v>
      </c>
      <c r="E708" s="34" t="s">
        <v>220</v>
      </c>
      <c r="F708" s="33">
        <v>0</v>
      </c>
      <c r="G708" s="33">
        <v>0.35</v>
      </c>
      <c r="H708" s="33" t="s">
        <v>215</v>
      </c>
      <c r="I708" s="33">
        <v>500</v>
      </c>
    </row>
    <row r="709" spans="1:9" x14ac:dyDescent="0.3">
      <c r="A709" s="30" t="s">
        <v>485</v>
      </c>
      <c r="B709" s="33" t="s">
        <v>23</v>
      </c>
      <c r="C709" s="33">
        <v>1</v>
      </c>
      <c r="D709" s="34" t="s">
        <v>221</v>
      </c>
      <c r="E709" s="34" t="s">
        <v>198</v>
      </c>
      <c r="F709" s="33">
        <v>0</v>
      </c>
      <c r="G709" s="33">
        <v>0.5</v>
      </c>
      <c r="H709" s="33"/>
      <c r="I709" s="33">
        <v>0</v>
      </c>
    </row>
    <row r="710" spans="1:9" x14ac:dyDescent="0.3">
      <c r="A710" s="30" t="s">
        <v>486</v>
      </c>
      <c r="B710" s="33" t="s">
        <v>23</v>
      </c>
      <c r="C710" s="33">
        <v>1</v>
      </c>
      <c r="D710" s="34" t="s">
        <v>188</v>
      </c>
      <c r="E710" s="34" t="s">
        <v>189</v>
      </c>
      <c r="F710" s="33">
        <v>0</v>
      </c>
      <c r="G710" s="33">
        <v>0.15</v>
      </c>
      <c r="H710" s="33"/>
      <c r="I710" s="33">
        <v>0</v>
      </c>
    </row>
    <row r="711" spans="1:9" x14ac:dyDescent="0.3">
      <c r="A711" s="30" t="s">
        <v>486</v>
      </c>
      <c r="B711" s="33" t="s">
        <v>23</v>
      </c>
      <c r="C711" s="33">
        <v>1</v>
      </c>
      <c r="D711" s="34" t="s">
        <v>190</v>
      </c>
      <c r="E711" s="34" t="s">
        <v>198</v>
      </c>
      <c r="F711" s="33">
        <v>0</v>
      </c>
      <c r="G711" s="33">
        <v>0.3</v>
      </c>
      <c r="H711" s="33"/>
      <c r="I711" s="33">
        <v>0</v>
      </c>
    </row>
    <row r="712" spans="1:9" x14ac:dyDescent="0.3">
      <c r="A712" s="30" t="s">
        <v>486</v>
      </c>
      <c r="B712" s="33" t="s">
        <v>23</v>
      </c>
      <c r="C712" s="33">
        <v>1</v>
      </c>
      <c r="D712" s="34" t="s">
        <v>197</v>
      </c>
      <c r="E712" s="34" t="s">
        <v>198</v>
      </c>
      <c r="F712" s="33">
        <v>0</v>
      </c>
      <c r="G712" s="33">
        <v>0.05</v>
      </c>
      <c r="H712" s="33"/>
      <c r="I712" s="33">
        <v>0</v>
      </c>
    </row>
    <row r="713" spans="1:9" x14ac:dyDescent="0.3">
      <c r="A713" s="30" t="s">
        <v>486</v>
      </c>
      <c r="B713" s="33" t="s">
        <v>23</v>
      </c>
      <c r="C713" s="33">
        <v>1</v>
      </c>
      <c r="D713" s="34" t="s">
        <v>197</v>
      </c>
      <c r="E713" s="34" t="s">
        <v>199</v>
      </c>
      <c r="F713" s="33">
        <v>0</v>
      </c>
      <c r="G713" s="33">
        <v>0</v>
      </c>
      <c r="H713" s="33"/>
      <c r="I713" s="33">
        <v>0</v>
      </c>
    </row>
    <row r="714" spans="1:9" x14ac:dyDescent="0.3">
      <c r="A714" s="30" t="s">
        <v>486</v>
      </c>
      <c r="B714" s="33" t="s">
        <v>23</v>
      </c>
      <c r="C714" s="33">
        <v>1</v>
      </c>
      <c r="D714" s="34" t="s">
        <v>200</v>
      </c>
      <c r="E714" s="34" t="s">
        <v>201</v>
      </c>
      <c r="F714" s="33">
        <v>0</v>
      </c>
      <c r="G714" s="33">
        <v>0.35</v>
      </c>
      <c r="H714" s="33" t="s">
        <v>202</v>
      </c>
      <c r="I714" s="33">
        <v>100</v>
      </c>
    </row>
    <row r="715" spans="1:9" x14ac:dyDescent="0.3">
      <c r="A715" s="30" t="s">
        <v>486</v>
      </c>
      <c r="B715" s="33" t="s">
        <v>23</v>
      </c>
      <c r="C715" s="33">
        <v>1</v>
      </c>
      <c r="D715" s="34" t="s">
        <v>200</v>
      </c>
      <c r="E715" s="34" t="s">
        <v>203</v>
      </c>
      <c r="F715" s="33">
        <v>0</v>
      </c>
      <c r="G715" s="33">
        <v>0.3</v>
      </c>
      <c r="H715" s="33" t="s">
        <v>202</v>
      </c>
      <c r="I715" s="33">
        <v>100</v>
      </c>
    </row>
    <row r="716" spans="1:9" x14ac:dyDescent="0.3">
      <c r="A716" s="30" t="s">
        <v>486</v>
      </c>
      <c r="B716" s="33" t="s">
        <v>23</v>
      </c>
      <c r="C716" s="33">
        <v>1</v>
      </c>
      <c r="D716" s="34" t="s">
        <v>200</v>
      </c>
      <c r="E716" s="34" t="s">
        <v>204</v>
      </c>
      <c r="F716" s="33">
        <v>0</v>
      </c>
      <c r="G716" s="33">
        <v>0.3</v>
      </c>
      <c r="H716" s="33" t="s">
        <v>202</v>
      </c>
      <c r="I716" s="33">
        <v>100</v>
      </c>
    </row>
    <row r="717" spans="1:9" x14ac:dyDescent="0.3">
      <c r="A717" s="30" t="s">
        <v>486</v>
      </c>
      <c r="B717" s="33" t="s">
        <v>23</v>
      </c>
      <c r="C717" s="33">
        <v>1</v>
      </c>
      <c r="D717" s="34" t="s">
        <v>200</v>
      </c>
      <c r="E717" s="34" t="s">
        <v>205</v>
      </c>
      <c r="F717" s="33">
        <v>0</v>
      </c>
      <c r="G717" s="33">
        <v>0.3</v>
      </c>
      <c r="H717" s="33" t="s">
        <v>202</v>
      </c>
      <c r="I717" s="33">
        <v>100</v>
      </c>
    </row>
    <row r="718" spans="1:9" x14ac:dyDescent="0.3">
      <c r="A718" s="30" t="s">
        <v>486</v>
      </c>
      <c r="B718" s="33" t="s">
        <v>23</v>
      </c>
      <c r="C718" s="33">
        <v>1</v>
      </c>
      <c r="D718" s="34" t="s">
        <v>200</v>
      </c>
      <c r="E718" s="34" t="s">
        <v>206</v>
      </c>
      <c r="F718" s="33">
        <v>0</v>
      </c>
      <c r="G718" s="33">
        <v>0.3</v>
      </c>
      <c r="H718" s="33" t="s">
        <v>202</v>
      </c>
      <c r="I718" s="33">
        <v>100</v>
      </c>
    </row>
    <row r="719" spans="1:9" x14ac:dyDescent="0.3">
      <c r="A719" s="30" t="s">
        <v>486</v>
      </c>
      <c r="B719" s="33" t="s">
        <v>23</v>
      </c>
      <c r="C719" s="33">
        <v>1</v>
      </c>
      <c r="D719" s="34" t="s">
        <v>200</v>
      </c>
      <c r="E719" s="34" t="s">
        <v>207</v>
      </c>
      <c r="F719" s="33">
        <v>0</v>
      </c>
      <c r="G719" s="33">
        <v>0.2</v>
      </c>
      <c r="H719" s="33" t="s">
        <v>202</v>
      </c>
      <c r="I719" s="33">
        <v>100</v>
      </c>
    </row>
    <row r="720" spans="1:9" x14ac:dyDescent="0.3">
      <c r="A720" s="30" t="s">
        <v>486</v>
      </c>
      <c r="B720" s="33" t="s">
        <v>23</v>
      </c>
      <c r="C720" s="33">
        <v>1</v>
      </c>
      <c r="D720" s="34" t="s">
        <v>200</v>
      </c>
      <c r="E720" s="34" t="s">
        <v>208</v>
      </c>
      <c r="F720" s="33">
        <v>0</v>
      </c>
      <c r="G720" s="33">
        <v>0.2</v>
      </c>
      <c r="H720" s="33" t="s">
        <v>202</v>
      </c>
      <c r="I720" s="33">
        <v>100</v>
      </c>
    </row>
    <row r="721" spans="1:9" x14ac:dyDescent="0.3">
      <c r="A721" s="30" t="s">
        <v>486</v>
      </c>
      <c r="B721" s="33" t="s">
        <v>23</v>
      </c>
      <c r="C721" s="33">
        <v>1</v>
      </c>
      <c r="D721" s="34" t="s">
        <v>200</v>
      </c>
      <c r="E721" s="34" t="s">
        <v>209</v>
      </c>
      <c r="F721" s="33">
        <v>0</v>
      </c>
      <c r="G721" s="33">
        <v>0.3</v>
      </c>
      <c r="H721" s="33" t="s">
        <v>202</v>
      </c>
      <c r="I721" s="33">
        <v>100</v>
      </c>
    </row>
    <row r="722" spans="1:9" x14ac:dyDescent="0.3">
      <c r="A722" s="30" t="s">
        <v>486</v>
      </c>
      <c r="B722" s="33" t="s">
        <v>23</v>
      </c>
      <c r="C722" s="33">
        <v>1</v>
      </c>
      <c r="D722" s="34" t="s">
        <v>200</v>
      </c>
      <c r="E722" s="34" t="s">
        <v>210</v>
      </c>
      <c r="F722" s="33">
        <v>0</v>
      </c>
      <c r="G722" s="33">
        <v>0.2</v>
      </c>
      <c r="H722" s="33" t="s">
        <v>202</v>
      </c>
      <c r="I722" s="33">
        <v>100</v>
      </c>
    </row>
    <row r="723" spans="1:9" x14ac:dyDescent="0.3">
      <c r="A723" s="30" t="s">
        <v>486</v>
      </c>
      <c r="B723" s="33" t="s">
        <v>23</v>
      </c>
      <c r="C723" s="33">
        <v>1</v>
      </c>
      <c r="D723" s="34" t="s">
        <v>200</v>
      </c>
      <c r="E723" s="34" t="s">
        <v>211</v>
      </c>
      <c r="F723" s="33">
        <v>0</v>
      </c>
      <c r="G723" s="33">
        <v>0.15</v>
      </c>
      <c r="H723" s="33" t="s">
        <v>202</v>
      </c>
      <c r="I723" s="33">
        <v>100</v>
      </c>
    </row>
    <row r="724" spans="1:9" x14ac:dyDescent="0.3">
      <c r="A724" s="30" t="s">
        <v>486</v>
      </c>
      <c r="B724" s="33" t="s">
        <v>23</v>
      </c>
      <c r="C724" s="33">
        <v>1</v>
      </c>
      <c r="D724" s="34" t="s">
        <v>200</v>
      </c>
      <c r="E724" s="34" t="s">
        <v>212</v>
      </c>
      <c r="F724" s="33">
        <v>0</v>
      </c>
      <c r="G724" s="33">
        <v>0.15</v>
      </c>
      <c r="H724" s="33" t="s">
        <v>202</v>
      </c>
      <c r="I724" s="33">
        <v>100</v>
      </c>
    </row>
    <row r="725" spans="1:9" x14ac:dyDescent="0.3">
      <c r="A725" s="30" t="s">
        <v>486</v>
      </c>
      <c r="B725" s="33" t="s">
        <v>23</v>
      </c>
      <c r="C725" s="33">
        <v>1</v>
      </c>
      <c r="D725" s="34" t="s">
        <v>200</v>
      </c>
      <c r="E725" s="34" t="s">
        <v>213</v>
      </c>
      <c r="F725" s="33">
        <v>0</v>
      </c>
      <c r="G725" s="33">
        <v>0.15</v>
      </c>
      <c r="H725" s="33" t="s">
        <v>202</v>
      </c>
      <c r="I725" s="33">
        <v>100</v>
      </c>
    </row>
    <row r="726" spans="1:9" x14ac:dyDescent="0.3">
      <c r="A726" s="30" t="s">
        <v>486</v>
      </c>
      <c r="B726" s="33" t="s">
        <v>23</v>
      </c>
      <c r="C726" s="33">
        <v>1</v>
      </c>
      <c r="D726" s="34" t="s">
        <v>200</v>
      </c>
      <c r="E726" s="34" t="s">
        <v>214</v>
      </c>
      <c r="F726" s="33">
        <v>0</v>
      </c>
      <c r="G726" s="33">
        <v>0.15</v>
      </c>
      <c r="H726" s="33" t="s">
        <v>202</v>
      </c>
      <c r="I726" s="33">
        <v>100</v>
      </c>
    </row>
    <row r="727" spans="1:9" x14ac:dyDescent="0.3">
      <c r="A727" s="30" t="s">
        <v>486</v>
      </c>
      <c r="B727" s="33" t="s">
        <v>23</v>
      </c>
      <c r="C727" s="33">
        <v>1</v>
      </c>
      <c r="D727" s="34" t="s">
        <v>200</v>
      </c>
      <c r="E727" s="34" t="s">
        <v>201</v>
      </c>
      <c r="F727" s="33">
        <v>0</v>
      </c>
      <c r="G727" s="33">
        <v>0.5</v>
      </c>
      <c r="H727" s="33" t="s">
        <v>215</v>
      </c>
      <c r="I727" s="33">
        <v>500</v>
      </c>
    </row>
    <row r="728" spans="1:9" x14ac:dyDescent="0.3">
      <c r="A728" s="30" t="s">
        <v>486</v>
      </c>
      <c r="B728" s="33" t="s">
        <v>23</v>
      </c>
      <c r="C728" s="33">
        <v>1</v>
      </c>
      <c r="D728" s="34" t="s">
        <v>200</v>
      </c>
      <c r="E728" s="34" t="s">
        <v>203</v>
      </c>
      <c r="F728" s="33">
        <v>0</v>
      </c>
      <c r="G728" s="33">
        <v>0.5</v>
      </c>
      <c r="H728" s="33" t="s">
        <v>215</v>
      </c>
      <c r="I728" s="33">
        <v>500</v>
      </c>
    </row>
    <row r="729" spans="1:9" x14ac:dyDescent="0.3">
      <c r="A729" s="30" t="s">
        <v>486</v>
      </c>
      <c r="B729" s="33" t="s">
        <v>23</v>
      </c>
      <c r="C729" s="33">
        <v>1</v>
      </c>
      <c r="D729" s="34" t="s">
        <v>200</v>
      </c>
      <c r="E729" s="34" t="s">
        <v>204</v>
      </c>
      <c r="F729" s="33">
        <v>0</v>
      </c>
      <c r="G729" s="33">
        <v>0.5</v>
      </c>
      <c r="H729" s="33" t="s">
        <v>215</v>
      </c>
      <c r="I729" s="33">
        <v>500</v>
      </c>
    </row>
    <row r="730" spans="1:9" x14ac:dyDescent="0.3">
      <c r="A730" s="30" t="s">
        <v>486</v>
      </c>
      <c r="B730" s="33" t="s">
        <v>23</v>
      </c>
      <c r="C730" s="33">
        <v>1</v>
      </c>
      <c r="D730" s="34" t="s">
        <v>200</v>
      </c>
      <c r="E730" s="34" t="s">
        <v>205</v>
      </c>
      <c r="F730" s="33">
        <v>0</v>
      </c>
      <c r="G730" s="33">
        <v>0.5</v>
      </c>
      <c r="H730" s="33" t="s">
        <v>215</v>
      </c>
      <c r="I730" s="33">
        <v>500</v>
      </c>
    </row>
    <row r="731" spans="1:9" x14ac:dyDescent="0.3">
      <c r="A731" s="30" t="s">
        <v>486</v>
      </c>
      <c r="B731" s="33" t="s">
        <v>23</v>
      </c>
      <c r="C731" s="33">
        <v>1</v>
      </c>
      <c r="D731" s="34" t="s">
        <v>200</v>
      </c>
      <c r="E731" s="34" t="s">
        <v>206</v>
      </c>
      <c r="F731" s="33">
        <v>0</v>
      </c>
      <c r="G731" s="33">
        <v>0.5</v>
      </c>
      <c r="H731" s="33" t="s">
        <v>215</v>
      </c>
      <c r="I731" s="33">
        <v>500</v>
      </c>
    </row>
    <row r="732" spans="1:9" x14ac:dyDescent="0.3">
      <c r="A732" s="30" t="s">
        <v>486</v>
      </c>
      <c r="B732" s="33" t="s">
        <v>23</v>
      </c>
      <c r="C732" s="33">
        <v>1</v>
      </c>
      <c r="D732" s="34" t="s">
        <v>200</v>
      </c>
      <c r="E732" s="34" t="s">
        <v>207</v>
      </c>
      <c r="F732" s="33">
        <v>0</v>
      </c>
      <c r="G732" s="33">
        <v>0.35</v>
      </c>
      <c r="H732" s="33" t="s">
        <v>215</v>
      </c>
      <c r="I732" s="33">
        <v>500</v>
      </c>
    </row>
    <row r="733" spans="1:9" x14ac:dyDescent="0.3">
      <c r="A733" s="30" t="s">
        <v>486</v>
      </c>
      <c r="B733" s="33" t="s">
        <v>23</v>
      </c>
      <c r="C733" s="33">
        <v>1</v>
      </c>
      <c r="D733" s="34" t="s">
        <v>200</v>
      </c>
      <c r="E733" s="34" t="s">
        <v>208</v>
      </c>
      <c r="F733" s="33">
        <v>0</v>
      </c>
      <c r="G733" s="33">
        <v>0.3</v>
      </c>
      <c r="H733" s="33" t="s">
        <v>215</v>
      </c>
      <c r="I733" s="33">
        <v>500</v>
      </c>
    </row>
    <row r="734" spans="1:9" x14ac:dyDescent="0.3">
      <c r="A734" s="30" t="s">
        <v>486</v>
      </c>
      <c r="B734" s="33" t="s">
        <v>23</v>
      </c>
      <c r="C734" s="33">
        <v>1</v>
      </c>
      <c r="D734" s="34" t="s">
        <v>200</v>
      </c>
      <c r="E734" s="34" t="s">
        <v>209</v>
      </c>
      <c r="F734" s="33">
        <v>0</v>
      </c>
      <c r="G734" s="33">
        <v>0.5</v>
      </c>
      <c r="H734" s="33" t="s">
        <v>215</v>
      </c>
      <c r="I734" s="33">
        <v>500</v>
      </c>
    </row>
    <row r="735" spans="1:9" x14ac:dyDescent="0.3">
      <c r="A735" s="30" t="s">
        <v>486</v>
      </c>
      <c r="B735" s="33" t="s">
        <v>23</v>
      </c>
      <c r="C735" s="33">
        <v>1</v>
      </c>
      <c r="D735" s="34" t="s">
        <v>200</v>
      </c>
      <c r="E735" s="34" t="s">
        <v>210</v>
      </c>
      <c r="F735" s="33">
        <v>0</v>
      </c>
      <c r="G735" s="33">
        <v>0.3</v>
      </c>
      <c r="H735" s="33" t="s">
        <v>215</v>
      </c>
      <c r="I735" s="33">
        <v>500</v>
      </c>
    </row>
    <row r="736" spans="1:9" x14ac:dyDescent="0.3">
      <c r="A736" s="30" t="s">
        <v>486</v>
      </c>
      <c r="B736" s="33" t="s">
        <v>23</v>
      </c>
      <c r="C736" s="33">
        <v>1</v>
      </c>
      <c r="D736" s="34" t="s">
        <v>200</v>
      </c>
      <c r="E736" s="34" t="s">
        <v>211</v>
      </c>
      <c r="F736" s="33">
        <v>0</v>
      </c>
      <c r="G736" s="33">
        <v>0.25</v>
      </c>
      <c r="H736" s="33" t="s">
        <v>215</v>
      </c>
      <c r="I736" s="33">
        <v>500</v>
      </c>
    </row>
    <row r="737" spans="1:9" x14ac:dyDescent="0.3">
      <c r="A737" s="30" t="s">
        <v>486</v>
      </c>
      <c r="B737" s="33" t="s">
        <v>23</v>
      </c>
      <c r="C737" s="33">
        <v>1</v>
      </c>
      <c r="D737" s="34" t="s">
        <v>200</v>
      </c>
      <c r="E737" s="34" t="s">
        <v>212</v>
      </c>
      <c r="F737" s="33">
        <v>0</v>
      </c>
      <c r="G737" s="33">
        <v>0.25</v>
      </c>
      <c r="H737" s="33" t="s">
        <v>215</v>
      </c>
      <c r="I737" s="33">
        <v>500</v>
      </c>
    </row>
    <row r="738" spans="1:9" x14ac:dyDescent="0.3">
      <c r="A738" s="30" t="s">
        <v>486</v>
      </c>
      <c r="B738" s="33" t="s">
        <v>23</v>
      </c>
      <c r="C738" s="33">
        <v>1</v>
      </c>
      <c r="D738" s="34" t="s">
        <v>200</v>
      </c>
      <c r="E738" s="34" t="s">
        <v>213</v>
      </c>
      <c r="F738" s="33">
        <v>0</v>
      </c>
      <c r="G738" s="33">
        <v>0.25</v>
      </c>
      <c r="H738" s="33" t="s">
        <v>215</v>
      </c>
      <c r="I738" s="33">
        <v>500</v>
      </c>
    </row>
    <row r="739" spans="1:9" x14ac:dyDescent="0.3">
      <c r="A739" s="30" t="s">
        <v>486</v>
      </c>
      <c r="B739" s="33" t="s">
        <v>23</v>
      </c>
      <c r="C739" s="33">
        <v>1</v>
      </c>
      <c r="D739" s="34" t="s">
        <v>200</v>
      </c>
      <c r="E739" s="34" t="s">
        <v>214</v>
      </c>
      <c r="F739" s="33">
        <v>0</v>
      </c>
      <c r="G739" s="33">
        <v>0.25</v>
      </c>
      <c r="H739" s="33" t="s">
        <v>215</v>
      </c>
      <c r="I739" s="33">
        <v>500</v>
      </c>
    </row>
    <row r="740" spans="1:9" x14ac:dyDescent="0.3">
      <c r="A740" s="30" t="s">
        <v>486</v>
      </c>
      <c r="B740" s="33" t="s">
        <v>23</v>
      </c>
      <c r="C740" s="33">
        <v>1</v>
      </c>
      <c r="D740" s="34" t="s">
        <v>200</v>
      </c>
      <c r="E740" s="34" t="s">
        <v>216</v>
      </c>
      <c r="F740" s="33">
        <v>0</v>
      </c>
      <c r="G740" s="33">
        <v>0.3</v>
      </c>
      <c r="H740" s="33" t="s">
        <v>202</v>
      </c>
      <c r="I740" s="33">
        <v>100</v>
      </c>
    </row>
    <row r="741" spans="1:9" x14ac:dyDescent="0.3">
      <c r="A741" s="30" t="s">
        <v>486</v>
      </c>
      <c r="B741" s="33" t="s">
        <v>23</v>
      </c>
      <c r="C741" s="33">
        <v>1</v>
      </c>
      <c r="D741" s="34" t="s">
        <v>200</v>
      </c>
      <c r="E741" s="34" t="s">
        <v>216</v>
      </c>
      <c r="F741" s="33">
        <v>0</v>
      </c>
      <c r="G741" s="33">
        <v>0.45</v>
      </c>
      <c r="H741" s="33" t="s">
        <v>215</v>
      </c>
      <c r="I741" s="33">
        <v>500</v>
      </c>
    </row>
    <row r="742" spans="1:9" x14ac:dyDescent="0.3">
      <c r="A742" s="30" t="s">
        <v>486</v>
      </c>
      <c r="B742" s="33" t="s">
        <v>23</v>
      </c>
      <c r="C742" s="33">
        <v>1</v>
      </c>
      <c r="D742" s="34" t="s">
        <v>200</v>
      </c>
      <c r="E742" s="34" t="s">
        <v>217</v>
      </c>
      <c r="F742" s="33">
        <v>0</v>
      </c>
      <c r="G742" s="33">
        <v>0.2</v>
      </c>
      <c r="H742" s="33" t="s">
        <v>202</v>
      </c>
      <c r="I742" s="33">
        <v>100</v>
      </c>
    </row>
    <row r="743" spans="1:9" x14ac:dyDescent="0.3">
      <c r="A743" s="30" t="s">
        <v>486</v>
      </c>
      <c r="B743" s="33" t="s">
        <v>23</v>
      </c>
      <c r="C743" s="33">
        <v>1</v>
      </c>
      <c r="D743" s="34" t="s">
        <v>200</v>
      </c>
      <c r="E743" s="34" t="s">
        <v>218</v>
      </c>
      <c r="F743" s="33">
        <v>0</v>
      </c>
      <c r="G743" s="33">
        <v>0.2</v>
      </c>
      <c r="H743" s="33" t="s">
        <v>202</v>
      </c>
      <c r="I743" s="33">
        <v>100</v>
      </c>
    </row>
    <row r="744" spans="1:9" x14ac:dyDescent="0.3">
      <c r="A744" s="30" t="s">
        <v>486</v>
      </c>
      <c r="B744" s="33" t="s">
        <v>23</v>
      </c>
      <c r="C744" s="33">
        <v>1</v>
      </c>
      <c r="D744" s="34" t="s">
        <v>200</v>
      </c>
      <c r="E744" s="34" t="s">
        <v>219</v>
      </c>
      <c r="F744" s="33">
        <v>0</v>
      </c>
      <c r="G744" s="33">
        <v>0.2</v>
      </c>
      <c r="H744" s="33" t="s">
        <v>202</v>
      </c>
      <c r="I744" s="33">
        <v>100</v>
      </c>
    </row>
    <row r="745" spans="1:9" x14ac:dyDescent="0.3">
      <c r="A745" s="30" t="s">
        <v>486</v>
      </c>
      <c r="B745" s="33" t="s">
        <v>23</v>
      </c>
      <c r="C745" s="33">
        <v>1</v>
      </c>
      <c r="D745" s="34" t="s">
        <v>200</v>
      </c>
      <c r="E745" s="34" t="s">
        <v>220</v>
      </c>
      <c r="F745" s="33">
        <v>0</v>
      </c>
      <c r="G745" s="33">
        <v>0.2</v>
      </c>
      <c r="H745" s="33" t="s">
        <v>202</v>
      </c>
      <c r="I745" s="33">
        <v>100</v>
      </c>
    </row>
    <row r="746" spans="1:9" x14ac:dyDescent="0.3">
      <c r="A746" s="30" t="s">
        <v>486</v>
      </c>
      <c r="B746" s="33" t="s">
        <v>23</v>
      </c>
      <c r="C746" s="33">
        <v>1</v>
      </c>
      <c r="D746" s="34" t="s">
        <v>200</v>
      </c>
      <c r="E746" s="34" t="s">
        <v>217</v>
      </c>
      <c r="F746" s="33">
        <v>0</v>
      </c>
      <c r="G746" s="33">
        <v>0.35</v>
      </c>
      <c r="H746" s="33" t="s">
        <v>215</v>
      </c>
      <c r="I746" s="33">
        <v>500</v>
      </c>
    </row>
    <row r="747" spans="1:9" x14ac:dyDescent="0.3">
      <c r="A747" s="30" t="s">
        <v>486</v>
      </c>
      <c r="B747" s="33" t="s">
        <v>23</v>
      </c>
      <c r="C747" s="33">
        <v>1</v>
      </c>
      <c r="D747" s="34" t="s">
        <v>200</v>
      </c>
      <c r="E747" s="34" t="s">
        <v>218</v>
      </c>
      <c r="F747" s="33">
        <v>0</v>
      </c>
      <c r="G747" s="33">
        <v>0.35</v>
      </c>
      <c r="H747" s="33" t="s">
        <v>215</v>
      </c>
      <c r="I747" s="33">
        <v>500</v>
      </c>
    </row>
    <row r="748" spans="1:9" x14ac:dyDescent="0.3">
      <c r="A748" s="30" t="s">
        <v>486</v>
      </c>
      <c r="B748" s="33" t="s">
        <v>23</v>
      </c>
      <c r="C748" s="33">
        <v>1</v>
      </c>
      <c r="D748" s="34" t="s">
        <v>200</v>
      </c>
      <c r="E748" s="34" t="s">
        <v>219</v>
      </c>
      <c r="F748" s="33">
        <v>0</v>
      </c>
      <c r="G748" s="33">
        <v>0.35</v>
      </c>
      <c r="H748" s="33" t="s">
        <v>215</v>
      </c>
      <c r="I748" s="33">
        <v>500</v>
      </c>
    </row>
    <row r="749" spans="1:9" x14ac:dyDescent="0.3">
      <c r="A749" s="30" t="s">
        <v>486</v>
      </c>
      <c r="B749" s="33" t="s">
        <v>23</v>
      </c>
      <c r="C749" s="33">
        <v>1</v>
      </c>
      <c r="D749" s="34" t="s">
        <v>200</v>
      </c>
      <c r="E749" s="34" t="s">
        <v>220</v>
      </c>
      <c r="F749" s="33">
        <v>0</v>
      </c>
      <c r="G749" s="33">
        <v>0.35</v>
      </c>
      <c r="H749" s="33" t="s">
        <v>215</v>
      </c>
      <c r="I749" s="33">
        <v>500</v>
      </c>
    </row>
    <row r="750" spans="1:9" x14ac:dyDescent="0.3">
      <c r="A750" s="30" t="s">
        <v>486</v>
      </c>
      <c r="B750" s="33" t="s">
        <v>23</v>
      </c>
      <c r="C750" s="33">
        <v>1</v>
      </c>
      <c r="D750" s="34" t="s">
        <v>221</v>
      </c>
      <c r="E750" s="34" t="s">
        <v>198</v>
      </c>
      <c r="F750" s="33">
        <v>0</v>
      </c>
      <c r="G750" s="33">
        <v>0.5</v>
      </c>
      <c r="H750" s="33"/>
      <c r="I750" s="33">
        <v>0</v>
      </c>
    </row>
    <row r="751" spans="1:9" x14ac:dyDescent="0.3">
      <c r="A751" s="30" t="s">
        <v>487</v>
      </c>
      <c r="B751" s="33" t="s">
        <v>23</v>
      </c>
      <c r="C751" s="33">
        <v>1</v>
      </c>
      <c r="D751" s="34" t="s">
        <v>188</v>
      </c>
      <c r="E751" s="34" t="s">
        <v>189</v>
      </c>
      <c r="F751" s="33">
        <v>0</v>
      </c>
      <c r="G751" s="33">
        <v>0.15</v>
      </c>
      <c r="H751" s="33"/>
      <c r="I751" s="33">
        <v>0</v>
      </c>
    </row>
    <row r="752" spans="1:9" x14ac:dyDescent="0.3">
      <c r="A752" s="30" t="s">
        <v>487</v>
      </c>
      <c r="B752" s="33" t="s">
        <v>23</v>
      </c>
      <c r="C752" s="33">
        <v>1</v>
      </c>
      <c r="D752" s="34" t="s">
        <v>190</v>
      </c>
      <c r="E752" s="34" t="s">
        <v>198</v>
      </c>
      <c r="F752" s="33">
        <v>0</v>
      </c>
      <c r="G752" s="33">
        <v>0.3</v>
      </c>
      <c r="H752" s="33"/>
      <c r="I752" s="33">
        <v>0</v>
      </c>
    </row>
    <row r="753" spans="1:9" x14ac:dyDescent="0.3">
      <c r="A753" s="30" t="s">
        <v>487</v>
      </c>
      <c r="B753" s="33" t="s">
        <v>23</v>
      </c>
      <c r="C753" s="33">
        <v>1</v>
      </c>
      <c r="D753" s="34" t="s">
        <v>197</v>
      </c>
      <c r="E753" s="34" t="s">
        <v>198</v>
      </c>
      <c r="F753" s="33">
        <v>0</v>
      </c>
      <c r="G753" s="33">
        <v>0.05</v>
      </c>
      <c r="H753" s="33"/>
      <c r="I753" s="33">
        <v>0</v>
      </c>
    </row>
    <row r="754" spans="1:9" x14ac:dyDescent="0.3">
      <c r="A754" s="30" t="s">
        <v>487</v>
      </c>
      <c r="B754" s="33" t="s">
        <v>23</v>
      </c>
      <c r="C754" s="33">
        <v>1</v>
      </c>
      <c r="D754" s="34" t="s">
        <v>197</v>
      </c>
      <c r="E754" s="34" t="s">
        <v>199</v>
      </c>
      <c r="F754" s="33">
        <v>0</v>
      </c>
      <c r="G754" s="33">
        <v>0</v>
      </c>
      <c r="H754" s="33"/>
      <c r="I754" s="33">
        <v>0</v>
      </c>
    </row>
    <row r="755" spans="1:9" x14ac:dyDescent="0.3">
      <c r="A755" s="30" t="s">
        <v>487</v>
      </c>
      <c r="B755" s="33" t="s">
        <v>23</v>
      </c>
      <c r="C755" s="33">
        <v>1</v>
      </c>
      <c r="D755" s="34" t="s">
        <v>200</v>
      </c>
      <c r="E755" s="34" t="s">
        <v>201</v>
      </c>
      <c r="F755" s="33">
        <v>0</v>
      </c>
      <c r="G755" s="33">
        <v>0.35</v>
      </c>
      <c r="H755" s="33" t="s">
        <v>202</v>
      </c>
      <c r="I755" s="33">
        <v>100</v>
      </c>
    </row>
    <row r="756" spans="1:9" x14ac:dyDescent="0.3">
      <c r="A756" s="30" t="s">
        <v>487</v>
      </c>
      <c r="B756" s="33" t="s">
        <v>23</v>
      </c>
      <c r="C756" s="33">
        <v>1</v>
      </c>
      <c r="D756" s="34" t="s">
        <v>200</v>
      </c>
      <c r="E756" s="34" t="s">
        <v>203</v>
      </c>
      <c r="F756" s="33">
        <v>0</v>
      </c>
      <c r="G756" s="33">
        <v>0.3</v>
      </c>
      <c r="H756" s="33" t="s">
        <v>202</v>
      </c>
      <c r="I756" s="33">
        <v>100</v>
      </c>
    </row>
    <row r="757" spans="1:9" x14ac:dyDescent="0.3">
      <c r="A757" s="30" t="s">
        <v>487</v>
      </c>
      <c r="B757" s="33" t="s">
        <v>23</v>
      </c>
      <c r="C757" s="33">
        <v>1</v>
      </c>
      <c r="D757" s="34" t="s">
        <v>200</v>
      </c>
      <c r="E757" s="34" t="s">
        <v>204</v>
      </c>
      <c r="F757" s="33">
        <v>0</v>
      </c>
      <c r="G757" s="33">
        <v>0.3</v>
      </c>
      <c r="H757" s="33" t="s">
        <v>202</v>
      </c>
      <c r="I757" s="33">
        <v>100</v>
      </c>
    </row>
    <row r="758" spans="1:9" x14ac:dyDescent="0.3">
      <c r="A758" s="30" t="s">
        <v>487</v>
      </c>
      <c r="B758" s="33" t="s">
        <v>23</v>
      </c>
      <c r="C758" s="33">
        <v>1</v>
      </c>
      <c r="D758" s="34" t="s">
        <v>200</v>
      </c>
      <c r="E758" s="34" t="s">
        <v>205</v>
      </c>
      <c r="F758" s="33">
        <v>0</v>
      </c>
      <c r="G758" s="33">
        <v>0.3</v>
      </c>
      <c r="H758" s="33" t="s">
        <v>202</v>
      </c>
      <c r="I758" s="33">
        <v>100</v>
      </c>
    </row>
    <row r="759" spans="1:9" x14ac:dyDescent="0.3">
      <c r="A759" s="30" t="s">
        <v>487</v>
      </c>
      <c r="B759" s="33" t="s">
        <v>23</v>
      </c>
      <c r="C759" s="33">
        <v>1</v>
      </c>
      <c r="D759" s="34" t="s">
        <v>200</v>
      </c>
      <c r="E759" s="34" t="s">
        <v>206</v>
      </c>
      <c r="F759" s="33">
        <v>0</v>
      </c>
      <c r="G759" s="33">
        <v>0.3</v>
      </c>
      <c r="H759" s="33" t="s">
        <v>202</v>
      </c>
      <c r="I759" s="33">
        <v>100</v>
      </c>
    </row>
    <row r="760" spans="1:9" x14ac:dyDescent="0.3">
      <c r="A760" s="30" t="s">
        <v>487</v>
      </c>
      <c r="B760" s="33" t="s">
        <v>23</v>
      </c>
      <c r="C760" s="33">
        <v>1</v>
      </c>
      <c r="D760" s="34" t="s">
        <v>200</v>
      </c>
      <c r="E760" s="34" t="s">
        <v>207</v>
      </c>
      <c r="F760" s="33">
        <v>0</v>
      </c>
      <c r="G760" s="33">
        <v>0.2</v>
      </c>
      <c r="H760" s="33" t="s">
        <v>202</v>
      </c>
      <c r="I760" s="33">
        <v>100</v>
      </c>
    </row>
    <row r="761" spans="1:9" x14ac:dyDescent="0.3">
      <c r="A761" s="30" t="s">
        <v>487</v>
      </c>
      <c r="B761" s="33" t="s">
        <v>23</v>
      </c>
      <c r="C761" s="33">
        <v>1</v>
      </c>
      <c r="D761" s="34" t="s">
        <v>200</v>
      </c>
      <c r="E761" s="34" t="s">
        <v>208</v>
      </c>
      <c r="F761" s="33">
        <v>0</v>
      </c>
      <c r="G761" s="33">
        <v>0.2</v>
      </c>
      <c r="H761" s="33" t="s">
        <v>202</v>
      </c>
      <c r="I761" s="33">
        <v>100</v>
      </c>
    </row>
    <row r="762" spans="1:9" x14ac:dyDescent="0.3">
      <c r="A762" s="30" t="s">
        <v>487</v>
      </c>
      <c r="B762" s="33" t="s">
        <v>23</v>
      </c>
      <c r="C762" s="33">
        <v>1</v>
      </c>
      <c r="D762" s="34" t="s">
        <v>200</v>
      </c>
      <c r="E762" s="34" t="s">
        <v>209</v>
      </c>
      <c r="F762" s="33">
        <v>0</v>
      </c>
      <c r="G762" s="33">
        <v>0.3</v>
      </c>
      <c r="H762" s="33" t="s">
        <v>202</v>
      </c>
      <c r="I762" s="33">
        <v>100</v>
      </c>
    </row>
    <row r="763" spans="1:9" x14ac:dyDescent="0.3">
      <c r="A763" s="30" t="s">
        <v>487</v>
      </c>
      <c r="B763" s="33" t="s">
        <v>23</v>
      </c>
      <c r="C763" s="33">
        <v>1</v>
      </c>
      <c r="D763" s="34" t="s">
        <v>200</v>
      </c>
      <c r="E763" s="34" t="s">
        <v>210</v>
      </c>
      <c r="F763" s="33">
        <v>0</v>
      </c>
      <c r="G763" s="33">
        <v>0.2</v>
      </c>
      <c r="H763" s="33" t="s">
        <v>202</v>
      </c>
      <c r="I763" s="33">
        <v>100</v>
      </c>
    </row>
    <row r="764" spans="1:9" x14ac:dyDescent="0.3">
      <c r="A764" s="30" t="s">
        <v>487</v>
      </c>
      <c r="B764" s="33" t="s">
        <v>23</v>
      </c>
      <c r="C764" s="33">
        <v>1</v>
      </c>
      <c r="D764" s="34" t="s">
        <v>200</v>
      </c>
      <c r="E764" s="34" t="s">
        <v>211</v>
      </c>
      <c r="F764" s="33">
        <v>0</v>
      </c>
      <c r="G764" s="33">
        <v>0.15</v>
      </c>
      <c r="H764" s="33" t="s">
        <v>202</v>
      </c>
      <c r="I764" s="33">
        <v>100</v>
      </c>
    </row>
    <row r="765" spans="1:9" x14ac:dyDescent="0.3">
      <c r="A765" s="30" t="s">
        <v>487</v>
      </c>
      <c r="B765" s="33" t="s">
        <v>23</v>
      </c>
      <c r="C765" s="33">
        <v>1</v>
      </c>
      <c r="D765" s="34" t="s">
        <v>200</v>
      </c>
      <c r="E765" s="34" t="s">
        <v>212</v>
      </c>
      <c r="F765" s="33">
        <v>0</v>
      </c>
      <c r="G765" s="33">
        <v>0.15</v>
      </c>
      <c r="H765" s="33" t="s">
        <v>202</v>
      </c>
      <c r="I765" s="33">
        <v>100</v>
      </c>
    </row>
    <row r="766" spans="1:9" x14ac:dyDescent="0.3">
      <c r="A766" s="30" t="s">
        <v>487</v>
      </c>
      <c r="B766" s="33" t="s">
        <v>23</v>
      </c>
      <c r="C766" s="33">
        <v>1</v>
      </c>
      <c r="D766" s="34" t="s">
        <v>200</v>
      </c>
      <c r="E766" s="34" t="s">
        <v>213</v>
      </c>
      <c r="F766" s="33">
        <v>0</v>
      </c>
      <c r="G766" s="33">
        <v>0.15</v>
      </c>
      <c r="H766" s="33" t="s">
        <v>202</v>
      </c>
      <c r="I766" s="33">
        <v>100</v>
      </c>
    </row>
    <row r="767" spans="1:9" x14ac:dyDescent="0.3">
      <c r="A767" s="30" t="s">
        <v>487</v>
      </c>
      <c r="B767" s="33" t="s">
        <v>23</v>
      </c>
      <c r="C767" s="33">
        <v>1</v>
      </c>
      <c r="D767" s="34" t="s">
        <v>200</v>
      </c>
      <c r="E767" s="34" t="s">
        <v>214</v>
      </c>
      <c r="F767" s="33">
        <v>0</v>
      </c>
      <c r="G767" s="33">
        <v>0.15</v>
      </c>
      <c r="H767" s="33" t="s">
        <v>202</v>
      </c>
      <c r="I767" s="33">
        <v>100</v>
      </c>
    </row>
    <row r="768" spans="1:9" x14ac:dyDescent="0.3">
      <c r="A768" s="30" t="s">
        <v>487</v>
      </c>
      <c r="B768" s="33" t="s">
        <v>23</v>
      </c>
      <c r="C768" s="33">
        <v>1</v>
      </c>
      <c r="D768" s="34" t="s">
        <v>200</v>
      </c>
      <c r="E768" s="34" t="s">
        <v>201</v>
      </c>
      <c r="F768" s="33">
        <v>0</v>
      </c>
      <c r="G768" s="33">
        <v>0.5</v>
      </c>
      <c r="H768" s="33" t="s">
        <v>215</v>
      </c>
      <c r="I768" s="33">
        <v>500</v>
      </c>
    </row>
    <row r="769" spans="1:9" x14ac:dyDescent="0.3">
      <c r="A769" s="30" t="s">
        <v>487</v>
      </c>
      <c r="B769" s="33" t="s">
        <v>23</v>
      </c>
      <c r="C769" s="33">
        <v>1</v>
      </c>
      <c r="D769" s="34" t="s">
        <v>200</v>
      </c>
      <c r="E769" s="34" t="s">
        <v>203</v>
      </c>
      <c r="F769" s="33">
        <v>0</v>
      </c>
      <c r="G769" s="33">
        <v>0.5</v>
      </c>
      <c r="H769" s="33" t="s">
        <v>215</v>
      </c>
      <c r="I769" s="33">
        <v>500</v>
      </c>
    </row>
    <row r="770" spans="1:9" x14ac:dyDescent="0.3">
      <c r="A770" s="30" t="s">
        <v>487</v>
      </c>
      <c r="B770" s="33" t="s">
        <v>23</v>
      </c>
      <c r="C770" s="33">
        <v>1</v>
      </c>
      <c r="D770" s="34" t="s">
        <v>200</v>
      </c>
      <c r="E770" s="34" t="s">
        <v>204</v>
      </c>
      <c r="F770" s="33">
        <v>0</v>
      </c>
      <c r="G770" s="33">
        <v>0.5</v>
      </c>
      <c r="H770" s="33" t="s">
        <v>215</v>
      </c>
      <c r="I770" s="33">
        <v>500</v>
      </c>
    </row>
    <row r="771" spans="1:9" x14ac:dyDescent="0.3">
      <c r="A771" s="30" t="s">
        <v>487</v>
      </c>
      <c r="B771" s="33" t="s">
        <v>23</v>
      </c>
      <c r="C771" s="33">
        <v>1</v>
      </c>
      <c r="D771" s="34" t="s">
        <v>200</v>
      </c>
      <c r="E771" s="34" t="s">
        <v>205</v>
      </c>
      <c r="F771" s="33">
        <v>0</v>
      </c>
      <c r="G771" s="33">
        <v>0.5</v>
      </c>
      <c r="H771" s="33" t="s">
        <v>215</v>
      </c>
      <c r="I771" s="33">
        <v>500</v>
      </c>
    </row>
    <row r="772" spans="1:9" x14ac:dyDescent="0.3">
      <c r="A772" s="30" t="s">
        <v>487</v>
      </c>
      <c r="B772" s="33" t="s">
        <v>23</v>
      </c>
      <c r="C772" s="33">
        <v>1</v>
      </c>
      <c r="D772" s="34" t="s">
        <v>200</v>
      </c>
      <c r="E772" s="34" t="s">
        <v>206</v>
      </c>
      <c r="F772" s="33">
        <v>0</v>
      </c>
      <c r="G772" s="33">
        <v>0.5</v>
      </c>
      <c r="H772" s="33" t="s">
        <v>215</v>
      </c>
      <c r="I772" s="33">
        <v>500</v>
      </c>
    </row>
    <row r="773" spans="1:9" x14ac:dyDescent="0.3">
      <c r="A773" s="30" t="s">
        <v>487</v>
      </c>
      <c r="B773" s="33" t="s">
        <v>23</v>
      </c>
      <c r="C773" s="33">
        <v>1</v>
      </c>
      <c r="D773" s="34" t="s">
        <v>200</v>
      </c>
      <c r="E773" s="34" t="s">
        <v>207</v>
      </c>
      <c r="F773" s="33">
        <v>0</v>
      </c>
      <c r="G773" s="33">
        <v>0.35</v>
      </c>
      <c r="H773" s="33" t="s">
        <v>215</v>
      </c>
      <c r="I773" s="33">
        <v>500</v>
      </c>
    </row>
    <row r="774" spans="1:9" x14ac:dyDescent="0.3">
      <c r="A774" s="30" t="s">
        <v>487</v>
      </c>
      <c r="B774" s="33" t="s">
        <v>23</v>
      </c>
      <c r="C774" s="33">
        <v>1</v>
      </c>
      <c r="D774" s="34" t="s">
        <v>200</v>
      </c>
      <c r="E774" s="34" t="s">
        <v>208</v>
      </c>
      <c r="F774" s="33">
        <v>0</v>
      </c>
      <c r="G774" s="33">
        <v>0.3</v>
      </c>
      <c r="H774" s="33" t="s">
        <v>215</v>
      </c>
      <c r="I774" s="33">
        <v>500</v>
      </c>
    </row>
    <row r="775" spans="1:9" x14ac:dyDescent="0.3">
      <c r="A775" s="30" t="s">
        <v>487</v>
      </c>
      <c r="B775" s="33" t="s">
        <v>23</v>
      </c>
      <c r="C775" s="33">
        <v>1</v>
      </c>
      <c r="D775" s="34" t="s">
        <v>200</v>
      </c>
      <c r="E775" s="34" t="s">
        <v>209</v>
      </c>
      <c r="F775" s="33">
        <v>0</v>
      </c>
      <c r="G775" s="33">
        <v>0.5</v>
      </c>
      <c r="H775" s="33" t="s">
        <v>215</v>
      </c>
      <c r="I775" s="33">
        <v>500</v>
      </c>
    </row>
    <row r="776" spans="1:9" x14ac:dyDescent="0.3">
      <c r="A776" s="30" t="s">
        <v>487</v>
      </c>
      <c r="B776" s="33" t="s">
        <v>23</v>
      </c>
      <c r="C776" s="33">
        <v>1</v>
      </c>
      <c r="D776" s="34" t="s">
        <v>200</v>
      </c>
      <c r="E776" s="34" t="s">
        <v>210</v>
      </c>
      <c r="F776" s="33">
        <v>0</v>
      </c>
      <c r="G776" s="33">
        <v>0.3</v>
      </c>
      <c r="H776" s="33" t="s">
        <v>215</v>
      </c>
      <c r="I776" s="33">
        <v>500</v>
      </c>
    </row>
    <row r="777" spans="1:9" x14ac:dyDescent="0.3">
      <c r="A777" s="30" t="s">
        <v>487</v>
      </c>
      <c r="B777" s="33" t="s">
        <v>23</v>
      </c>
      <c r="C777" s="33">
        <v>1</v>
      </c>
      <c r="D777" s="34" t="s">
        <v>200</v>
      </c>
      <c r="E777" s="34" t="s">
        <v>211</v>
      </c>
      <c r="F777" s="33">
        <v>0</v>
      </c>
      <c r="G777" s="33">
        <v>0.25</v>
      </c>
      <c r="H777" s="33" t="s">
        <v>215</v>
      </c>
      <c r="I777" s="33">
        <v>500</v>
      </c>
    </row>
    <row r="778" spans="1:9" x14ac:dyDescent="0.3">
      <c r="A778" s="30" t="s">
        <v>487</v>
      </c>
      <c r="B778" s="33" t="s">
        <v>23</v>
      </c>
      <c r="C778" s="33">
        <v>1</v>
      </c>
      <c r="D778" s="34" t="s">
        <v>200</v>
      </c>
      <c r="E778" s="34" t="s">
        <v>212</v>
      </c>
      <c r="F778" s="33">
        <v>0</v>
      </c>
      <c r="G778" s="33">
        <v>0.25</v>
      </c>
      <c r="H778" s="33" t="s">
        <v>215</v>
      </c>
      <c r="I778" s="33">
        <v>500</v>
      </c>
    </row>
    <row r="779" spans="1:9" x14ac:dyDescent="0.3">
      <c r="A779" s="30" t="s">
        <v>487</v>
      </c>
      <c r="B779" s="33" t="s">
        <v>23</v>
      </c>
      <c r="C779" s="33">
        <v>1</v>
      </c>
      <c r="D779" s="34" t="s">
        <v>200</v>
      </c>
      <c r="E779" s="34" t="s">
        <v>213</v>
      </c>
      <c r="F779" s="33">
        <v>0</v>
      </c>
      <c r="G779" s="33">
        <v>0.25</v>
      </c>
      <c r="H779" s="33" t="s">
        <v>215</v>
      </c>
      <c r="I779" s="33">
        <v>500</v>
      </c>
    </row>
    <row r="780" spans="1:9" x14ac:dyDescent="0.3">
      <c r="A780" s="30" t="s">
        <v>487</v>
      </c>
      <c r="B780" s="33" t="s">
        <v>23</v>
      </c>
      <c r="C780" s="33">
        <v>1</v>
      </c>
      <c r="D780" s="34" t="s">
        <v>200</v>
      </c>
      <c r="E780" s="34" t="s">
        <v>214</v>
      </c>
      <c r="F780" s="33">
        <v>0</v>
      </c>
      <c r="G780" s="33">
        <v>0.25</v>
      </c>
      <c r="H780" s="33" t="s">
        <v>215</v>
      </c>
      <c r="I780" s="33">
        <v>500</v>
      </c>
    </row>
    <row r="781" spans="1:9" x14ac:dyDescent="0.3">
      <c r="A781" s="30" t="s">
        <v>487</v>
      </c>
      <c r="B781" s="33" t="s">
        <v>23</v>
      </c>
      <c r="C781" s="33">
        <v>1</v>
      </c>
      <c r="D781" s="34" t="s">
        <v>200</v>
      </c>
      <c r="E781" s="34" t="s">
        <v>216</v>
      </c>
      <c r="F781" s="33">
        <v>0</v>
      </c>
      <c r="G781" s="33">
        <v>0.3</v>
      </c>
      <c r="H781" s="33" t="s">
        <v>202</v>
      </c>
      <c r="I781" s="33">
        <v>100</v>
      </c>
    </row>
    <row r="782" spans="1:9" x14ac:dyDescent="0.3">
      <c r="A782" s="30" t="s">
        <v>487</v>
      </c>
      <c r="B782" s="33" t="s">
        <v>23</v>
      </c>
      <c r="C782" s="33">
        <v>1</v>
      </c>
      <c r="D782" s="34" t="s">
        <v>200</v>
      </c>
      <c r="E782" s="34" t="s">
        <v>216</v>
      </c>
      <c r="F782" s="33">
        <v>0</v>
      </c>
      <c r="G782" s="33">
        <v>0.45</v>
      </c>
      <c r="H782" s="33" t="s">
        <v>215</v>
      </c>
      <c r="I782" s="33">
        <v>500</v>
      </c>
    </row>
    <row r="783" spans="1:9" x14ac:dyDescent="0.3">
      <c r="A783" s="30" t="s">
        <v>487</v>
      </c>
      <c r="B783" s="33" t="s">
        <v>23</v>
      </c>
      <c r="C783" s="33">
        <v>1</v>
      </c>
      <c r="D783" s="34" t="s">
        <v>200</v>
      </c>
      <c r="E783" s="34" t="s">
        <v>217</v>
      </c>
      <c r="F783" s="33">
        <v>0</v>
      </c>
      <c r="G783" s="33">
        <v>0.2</v>
      </c>
      <c r="H783" s="33" t="s">
        <v>202</v>
      </c>
      <c r="I783" s="33">
        <v>100</v>
      </c>
    </row>
    <row r="784" spans="1:9" x14ac:dyDescent="0.3">
      <c r="A784" s="30" t="s">
        <v>487</v>
      </c>
      <c r="B784" s="33" t="s">
        <v>23</v>
      </c>
      <c r="C784" s="33">
        <v>1</v>
      </c>
      <c r="D784" s="34" t="s">
        <v>200</v>
      </c>
      <c r="E784" s="34" t="s">
        <v>218</v>
      </c>
      <c r="F784" s="33">
        <v>0</v>
      </c>
      <c r="G784" s="33">
        <v>0.2</v>
      </c>
      <c r="H784" s="33" t="s">
        <v>202</v>
      </c>
      <c r="I784" s="33">
        <v>100</v>
      </c>
    </row>
    <row r="785" spans="1:9" x14ac:dyDescent="0.3">
      <c r="A785" s="30" t="s">
        <v>487</v>
      </c>
      <c r="B785" s="33" t="s">
        <v>23</v>
      </c>
      <c r="C785" s="33">
        <v>1</v>
      </c>
      <c r="D785" s="34" t="s">
        <v>200</v>
      </c>
      <c r="E785" s="34" t="s">
        <v>219</v>
      </c>
      <c r="F785" s="33">
        <v>0</v>
      </c>
      <c r="G785" s="33">
        <v>0.2</v>
      </c>
      <c r="H785" s="33" t="s">
        <v>202</v>
      </c>
      <c r="I785" s="33">
        <v>100</v>
      </c>
    </row>
    <row r="786" spans="1:9" x14ac:dyDescent="0.3">
      <c r="A786" s="30" t="s">
        <v>487</v>
      </c>
      <c r="B786" s="33" t="s">
        <v>23</v>
      </c>
      <c r="C786" s="33">
        <v>1</v>
      </c>
      <c r="D786" s="34" t="s">
        <v>200</v>
      </c>
      <c r="E786" s="34" t="s">
        <v>220</v>
      </c>
      <c r="F786" s="33">
        <v>0</v>
      </c>
      <c r="G786" s="33">
        <v>0.2</v>
      </c>
      <c r="H786" s="33" t="s">
        <v>202</v>
      </c>
      <c r="I786" s="33">
        <v>100</v>
      </c>
    </row>
    <row r="787" spans="1:9" x14ac:dyDescent="0.3">
      <c r="A787" s="30" t="s">
        <v>487</v>
      </c>
      <c r="B787" s="33" t="s">
        <v>23</v>
      </c>
      <c r="C787" s="33">
        <v>1</v>
      </c>
      <c r="D787" s="34" t="s">
        <v>200</v>
      </c>
      <c r="E787" s="34" t="s">
        <v>217</v>
      </c>
      <c r="F787" s="33">
        <v>0</v>
      </c>
      <c r="G787" s="33">
        <v>0.35</v>
      </c>
      <c r="H787" s="33" t="s">
        <v>215</v>
      </c>
      <c r="I787" s="33">
        <v>500</v>
      </c>
    </row>
    <row r="788" spans="1:9" x14ac:dyDescent="0.3">
      <c r="A788" s="30" t="s">
        <v>487</v>
      </c>
      <c r="B788" s="33" t="s">
        <v>23</v>
      </c>
      <c r="C788" s="33">
        <v>1</v>
      </c>
      <c r="D788" s="34" t="s">
        <v>200</v>
      </c>
      <c r="E788" s="34" t="s">
        <v>218</v>
      </c>
      <c r="F788" s="33">
        <v>0</v>
      </c>
      <c r="G788" s="33">
        <v>0.35</v>
      </c>
      <c r="H788" s="33" t="s">
        <v>215</v>
      </c>
      <c r="I788" s="33">
        <v>500</v>
      </c>
    </row>
    <row r="789" spans="1:9" x14ac:dyDescent="0.3">
      <c r="A789" s="30" t="s">
        <v>487</v>
      </c>
      <c r="B789" s="33" t="s">
        <v>23</v>
      </c>
      <c r="C789" s="33">
        <v>1</v>
      </c>
      <c r="D789" s="34" t="s">
        <v>200</v>
      </c>
      <c r="E789" s="34" t="s">
        <v>219</v>
      </c>
      <c r="F789" s="33">
        <v>0</v>
      </c>
      <c r="G789" s="33">
        <v>0.35</v>
      </c>
      <c r="H789" s="33" t="s">
        <v>215</v>
      </c>
      <c r="I789" s="33">
        <v>500</v>
      </c>
    </row>
    <row r="790" spans="1:9" x14ac:dyDescent="0.3">
      <c r="A790" s="30" t="s">
        <v>487</v>
      </c>
      <c r="B790" s="33" t="s">
        <v>23</v>
      </c>
      <c r="C790" s="33">
        <v>1</v>
      </c>
      <c r="D790" s="34" t="s">
        <v>200</v>
      </c>
      <c r="E790" s="34" t="s">
        <v>220</v>
      </c>
      <c r="F790" s="33">
        <v>0</v>
      </c>
      <c r="G790" s="33">
        <v>0.35</v>
      </c>
      <c r="H790" s="33" t="s">
        <v>215</v>
      </c>
      <c r="I790" s="33">
        <v>500</v>
      </c>
    </row>
    <row r="791" spans="1:9" x14ac:dyDescent="0.3">
      <c r="A791" s="30" t="s">
        <v>487</v>
      </c>
      <c r="B791" s="33" t="s">
        <v>23</v>
      </c>
      <c r="C791" s="33">
        <v>1</v>
      </c>
      <c r="D791" s="34" t="s">
        <v>221</v>
      </c>
      <c r="E791" s="34" t="s">
        <v>198</v>
      </c>
      <c r="F791" s="33">
        <v>0</v>
      </c>
      <c r="G791" s="33">
        <v>0.5</v>
      </c>
      <c r="H791" s="33"/>
      <c r="I791" s="33">
        <v>0</v>
      </c>
    </row>
    <row r="792" spans="1:9" x14ac:dyDescent="0.3">
      <c r="A792" s="30" t="s">
        <v>488</v>
      </c>
      <c r="B792" s="33" t="s">
        <v>23</v>
      </c>
      <c r="C792" s="33">
        <v>1</v>
      </c>
      <c r="D792" s="34" t="s">
        <v>188</v>
      </c>
      <c r="E792" s="34" t="s">
        <v>189</v>
      </c>
      <c r="F792" s="33">
        <v>0</v>
      </c>
      <c r="G792" s="33">
        <v>0.15</v>
      </c>
      <c r="H792" s="33"/>
      <c r="I792" s="33">
        <v>0</v>
      </c>
    </row>
    <row r="793" spans="1:9" x14ac:dyDescent="0.3">
      <c r="A793" s="30" t="s">
        <v>488</v>
      </c>
      <c r="B793" s="33" t="s">
        <v>23</v>
      </c>
      <c r="C793" s="33">
        <v>1</v>
      </c>
      <c r="D793" s="34" t="s">
        <v>190</v>
      </c>
      <c r="E793" s="34" t="s">
        <v>198</v>
      </c>
      <c r="F793" s="33">
        <v>0</v>
      </c>
      <c r="G793" s="33">
        <v>0.3</v>
      </c>
      <c r="H793" s="33"/>
      <c r="I793" s="33">
        <v>0</v>
      </c>
    </row>
    <row r="794" spans="1:9" x14ac:dyDescent="0.3">
      <c r="A794" s="30" t="s">
        <v>488</v>
      </c>
      <c r="B794" s="33" t="s">
        <v>23</v>
      </c>
      <c r="C794" s="33">
        <v>1</v>
      </c>
      <c r="D794" s="34" t="s">
        <v>197</v>
      </c>
      <c r="E794" s="34" t="s">
        <v>198</v>
      </c>
      <c r="F794" s="33">
        <v>0</v>
      </c>
      <c r="G794" s="33">
        <v>0.05</v>
      </c>
      <c r="H794" s="33"/>
      <c r="I794" s="33">
        <v>0</v>
      </c>
    </row>
    <row r="795" spans="1:9" x14ac:dyDescent="0.3">
      <c r="A795" s="30" t="s">
        <v>488</v>
      </c>
      <c r="B795" s="33" t="s">
        <v>23</v>
      </c>
      <c r="C795" s="33">
        <v>1</v>
      </c>
      <c r="D795" s="34" t="s">
        <v>197</v>
      </c>
      <c r="E795" s="34" t="s">
        <v>199</v>
      </c>
      <c r="F795" s="33">
        <v>0</v>
      </c>
      <c r="G795" s="33">
        <v>0</v>
      </c>
      <c r="H795" s="33"/>
      <c r="I795" s="33">
        <v>0</v>
      </c>
    </row>
    <row r="796" spans="1:9" x14ac:dyDescent="0.3">
      <c r="A796" s="30" t="s">
        <v>488</v>
      </c>
      <c r="B796" s="33" t="s">
        <v>23</v>
      </c>
      <c r="C796" s="33">
        <v>1</v>
      </c>
      <c r="D796" s="34" t="s">
        <v>200</v>
      </c>
      <c r="E796" s="34" t="s">
        <v>201</v>
      </c>
      <c r="F796" s="33">
        <v>0</v>
      </c>
      <c r="G796" s="33">
        <v>0.35</v>
      </c>
      <c r="H796" s="33" t="s">
        <v>202</v>
      </c>
      <c r="I796" s="33">
        <v>100</v>
      </c>
    </row>
    <row r="797" spans="1:9" x14ac:dyDescent="0.3">
      <c r="A797" s="30" t="s">
        <v>488</v>
      </c>
      <c r="B797" s="33" t="s">
        <v>23</v>
      </c>
      <c r="C797" s="33">
        <v>1</v>
      </c>
      <c r="D797" s="34" t="s">
        <v>200</v>
      </c>
      <c r="E797" s="34" t="s">
        <v>203</v>
      </c>
      <c r="F797" s="33">
        <v>0</v>
      </c>
      <c r="G797" s="33">
        <v>0.3</v>
      </c>
      <c r="H797" s="33" t="s">
        <v>202</v>
      </c>
      <c r="I797" s="33">
        <v>100</v>
      </c>
    </row>
    <row r="798" spans="1:9" x14ac:dyDescent="0.3">
      <c r="A798" s="30" t="s">
        <v>488</v>
      </c>
      <c r="B798" s="33" t="s">
        <v>23</v>
      </c>
      <c r="C798" s="33">
        <v>1</v>
      </c>
      <c r="D798" s="34" t="s">
        <v>200</v>
      </c>
      <c r="E798" s="34" t="s">
        <v>204</v>
      </c>
      <c r="F798" s="33">
        <v>0</v>
      </c>
      <c r="G798" s="33">
        <v>0.3</v>
      </c>
      <c r="H798" s="33" t="s">
        <v>202</v>
      </c>
      <c r="I798" s="33">
        <v>100</v>
      </c>
    </row>
    <row r="799" spans="1:9" x14ac:dyDescent="0.3">
      <c r="A799" s="30" t="s">
        <v>488</v>
      </c>
      <c r="B799" s="33" t="s">
        <v>23</v>
      </c>
      <c r="C799" s="33">
        <v>1</v>
      </c>
      <c r="D799" s="34" t="s">
        <v>200</v>
      </c>
      <c r="E799" s="34" t="s">
        <v>205</v>
      </c>
      <c r="F799" s="33">
        <v>0</v>
      </c>
      <c r="G799" s="33">
        <v>0.3</v>
      </c>
      <c r="H799" s="33" t="s">
        <v>202</v>
      </c>
      <c r="I799" s="33">
        <v>100</v>
      </c>
    </row>
    <row r="800" spans="1:9" x14ac:dyDescent="0.3">
      <c r="A800" s="30" t="s">
        <v>488</v>
      </c>
      <c r="B800" s="33" t="s">
        <v>23</v>
      </c>
      <c r="C800" s="33">
        <v>1</v>
      </c>
      <c r="D800" s="34" t="s">
        <v>200</v>
      </c>
      <c r="E800" s="34" t="s">
        <v>206</v>
      </c>
      <c r="F800" s="33">
        <v>0</v>
      </c>
      <c r="G800" s="33">
        <v>0.3</v>
      </c>
      <c r="H800" s="33" t="s">
        <v>202</v>
      </c>
      <c r="I800" s="33">
        <v>100</v>
      </c>
    </row>
    <row r="801" spans="1:9" x14ac:dyDescent="0.3">
      <c r="A801" s="30" t="s">
        <v>488</v>
      </c>
      <c r="B801" s="33" t="s">
        <v>23</v>
      </c>
      <c r="C801" s="33">
        <v>1</v>
      </c>
      <c r="D801" s="34" t="s">
        <v>200</v>
      </c>
      <c r="E801" s="34" t="s">
        <v>207</v>
      </c>
      <c r="F801" s="33">
        <v>0</v>
      </c>
      <c r="G801" s="33">
        <v>0.2</v>
      </c>
      <c r="H801" s="33" t="s">
        <v>202</v>
      </c>
      <c r="I801" s="33">
        <v>100</v>
      </c>
    </row>
    <row r="802" spans="1:9" x14ac:dyDescent="0.3">
      <c r="A802" s="30" t="s">
        <v>488</v>
      </c>
      <c r="B802" s="33" t="s">
        <v>23</v>
      </c>
      <c r="C802" s="33">
        <v>1</v>
      </c>
      <c r="D802" s="34" t="s">
        <v>200</v>
      </c>
      <c r="E802" s="34" t="s">
        <v>208</v>
      </c>
      <c r="F802" s="33">
        <v>0</v>
      </c>
      <c r="G802" s="33">
        <v>0.2</v>
      </c>
      <c r="H802" s="33" t="s">
        <v>202</v>
      </c>
      <c r="I802" s="33">
        <v>100</v>
      </c>
    </row>
    <row r="803" spans="1:9" x14ac:dyDescent="0.3">
      <c r="A803" s="30" t="s">
        <v>488</v>
      </c>
      <c r="B803" s="33" t="s">
        <v>23</v>
      </c>
      <c r="C803" s="33">
        <v>1</v>
      </c>
      <c r="D803" s="34" t="s">
        <v>200</v>
      </c>
      <c r="E803" s="34" t="s">
        <v>209</v>
      </c>
      <c r="F803" s="33">
        <v>0</v>
      </c>
      <c r="G803" s="33">
        <v>0.3</v>
      </c>
      <c r="H803" s="33" t="s">
        <v>202</v>
      </c>
      <c r="I803" s="33">
        <v>100</v>
      </c>
    </row>
    <row r="804" spans="1:9" x14ac:dyDescent="0.3">
      <c r="A804" s="30" t="s">
        <v>488</v>
      </c>
      <c r="B804" s="33" t="s">
        <v>23</v>
      </c>
      <c r="C804" s="33">
        <v>1</v>
      </c>
      <c r="D804" s="34" t="s">
        <v>200</v>
      </c>
      <c r="E804" s="34" t="s">
        <v>210</v>
      </c>
      <c r="F804" s="33">
        <v>0</v>
      </c>
      <c r="G804" s="33">
        <v>0.2</v>
      </c>
      <c r="H804" s="33" t="s">
        <v>202</v>
      </c>
      <c r="I804" s="33">
        <v>100</v>
      </c>
    </row>
    <row r="805" spans="1:9" x14ac:dyDescent="0.3">
      <c r="A805" s="30" t="s">
        <v>488</v>
      </c>
      <c r="B805" s="33" t="s">
        <v>23</v>
      </c>
      <c r="C805" s="33">
        <v>1</v>
      </c>
      <c r="D805" s="34" t="s">
        <v>200</v>
      </c>
      <c r="E805" s="34" t="s">
        <v>211</v>
      </c>
      <c r="F805" s="33">
        <v>0</v>
      </c>
      <c r="G805" s="33">
        <v>0.15</v>
      </c>
      <c r="H805" s="33" t="s">
        <v>202</v>
      </c>
      <c r="I805" s="33">
        <v>100</v>
      </c>
    </row>
    <row r="806" spans="1:9" x14ac:dyDescent="0.3">
      <c r="A806" s="30" t="s">
        <v>488</v>
      </c>
      <c r="B806" s="33" t="s">
        <v>23</v>
      </c>
      <c r="C806" s="33">
        <v>1</v>
      </c>
      <c r="D806" s="34" t="s">
        <v>200</v>
      </c>
      <c r="E806" s="34" t="s">
        <v>212</v>
      </c>
      <c r="F806" s="33">
        <v>0</v>
      </c>
      <c r="G806" s="33">
        <v>0.15</v>
      </c>
      <c r="H806" s="33" t="s">
        <v>202</v>
      </c>
      <c r="I806" s="33">
        <v>100</v>
      </c>
    </row>
    <row r="807" spans="1:9" x14ac:dyDescent="0.3">
      <c r="A807" s="30" t="s">
        <v>488</v>
      </c>
      <c r="B807" s="33" t="s">
        <v>23</v>
      </c>
      <c r="C807" s="33">
        <v>1</v>
      </c>
      <c r="D807" s="34" t="s">
        <v>200</v>
      </c>
      <c r="E807" s="34" t="s">
        <v>213</v>
      </c>
      <c r="F807" s="33">
        <v>0</v>
      </c>
      <c r="G807" s="33">
        <v>0.15</v>
      </c>
      <c r="H807" s="33" t="s">
        <v>202</v>
      </c>
      <c r="I807" s="33">
        <v>100</v>
      </c>
    </row>
    <row r="808" spans="1:9" x14ac:dyDescent="0.3">
      <c r="A808" s="30" t="s">
        <v>488</v>
      </c>
      <c r="B808" s="33" t="s">
        <v>23</v>
      </c>
      <c r="C808" s="33">
        <v>1</v>
      </c>
      <c r="D808" s="34" t="s">
        <v>200</v>
      </c>
      <c r="E808" s="34" t="s">
        <v>214</v>
      </c>
      <c r="F808" s="33">
        <v>0</v>
      </c>
      <c r="G808" s="33">
        <v>0.15</v>
      </c>
      <c r="H808" s="33" t="s">
        <v>202</v>
      </c>
      <c r="I808" s="33">
        <v>100</v>
      </c>
    </row>
    <row r="809" spans="1:9" x14ac:dyDescent="0.3">
      <c r="A809" s="30" t="s">
        <v>488</v>
      </c>
      <c r="B809" s="33" t="s">
        <v>23</v>
      </c>
      <c r="C809" s="33">
        <v>1</v>
      </c>
      <c r="D809" s="34" t="s">
        <v>200</v>
      </c>
      <c r="E809" s="34" t="s">
        <v>201</v>
      </c>
      <c r="F809" s="33">
        <v>0</v>
      </c>
      <c r="G809" s="33">
        <v>0.5</v>
      </c>
      <c r="H809" s="33" t="s">
        <v>215</v>
      </c>
      <c r="I809" s="33">
        <v>500</v>
      </c>
    </row>
    <row r="810" spans="1:9" x14ac:dyDescent="0.3">
      <c r="A810" s="30" t="s">
        <v>488</v>
      </c>
      <c r="B810" s="33" t="s">
        <v>23</v>
      </c>
      <c r="C810" s="33">
        <v>1</v>
      </c>
      <c r="D810" s="34" t="s">
        <v>200</v>
      </c>
      <c r="E810" s="34" t="s">
        <v>203</v>
      </c>
      <c r="F810" s="33">
        <v>0</v>
      </c>
      <c r="G810" s="33">
        <v>0.5</v>
      </c>
      <c r="H810" s="33" t="s">
        <v>215</v>
      </c>
      <c r="I810" s="33">
        <v>500</v>
      </c>
    </row>
    <row r="811" spans="1:9" x14ac:dyDescent="0.3">
      <c r="A811" s="30" t="s">
        <v>488</v>
      </c>
      <c r="B811" s="33" t="s">
        <v>23</v>
      </c>
      <c r="C811" s="33">
        <v>1</v>
      </c>
      <c r="D811" s="34" t="s">
        <v>200</v>
      </c>
      <c r="E811" s="34" t="s">
        <v>204</v>
      </c>
      <c r="F811" s="33">
        <v>0</v>
      </c>
      <c r="G811" s="33">
        <v>0.5</v>
      </c>
      <c r="H811" s="33" t="s">
        <v>215</v>
      </c>
      <c r="I811" s="33">
        <v>500</v>
      </c>
    </row>
    <row r="812" spans="1:9" x14ac:dyDescent="0.3">
      <c r="A812" s="30" t="s">
        <v>488</v>
      </c>
      <c r="B812" s="33" t="s">
        <v>23</v>
      </c>
      <c r="C812" s="33">
        <v>1</v>
      </c>
      <c r="D812" s="34" t="s">
        <v>200</v>
      </c>
      <c r="E812" s="34" t="s">
        <v>205</v>
      </c>
      <c r="F812" s="33">
        <v>0</v>
      </c>
      <c r="G812" s="33">
        <v>0.5</v>
      </c>
      <c r="H812" s="33" t="s">
        <v>215</v>
      </c>
      <c r="I812" s="33">
        <v>500</v>
      </c>
    </row>
    <row r="813" spans="1:9" x14ac:dyDescent="0.3">
      <c r="A813" s="30" t="s">
        <v>488</v>
      </c>
      <c r="B813" s="33" t="s">
        <v>23</v>
      </c>
      <c r="C813" s="33">
        <v>1</v>
      </c>
      <c r="D813" s="34" t="s">
        <v>200</v>
      </c>
      <c r="E813" s="34" t="s">
        <v>206</v>
      </c>
      <c r="F813" s="33">
        <v>0</v>
      </c>
      <c r="G813" s="33">
        <v>0.5</v>
      </c>
      <c r="H813" s="33" t="s">
        <v>215</v>
      </c>
      <c r="I813" s="33">
        <v>500</v>
      </c>
    </row>
    <row r="814" spans="1:9" x14ac:dyDescent="0.3">
      <c r="A814" s="30" t="s">
        <v>488</v>
      </c>
      <c r="B814" s="33" t="s">
        <v>23</v>
      </c>
      <c r="C814" s="33">
        <v>1</v>
      </c>
      <c r="D814" s="34" t="s">
        <v>200</v>
      </c>
      <c r="E814" s="34" t="s">
        <v>207</v>
      </c>
      <c r="F814" s="33">
        <v>0</v>
      </c>
      <c r="G814" s="33">
        <v>0.35</v>
      </c>
      <c r="H814" s="33" t="s">
        <v>215</v>
      </c>
      <c r="I814" s="33">
        <v>500</v>
      </c>
    </row>
    <row r="815" spans="1:9" x14ac:dyDescent="0.3">
      <c r="A815" s="30" t="s">
        <v>488</v>
      </c>
      <c r="B815" s="33" t="s">
        <v>23</v>
      </c>
      <c r="C815" s="33">
        <v>1</v>
      </c>
      <c r="D815" s="34" t="s">
        <v>200</v>
      </c>
      <c r="E815" s="34" t="s">
        <v>208</v>
      </c>
      <c r="F815" s="33">
        <v>0</v>
      </c>
      <c r="G815" s="33">
        <v>0.3</v>
      </c>
      <c r="H815" s="33" t="s">
        <v>215</v>
      </c>
      <c r="I815" s="33">
        <v>500</v>
      </c>
    </row>
    <row r="816" spans="1:9" x14ac:dyDescent="0.3">
      <c r="A816" s="30" t="s">
        <v>488</v>
      </c>
      <c r="B816" s="33" t="s">
        <v>23</v>
      </c>
      <c r="C816" s="33">
        <v>1</v>
      </c>
      <c r="D816" s="34" t="s">
        <v>200</v>
      </c>
      <c r="E816" s="34" t="s">
        <v>209</v>
      </c>
      <c r="F816" s="33">
        <v>0</v>
      </c>
      <c r="G816" s="33">
        <v>0.5</v>
      </c>
      <c r="H816" s="33" t="s">
        <v>215</v>
      </c>
      <c r="I816" s="33">
        <v>500</v>
      </c>
    </row>
    <row r="817" spans="1:9" x14ac:dyDescent="0.3">
      <c r="A817" s="30" t="s">
        <v>488</v>
      </c>
      <c r="B817" s="33" t="s">
        <v>23</v>
      </c>
      <c r="C817" s="33">
        <v>1</v>
      </c>
      <c r="D817" s="34" t="s">
        <v>200</v>
      </c>
      <c r="E817" s="34" t="s">
        <v>210</v>
      </c>
      <c r="F817" s="33">
        <v>0</v>
      </c>
      <c r="G817" s="33">
        <v>0.3</v>
      </c>
      <c r="H817" s="33" t="s">
        <v>215</v>
      </c>
      <c r="I817" s="33">
        <v>500</v>
      </c>
    </row>
    <row r="818" spans="1:9" x14ac:dyDescent="0.3">
      <c r="A818" s="30" t="s">
        <v>488</v>
      </c>
      <c r="B818" s="33" t="s">
        <v>23</v>
      </c>
      <c r="C818" s="33">
        <v>1</v>
      </c>
      <c r="D818" s="34" t="s">
        <v>200</v>
      </c>
      <c r="E818" s="34" t="s">
        <v>211</v>
      </c>
      <c r="F818" s="33">
        <v>0</v>
      </c>
      <c r="G818" s="33">
        <v>0.25</v>
      </c>
      <c r="H818" s="33" t="s">
        <v>215</v>
      </c>
      <c r="I818" s="33">
        <v>500</v>
      </c>
    </row>
    <row r="819" spans="1:9" x14ac:dyDescent="0.3">
      <c r="A819" s="30" t="s">
        <v>488</v>
      </c>
      <c r="B819" s="33" t="s">
        <v>23</v>
      </c>
      <c r="C819" s="33">
        <v>1</v>
      </c>
      <c r="D819" s="34" t="s">
        <v>200</v>
      </c>
      <c r="E819" s="34" t="s">
        <v>212</v>
      </c>
      <c r="F819" s="33">
        <v>0</v>
      </c>
      <c r="G819" s="33">
        <v>0.25</v>
      </c>
      <c r="H819" s="33" t="s">
        <v>215</v>
      </c>
      <c r="I819" s="33">
        <v>500</v>
      </c>
    </row>
    <row r="820" spans="1:9" x14ac:dyDescent="0.3">
      <c r="A820" s="30" t="s">
        <v>488</v>
      </c>
      <c r="B820" s="33" t="s">
        <v>23</v>
      </c>
      <c r="C820" s="33">
        <v>1</v>
      </c>
      <c r="D820" s="34" t="s">
        <v>200</v>
      </c>
      <c r="E820" s="34" t="s">
        <v>213</v>
      </c>
      <c r="F820" s="33">
        <v>0</v>
      </c>
      <c r="G820" s="33">
        <v>0.25</v>
      </c>
      <c r="H820" s="33" t="s">
        <v>215</v>
      </c>
      <c r="I820" s="33">
        <v>500</v>
      </c>
    </row>
    <row r="821" spans="1:9" x14ac:dyDescent="0.3">
      <c r="A821" s="30" t="s">
        <v>488</v>
      </c>
      <c r="B821" s="33" t="s">
        <v>23</v>
      </c>
      <c r="C821" s="33">
        <v>1</v>
      </c>
      <c r="D821" s="34" t="s">
        <v>200</v>
      </c>
      <c r="E821" s="34" t="s">
        <v>214</v>
      </c>
      <c r="F821" s="33">
        <v>0</v>
      </c>
      <c r="G821" s="33">
        <v>0.25</v>
      </c>
      <c r="H821" s="33" t="s">
        <v>215</v>
      </c>
      <c r="I821" s="33">
        <v>500</v>
      </c>
    </row>
    <row r="822" spans="1:9" x14ac:dyDescent="0.3">
      <c r="A822" s="30" t="s">
        <v>488</v>
      </c>
      <c r="B822" s="33" t="s">
        <v>23</v>
      </c>
      <c r="C822" s="33">
        <v>1</v>
      </c>
      <c r="D822" s="34" t="s">
        <v>200</v>
      </c>
      <c r="E822" s="34" t="s">
        <v>216</v>
      </c>
      <c r="F822" s="33">
        <v>0</v>
      </c>
      <c r="G822" s="33">
        <v>0.3</v>
      </c>
      <c r="H822" s="33" t="s">
        <v>202</v>
      </c>
      <c r="I822" s="33">
        <v>100</v>
      </c>
    </row>
    <row r="823" spans="1:9" x14ac:dyDescent="0.3">
      <c r="A823" s="30" t="s">
        <v>488</v>
      </c>
      <c r="B823" s="33" t="s">
        <v>23</v>
      </c>
      <c r="C823" s="33">
        <v>1</v>
      </c>
      <c r="D823" s="34" t="s">
        <v>200</v>
      </c>
      <c r="E823" s="34" t="s">
        <v>216</v>
      </c>
      <c r="F823" s="33">
        <v>0</v>
      </c>
      <c r="G823" s="33">
        <v>0.45</v>
      </c>
      <c r="H823" s="33" t="s">
        <v>215</v>
      </c>
      <c r="I823" s="33">
        <v>500</v>
      </c>
    </row>
    <row r="824" spans="1:9" x14ac:dyDescent="0.3">
      <c r="A824" s="30" t="s">
        <v>488</v>
      </c>
      <c r="B824" s="33" t="s">
        <v>23</v>
      </c>
      <c r="C824" s="33">
        <v>1</v>
      </c>
      <c r="D824" s="34" t="s">
        <v>200</v>
      </c>
      <c r="E824" s="34" t="s">
        <v>217</v>
      </c>
      <c r="F824" s="33">
        <v>0</v>
      </c>
      <c r="G824" s="33">
        <v>0.2</v>
      </c>
      <c r="H824" s="33" t="s">
        <v>202</v>
      </c>
      <c r="I824" s="33">
        <v>100</v>
      </c>
    </row>
    <row r="825" spans="1:9" x14ac:dyDescent="0.3">
      <c r="A825" s="30" t="s">
        <v>488</v>
      </c>
      <c r="B825" s="33" t="s">
        <v>23</v>
      </c>
      <c r="C825" s="33">
        <v>1</v>
      </c>
      <c r="D825" s="34" t="s">
        <v>200</v>
      </c>
      <c r="E825" s="34" t="s">
        <v>218</v>
      </c>
      <c r="F825" s="33">
        <v>0</v>
      </c>
      <c r="G825" s="33">
        <v>0.2</v>
      </c>
      <c r="H825" s="33" t="s">
        <v>202</v>
      </c>
      <c r="I825" s="33">
        <v>100</v>
      </c>
    </row>
    <row r="826" spans="1:9" x14ac:dyDescent="0.3">
      <c r="A826" s="30" t="s">
        <v>488</v>
      </c>
      <c r="B826" s="33" t="s">
        <v>23</v>
      </c>
      <c r="C826" s="33">
        <v>1</v>
      </c>
      <c r="D826" s="34" t="s">
        <v>200</v>
      </c>
      <c r="E826" s="34" t="s">
        <v>219</v>
      </c>
      <c r="F826" s="33">
        <v>0</v>
      </c>
      <c r="G826" s="33">
        <v>0.2</v>
      </c>
      <c r="H826" s="33" t="s">
        <v>202</v>
      </c>
      <c r="I826" s="33">
        <v>100</v>
      </c>
    </row>
    <row r="827" spans="1:9" x14ac:dyDescent="0.3">
      <c r="A827" s="30" t="s">
        <v>488</v>
      </c>
      <c r="B827" s="33" t="s">
        <v>23</v>
      </c>
      <c r="C827" s="33">
        <v>1</v>
      </c>
      <c r="D827" s="34" t="s">
        <v>200</v>
      </c>
      <c r="E827" s="34" t="s">
        <v>220</v>
      </c>
      <c r="F827" s="33">
        <v>0</v>
      </c>
      <c r="G827" s="33">
        <v>0.2</v>
      </c>
      <c r="H827" s="33" t="s">
        <v>202</v>
      </c>
      <c r="I827" s="33">
        <v>100</v>
      </c>
    </row>
    <row r="828" spans="1:9" x14ac:dyDescent="0.3">
      <c r="A828" s="30" t="s">
        <v>488</v>
      </c>
      <c r="B828" s="33" t="s">
        <v>23</v>
      </c>
      <c r="C828" s="33">
        <v>1</v>
      </c>
      <c r="D828" s="34" t="s">
        <v>200</v>
      </c>
      <c r="E828" s="34" t="s">
        <v>217</v>
      </c>
      <c r="F828" s="33">
        <v>0</v>
      </c>
      <c r="G828" s="33">
        <v>0.35</v>
      </c>
      <c r="H828" s="33" t="s">
        <v>215</v>
      </c>
      <c r="I828" s="33">
        <v>500</v>
      </c>
    </row>
    <row r="829" spans="1:9" x14ac:dyDescent="0.3">
      <c r="A829" s="30" t="s">
        <v>488</v>
      </c>
      <c r="B829" s="33" t="s">
        <v>23</v>
      </c>
      <c r="C829" s="33">
        <v>1</v>
      </c>
      <c r="D829" s="34" t="s">
        <v>200</v>
      </c>
      <c r="E829" s="34" t="s">
        <v>218</v>
      </c>
      <c r="F829" s="33">
        <v>0</v>
      </c>
      <c r="G829" s="33">
        <v>0.35</v>
      </c>
      <c r="H829" s="33" t="s">
        <v>215</v>
      </c>
      <c r="I829" s="33">
        <v>500</v>
      </c>
    </row>
    <row r="830" spans="1:9" x14ac:dyDescent="0.3">
      <c r="A830" s="30" t="s">
        <v>488</v>
      </c>
      <c r="B830" s="33" t="s">
        <v>23</v>
      </c>
      <c r="C830" s="33">
        <v>1</v>
      </c>
      <c r="D830" s="34" t="s">
        <v>200</v>
      </c>
      <c r="E830" s="34" t="s">
        <v>219</v>
      </c>
      <c r="F830" s="33">
        <v>0</v>
      </c>
      <c r="G830" s="33">
        <v>0.35</v>
      </c>
      <c r="H830" s="33" t="s">
        <v>215</v>
      </c>
      <c r="I830" s="33">
        <v>500</v>
      </c>
    </row>
    <row r="831" spans="1:9" x14ac:dyDescent="0.3">
      <c r="A831" s="30" t="s">
        <v>488</v>
      </c>
      <c r="B831" s="33" t="s">
        <v>23</v>
      </c>
      <c r="C831" s="33">
        <v>1</v>
      </c>
      <c r="D831" s="34" t="s">
        <v>200</v>
      </c>
      <c r="E831" s="34" t="s">
        <v>220</v>
      </c>
      <c r="F831" s="33">
        <v>0</v>
      </c>
      <c r="G831" s="33">
        <v>0.35</v>
      </c>
      <c r="H831" s="33" t="s">
        <v>215</v>
      </c>
      <c r="I831" s="33">
        <v>500</v>
      </c>
    </row>
    <row r="832" spans="1:9" x14ac:dyDescent="0.3">
      <c r="A832" s="30" t="s">
        <v>488</v>
      </c>
      <c r="B832" s="33" t="s">
        <v>23</v>
      </c>
      <c r="C832" s="33">
        <v>1</v>
      </c>
      <c r="D832" s="34" t="s">
        <v>221</v>
      </c>
      <c r="E832" s="34" t="s">
        <v>198</v>
      </c>
      <c r="F832" s="33">
        <v>0</v>
      </c>
      <c r="G832" s="33">
        <v>0.5</v>
      </c>
      <c r="H832" s="33"/>
      <c r="I832" s="33">
        <v>0</v>
      </c>
    </row>
    <row r="833" spans="1:9" x14ac:dyDescent="0.3">
      <c r="A833" s="30" t="s">
        <v>489</v>
      </c>
      <c r="B833" s="33" t="s">
        <v>23</v>
      </c>
      <c r="C833" s="33">
        <v>1</v>
      </c>
      <c r="D833" s="34" t="s">
        <v>188</v>
      </c>
      <c r="E833" s="34" t="s">
        <v>189</v>
      </c>
      <c r="F833" s="33">
        <v>0</v>
      </c>
      <c r="G833" s="33">
        <v>0.15</v>
      </c>
      <c r="H833" s="33"/>
      <c r="I833" s="33">
        <v>0</v>
      </c>
    </row>
    <row r="834" spans="1:9" x14ac:dyDescent="0.3">
      <c r="A834" s="30" t="s">
        <v>489</v>
      </c>
      <c r="B834" s="33" t="s">
        <v>23</v>
      </c>
      <c r="C834" s="33">
        <v>1</v>
      </c>
      <c r="D834" s="34" t="s">
        <v>190</v>
      </c>
      <c r="E834" s="34" t="s">
        <v>198</v>
      </c>
      <c r="F834" s="33">
        <v>0</v>
      </c>
      <c r="G834" s="33">
        <v>0.3</v>
      </c>
      <c r="H834" s="33"/>
      <c r="I834" s="33">
        <v>0</v>
      </c>
    </row>
    <row r="835" spans="1:9" x14ac:dyDescent="0.3">
      <c r="A835" s="30" t="s">
        <v>489</v>
      </c>
      <c r="B835" s="33" t="s">
        <v>23</v>
      </c>
      <c r="C835" s="33">
        <v>1</v>
      </c>
      <c r="D835" s="34" t="s">
        <v>197</v>
      </c>
      <c r="E835" s="34" t="s">
        <v>198</v>
      </c>
      <c r="F835" s="33">
        <v>0</v>
      </c>
      <c r="G835" s="33">
        <v>0.05</v>
      </c>
      <c r="H835" s="33"/>
      <c r="I835" s="33">
        <v>0</v>
      </c>
    </row>
    <row r="836" spans="1:9" x14ac:dyDescent="0.3">
      <c r="A836" s="30" t="s">
        <v>489</v>
      </c>
      <c r="B836" s="33" t="s">
        <v>23</v>
      </c>
      <c r="C836" s="33">
        <v>1</v>
      </c>
      <c r="D836" s="34" t="s">
        <v>197</v>
      </c>
      <c r="E836" s="34" t="s">
        <v>199</v>
      </c>
      <c r="F836" s="33">
        <v>0</v>
      </c>
      <c r="G836" s="33">
        <v>0</v>
      </c>
      <c r="H836" s="33"/>
      <c r="I836" s="33">
        <v>0</v>
      </c>
    </row>
    <row r="837" spans="1:9" x14ac:dyDescent="0.3">
      <c r="A837" s="30" t="s">
        <v>489</v>
      </c>
      <c r="B837" s="33" t="s">
        <v>23</v>
      </c>
      <c r="C837" s="33">
        <v>1</v>
      </c>
      <c r="D837" s="34" t="s">
        <v>200</v>
      </c>
      <c r="E837" s="34" t="s">
        <v>201</v>
      </c>
      <c r="F837" s="33">
        <v>0</v>
      </c>
      <c r="G837" s="33">
        <v>0.35</v>
      </c>
      <c r="H837" s="33" t="s">
        <v>202</v>
      </c>
      <c r="I837" s="33">
        <v>100</v>
      </c>
    </row>
    <row r="838" spans="1:9" x14ac:dyDescent="0.3">
      <c r="A838" s="30" t="s">
        <v>489</v>
      </c>
      <c r="B838" s="33" t="s">
        <v>23</v>
      </c>
      <c r="C838" s="33">
        <v>1</v>
      </c>
      <c r="D838" s="34" t="s">
        <v>200</v>
      </c>
      <c r="E838" s="34" t="s">
        <v>203</v>
      </c>
      <c r="F838" s="33">
        <v>0</v>
      </c>
      <c r="G838" s="33">
        <v>0.3</v>
      </c>
      <c r="H838" s="33" t="s">
        <v>202</v>
      </c>
      <c r="I838" s="33">
        <v>100</v>
      </c>
    </row>
    <row r="839" spans="1:9" x14ac:dyDescent="0.3">
      <c r="A839" s="30" t="s">
        <v>489</v>
      </c>
      <c r="B839" s="33" t="s">
        <v>23</v>
      </c>
      <c r="C839" s="33">
        <v>1</v>
      </c>
      <c r="D839" s="34" t="s">
        <v>200</v>
      </c>
      <c r="E839" s="34" t="s">
        <v>204</v>
      </c>
      <c r="F839" s="33">
        <v>0</v>
      </c>
      <c r="G839" s="33">
        <v>0.3</v>
      </c>
      <c r="H839" s="33" t="s">
        <v>202</v>
      </c>
      <c r="I839" s="33">
        <v>100</v>
      </c>
    </row>
    <row r="840" spans="1:9" x14ac:dyDescent="0.3">
      <c r="A840" s="30" t="s">
        <v>489</v>
      </c>
      <c r="B840" s="33" t="s">
        <v>23</v>
      </c>
      <c r="C840" s="33">
        <v>1</v>
      </c>
      <c r="D840" s="34" t="s">
        <v>200</v>
      </c>
      <c r="E840" s="34" t="s">
        <v>205</v>
      </c>
      <c r="F840" s="33">
        <v>0</v>
      </c>
      <c r="G840" s="33">
        <v>0.3</v>
      </c>
      <c r="H840" s="33" t="s">
        <v>202</v>
      </c>
      <c r="I840" s="33">
        <v>100</v>
      </c>
    </row>
    <row r="841" spans="1:9" x14ac:dyDescent="0.3">
      <c r="A841" s="30" t="s">
        <v>489</v>
      </c>
      <c r="B841" s="33" t="s">
        <v>23</v>
      </c>
      <c r="C841" s="33">
        <v>1</v>
      </c>
      <c r="D841" s="34" t="s">
        <v>200</v>
      </c>
      <c r="E841" s="34" t="s">
        <v>206</v>
      </c>
      <c r="F841" s="33">
        <v>0</v>
      </c>
      <c r="G841" s="33">
        <v>0.3</v>
      </c>
      <c r="H841" s="33" t="s">
        <v>202</v>
      </c>
      <c r="I841" s="33">
        <v>100</v>
      </c>
    </row>
    <row r="842" spans="1:9" x14ac:dyDescent="0.3">
      <c r="A842" s="30" t="s">
        <v>489</v>
      </c>
      <c r="B842" s="33" t="s">
        <v>23</v>
      </c>
      <c r="C842" s="33">
        <v>1</v>
      </c>
      <c r="D842" s="34" t="s">
        <v>200</v>
      </c>
      <c r="E842" s="34" t="s">
        <v>207</v>
      </c>
      <c r="F842" s="33">
        <v>0</v>
      </c>
      <c r="G842" s="33">
        <v>0.2</v>
      </c>
      <c r="H842" s="33" t="s">
        <v>202</v>
      </c>
      <c r="I842" s="33">
        <v>100</v>
      </c>
    </row>
    <row r="843" spans="1:9" x14ac:dyDescent="0.3">
      <c r="A843" s="30" t="s">
        <v>489</v>
      </c>
      <c r="B843" s="33" t="s">
        <v>23</v>
      </c>
      <c r="C843" s="33">
        <v>1</v>
      </c>
      <c r="D843" s="34" t="s">
        <v>200</v>
      </c>
      <c r="E843" s="34" t="s">
        <v>208</v>
      </c>
      <c r="F843" s="33">
        <v>0</v>
      </c>
      <c r="G843" s="33">
        <v>0.2</v>
      </c>
      <c r="H843" s="33" t="s">
        <v>202</v>
      </c>
      <c r="I843" s="33">
        <v>100</v>
      </c>
    </row>
    <row r="844" spans="1:9" x14ac:dyDescent="0.3">
      <c r="A844" s="30" t="s">
        <v>489</v>
      </c>
      <c r="B844" s="33" t="s">
        <v>23</v>
      </c>
      <c r="C844" s="33">
        <v>1</v>
      </c>
      <c r="D844" s="34" t="s">
        <v>200</v>
      </c>
      <c r="E844" s="34" t="s">
        <v>209</v>
      </c>
      <c r="F844" s="33">
        <v>0</v>
      </c>
      <c r="G844" s="33">
        <v>0.3</v>
      </c>
      <c r="H844" s="33" t="s">
        <v>202</v>
      </c>
      <c r="I844" s="33">
        <v>100</v>
      </c>
    </row>
    <row r="845" spans="1:9" x14ac:dyDescent="0.3">
      <c r="A845" s="30" t="s">
        <v>489</v>
      </c>
      <c r="B845" s="33" t="s">
        <v>23</v>
      </c>
      <c r="C845" s="33">
        <v>1</v>
      </c>
      <c r="D845" s="34" t="s">
        <v>200</v>
      </c>
      <c r="E845" s="34" t="s">
        <v>210</v>
      </c>
      <c r="F845" s="33">
        <v>0</v>
      </c>
      <c r="G845" s="33">
        <v>0.2</v>
      </c>
      <c r="H845" s="33" t="s">
        <v>202</v>
      </c>
      <c r="I845" s="33">
        <v>100</v>
      </c>
    </row>
    <row r="846" spans="1:9" x14ac:dyDescent="0.3">
      <c r="A846" s="30" t="s">
        <v>489</v>
      </c>
      <c r="B846" s="33" t="s">
        <v>23</v>
      </c>
      <c r="C846" s="33">
        <v>1</v>
      </c>
      <c r="D846" s="34" t="s">
        <v>200</v>
      </c>
      <c r="E846" s="34" t="s">
        <v>211</v>
      </c>
      <c r="F846" s="33">
        <v>0</v>
      </c>
      <c r="G846" s="33">
        <v>0.15</v>
      </c>
      <c r="H846" s="33" t="s">
        <v>202</v>
      </c>
      <c r="I846" s="33">
        <v>100</v>
      </c>
    </row>
    <row r="847" spans="1:9" x14ac:dyDescent="0.3">
      <c r="A847" s="30" t="s">
        <v>489</v>
      </c>
      <c r="B847" s="33" t="s">
        <v>23</v>
      </c>
      <c r="C847" s="33">
        <v>1</v>
      </c>
      <c r="D847" s="34" t="s">
        <v>200</v>
      </c>
      <c r="E847" s="34" t="s">
        <v>212</v>
      </c>
      <c r="F847" s="33">
        <v>0</v>
      </c>
      <c r="G847" s="33">
        <v>0.15</v>
      </c>
      <c r="H847" s="33" t="s">
        <v>202</v>
      </c>
      <c r="I847" s="33">
        <v>100</v>
      </c>
    </row>
    <row r="848" spans="1:9" x14ac:dyDescent="0.3">
      <c r="A848" s="30" t="s">
        <v>489</v>
      </c>
      <c r="B848" s="33" t="s">
        <v>23</v>
      </c>
      <c r="C848" s="33">
        <v>1</v>
      </c>
      <c r="D848" s="34" t="s">
        <v>200</v>
      </c>
      <c r="E848" s="34" t="s">
        <v>213</v>
      </c>
      <c r="F848" s="33">
        <v>0</v>
      </c>
      <c r="G848" s="33">
        <v>0.15</v>
      </c>
      <c r="H848" s="33" t="s">
        <v>202</v>
      </c>
      <c r="I848" s="33">
        <v>100</v>
      </c>
    </row>
    <row r="849" spans="1:9" x14ac:dyDescent="0.3">
      <c r="A849" s="30" t="s">
        <v>489</v>
      </c>
      <c r="B849" s="33" t="s">
        <v>23</v>
      </c>
      <c r="C849" s="33">
        <v>1</v>
      </c>
      <c r="D849" s="34" t="s">
        <v>200</v>
      </c>
      <c r="E849" s="34" t="s">
        <v>214</v>
      </c>
      <c r="F849" s="33">
        <v>0</v>
      </c>
      <c r="G849" s="33">
        <v>0.15</v>
      </c>
      <c r="H849" s="33" t="s">
        <v>202</v>
      </c>
      <c r="I849" s="33">
        <v>100</v>
      </c>
    </row>
    <row r="850" spans="1:9" x14ac:dyDescent="0.3">
      <c r="A850" s="30" t="s">
        <v>489</v>
      </c>
      <c r="B850" s="33" t="s">
        <v>23</v>
      </c>
      <c r="C850" s="33">
        <v>1</v>
      </c>
      <c r="D850" s="34" t="s">
        <v>200</v>
      </c>
      <c r="E850" s="34" t="s">
        <v>201</v>
      </c>
      <c r="F850" s="33">
        <v>0</v>
      </c>
      <c r="G850" s="33">
        <v>0.5</v>
      </c>
      <c r="H850" s="33" t="s">
        <v>215</v>
      </c>
      <c r="I850" s="33">
        <v>500</v>
      </c>
    </row>
    <row r="851" spans="1:9" x14ac:dyDescent="0.3">
      <c r="A851" s="30" t="s">
        <v>489</v>
      </c>
      <c r="B851" s="33" t="s">
        <v>23</v>
      </c>
      <c r="C851" s="33">
        <v>1</v>
      </c>
      <c r="D851" s="34" t="s">
        <v>200</v>
      </c>
      <c r="E851" s="34" t="s">
        <v>203</v>
      </c>
      <c r="F851" s="33">
        <v>0</v>
      </c>
      <c r="G851" s="33">
        <v>0.5</v>
      </c>
      <c r="H851" s="33" t="s">
        <v>215</v>
      </c>
      <c r="I851" s="33">
        <v>500</v>
      </c>
    </row>
    <row r="852" spans="1:9" x14ac:dyDescent="0.3">
      <c r="A852" s="30" t="s">
        <v>489</v>
      </c>
      <c r="B852" s="33" t="s">
        <v>23</v>
      </c>
      <c r="C852" s="33">
        <v>1</v>
      </c>
      <c r="D852" s="34" t="s">
        <v>200</v>
      </c>
      <c r="E852" s="34" t="s">
        <v>204</v>
      </c>
      <c r="F852" s="33">
        <v>0</v>
      </c>
      <c r="G852" s="33">
        <v>0.5</v>
      </c>
      <c r="H852" s="33" t="s">
        <v>215</v>
      </c>
      <c r="I852" s="33">
        <v>500</v>
      </c>
    </row>
    <row r="853" spans="1:9" x14ac:dyDescent="0.3">
      <c r="A853" s="30" t="s">
        <v>489</v>
      </c>
      <c r="B853" s="33" t="s">
        <v>23</v>
      </c>
      <c r="C853" s="33">
        <v>1</v>
      </c>
      <c r="D853" s="34" t="s">
        <v>200</v>
      </c>
      <c r="E853" s="34" t="s">
        <v>205</v>
      </c>
      <c r="F853" s="33">
        <v>0</v>
      </c>
      <c r="G853" s="33">
        <v>0.5</v>
      </c>
      <c r="H853" s="33" t="s">
        <v>215</v>
      </c>
      <c r="I853" s="33">
        <v>500</v>
      </c>
    </row>
    <row r="854" spans="1:9" x14ac:dyDescent="0.3">
      <c r="A854" s="30" t="s">
        <v>489</v>
      </c>
      <c r="B854" s="33" t="s">
        <v>23</v>
      </c>
      <c r="C854" s="33">
        <v>1</v>
      </c>
      <c r="D854" s="34" t="s">
        <v>200</v>
      </c>
      <c r="E854" s="34" t="s">
        <v>206</v>
      </c>
      <c r="F854" s="33">
        <v>0</v>
      </c>
      <c r="G854" s="33">
        <v>0.5</v>
      </c>
      <c r="H854" s="33" t="s">
        <v>215</v>
      </c>
      <c r="I854" s="33">
        <v>500</v>
      </c>
    </row>
    <row r="855" spans="1:9" x14ac:dyDescent="0.3">
      <c r="A855" s="30" t="s">
        <v>489</v>
      </c>
      <c r="B855" s="33" t="s">
        <v>23</v>
      </c>
      <c r="C855" s="33">
        <v>1</v>
      </c>
      <c r="D855" s="34" t="s">
        <v>200</v>
      </c>
      <c r="E855" s="34" t="s">
        <v>207</v>
      </c>
      <c r="F855" s="33">
        <v>0</v>
      </c>
      <c r="G855" s="33">
        <v>0.35</v>
      </c>
      <c r="H855" s="33" t="s">
        <v>215</v>
      </c>
      <c r="I855" s="33">
        <v>500</v>
      </c>
    </row>
    <row r="856" spans="1:9" x14ac:dyDescent="0.3">
      <c r="A856" s="30" t="s">
        <v>489</v>
      </c>
      <c r="B856" s="33" t="s">
        <v>23</v>
      </c>
      <c r="C856" s="33">
        <v>1</v>
      </c>
      <c r="D856" s="34" t="s">
        <v>200</v>
      </c>
      <c r="E856" s="34" t="s">
        <v>208</v>
      </c>
      <c r="F856" s="33">
        <v>0</v>
      </c>
      <c r="G856" s="33">
        <v>0.3</v>
      </c>
      <c r="H856" s="33" t="s">
        <v>215</v>
      </c>
      <c r="I856" s="33">
        <v>500</v>
      </c>
    </row>
    <row r="857" spans="1:9" x14ac:dyDescent="0.3">
      <c r="A857" s="30" t="s">
        <v>489</v>
      </c>
      <c r="B857" s="33" t="s">
        <v>23</v>
      </c>
      <c r="C857" s="33">
        <v>1</v>
      </c>
      <c r="D857" s="34" t="s">
        <v>200</v>
      </c>
      <c r="E857" s="34" t="s">
        <v>209</v>
      </c>
      <c r="F857" s="33">
        <v>0</v>
      </c>
      <c r="G857" s="33">
        <v>0.5</v>
      </c>
      <c r="H857" s="33" t="s">
        <v>215</v>
      </c>
      <c r="I857" s="33">
        <v>500</v>
      </c>
    </row>
    <row r="858" spans="1:9" x14ac:dyDescent="0.3">
      <c r="A858" s="30" t="s">
        <v>489</v>
      </c>
      <c r="B858" s="33" t="s">
        <v>23</v>
      </c>
      <c r="C858" s="33">
        <v>1</v>
      </c>
      <c r="D858" s="34" t="s">
        <v>200</v>
      </c>
      <c r="E858" s="34" t="s">
        <v>210</v>
      </c>
      <c r="F858" s="33">
        <v>0</v>
      </c>
      <c r="G858" s="33">
        <v>0.3</v>
      </c>
      <c r="H858" s="33" t="s">
        <v>215</v>
      </c>
      <c r="I858" s="33">
        <v>500</v>
      </c>
    </row>
    <row r="859" spans="1:9" x14ac:dyDescent="0.3">
      <c r="A859" s="30" t="s">
        <v>489</v>
      </c>
      <c r="B859" s="33" t="s">
        <v>23</v>
      </c>
      <c r="C859" s="33">
        <v>1</v>
      </c>
      <c r="D859" s="34" t="s">
        <v>200</v>
      </c>
      <c r="E859" s="34" t="s">
        <v>211</v>
      </c>
      <c r="F859" s="33">
        <v>0</v>
      </c>
      <c r="G859" s="33">
        <v>0.25</v>
      </c>
      <c r="H859" s="33" t="s">
        <v>215</v>
      </c>
      <c r="I859" s="33">
        <v>500</v>
      </c>
    </row>
    <row r="860" spans="1:9" x14ac:dyDescent="0.3">
      <c r="A860" s="30" t="s">
        <v>489</v>
      </c>
      <c r="B860" s="33" t="s">
        <v>23</v>
      </c>
      <c r="C860" s="33">
        <v>1</v>
      </c>
      <c r="D860" s="34" t="s">
        <v>200</v>
      </c>
      <c r="E860" s="34" t="s">
        <v>212</v>
      </c>
      <c r="F860" s="33">
        <v>0</v>
      </c>
      <c r="G860" s="33">
        <v>0.25</v>
      </c>
      <c r="H860" s="33" t="s">
        <v>215</v>
      </c>
      <c r="I860" s="33">
        <v>500</v>
      </c>
    </row>
    <row r="861" spans="1:9" x14ac:dyDescent="0.3">
      <c r="A861" s="30" t="s">
        <v>489</v>
      </c>
      <c r="B861" s="33" t="s">
        <v>23</v>
      </c>
      <c r="C861" s="33">
        <v>1</v>
      </c>
      <c r="D861" s="34" t="s">
        <v>200</v>
      </c>
      <c r="E861" s="34" t="s">
        <v>213</v>
      </c>
      <c r="F861" s="33">
        <v>0</v>
      </c>
      <c r="G861" s="33">
        <v>0.25</v>
      </c>
      <c r="H861" s="33" t="s">
        <v>215</v>
      </c>
      <c r="I861" s="33">
        <v>500</v>
      </c>
    </row>
    <row r="862" spans="1:9" x14ac:dyDescent="0.3">
      <c r="A862" s="30" t="s">
        <v>489</v>
      </c>
      <c r="B862" s="33" t="s">
        <v>23</v>
      </c>
      <c r="C862" s="33">
        <v>1</v>
      </c>
      <c r="D862" s="34" t="s">
        <v>200</v>
      </c>
      <c r="E862" s="34" t="s">
        <v>214</v>
      </c>
      <c r="F862" s="33">
        <v>0</v>
      </c>
      <c r="G862" s="33">
        <v>0.25</v>
      </c>
      <c r="H862" s="33" t="s">
        <v>215</v>
      </c>
      <c r="I862" s="33">
        <v>500</v>
      </c>
    </row>
    <row r="863" spans="1:9" x14ac:dyDescent="0.3">
      <c r="A863" s="30" t="s">
        <v>489</v>
      </c>
      <c r="B863" s="33" t="s">
        <v>23</v>
      </c>
      <c r="C863" s="33">
        <v>1</v>
      </c>
      <c r="D863" s="34" t="s">
        <v>200</v>
      </c>
      <c r="E863" s="34" t="s">
        <v>216</v>
      </c>
      <c r="F863" s="33">
        <v>0</v>
      </c>
      <c r="G863" s="33">
        <v>0.3</v>
      </c>
      <c r="H863" s="33" t="s">
        <v>202</v>
      </c>
      <c r="I863" s="33">
        <v>100</v>
      </c>
    </row>
    <row r="864" spans="1:9" x14ac:dyDescent="0.3">
      <c r="A864" s="30" t="s">
        <v>489</v>
      </c>
      <c r="B864" s="33" t="s">
        <v>23</v>
      </c>
      <c r="C864" s="33">
        <v>1</v>
      </c>
      <c r="D864" s="34" t="s">
        <v>200</v>
      </c>
      <c r="E864" s="34" t="s">
        <v>216</v>
      </c>
      <c r="F864" s="33">
        <v>0</v>
      </c>
      <c r="G864" s="33">
        <v>0.45</v>
      </c>
      <c r="H864" s="33" t="s">
        <v>215</v>
      </c>
      <c r="I864" s="33">
        <v>500</v>
      </c>
    </row>
    <row r="865" spans="1:9" x14ac:dyDescent="0.3">
      <c r="A865" s="30" t="s">
        <v>489</v>
      </c>
      <c r="B865" s="33" t="s">
        <v>23</v>
      </c>
      <c r="C865" s="33">
        <v>1</v>
      </c>
      <c r="D865" s="34" t="s">
        <v>200</v>
      </c>
      <c r="E865" s="34" t="s">
        <v>217</v>
      </c>
      <c r="F865" s="33">
        <v>0</v>
      </c>
      <c r="G865" s="33">
        <v>0.2</v>
      </c>
      <c r="H865" s="33" t="s">
        <v>202</v>
      </c>
      <c r="I865" s="33">
        <v>100</v>
      </c>
    </row>
    <row r="866" spans="1:9" x14ac:dyDescent="0.3">
      <c r="A866" s="30" t="s">
        <v>489</v>
      </c>
      <c r="B866" s="33" t="s">
        <v>23</v>
      </c>
      <c r="C866" s="33">
        <v>1</v>
      </c>
      <c r="D866" s="34" t="s">
        <v>200</v>
      </c>
      <c r="E866" s="34" t="s">
        <v>218</v>
      </c>
      <c r="F866" s="33">
        <v>0</v>
      </c>
      <c r="G866" s="33">
        <v>0.2</v>
      </c>
      <c r="H866" s="33" t="s">
        <v>202</v>
      </c>
      <c r="I866" s="33">
        <v>100</v>
      </c>
    </row>
    <row r="867" spans="1:9" x14ac:dyDescent="0.3">
      <c r="A867" s="30" t="s">
        <v>489</v>
      </c>
      <c r="B867" s="33" t="s">
        <v>23</v>
      </c>
      <c r="C867" s="33">
        <v>1</v>
      </c>
      <c r="D867" s="34" t="s">
        <v>200</v>
      </c>
      <c r="E867" s="34" t="s">
        <v>219</v>
      </c>
      <c r="F867" s="33">
        <v>0</v>
      </c>
      <c r="G867" s="33">
        <v>0.2</v>
      </c>
      <c r="H867" s="33" t="s">
        <v>202</v>
      </c>
      <c r="I867" s="33">
        <v>100</v>
      </c>
    </row>
    <row r="868" spans="1:9" x14ac:dyDescent="0.3">
      <c r="A868" s="30" t="s">
        <v>489</v>
      </c>
      <c r="B868" s="33" t="s">
        <v>23</v>
      </c>
      <c r="C868" s="33">
        <v>1</v>
      </c>
      <c r="D868" s="34" t="s">
        <v>200</v>
      </c>
      <c r="E868" s="34" t="s">
        <v>220</v>
      </c>
      <c r="F868" s="33">
        <v>0</v>
      </c>
      <c r="G868" s="33">
        <v>0.2</v>
      </c>
      <c r="H868" s="33" t="s">
        <v>202</v>
      </c>
      <c r="I868" s="33">
        <v>100</v>
      </c>
    </row>
    <row r="869" spans="1:9" x14ac:dyDescent="0.3">
      <c r="A869" s="30" t="s">
        <v>489</v>
      </c>
      <c r="B869" s="33" t="s">
        <v>23</v>
      </c>
      <c r="C869" s="33">
        <v>1</v>
      </c>
      <c r="D869" s="34" t="s">
        <v>200</v>
      </c>
      <c r="E869" s="34" t="s">
        <v>217</v>
      </c>
      <c r="F869" s="33">
        <v>0</v>
      </c>
      <c r="G869" s="33">
        <v>0.35</v>
      </c>
      <c r="H869" s="33" t="s">
        <v>215</v>
      </c>
      <c r="I869" s="33">
        <v>500</v>
      </c>
    </row>
    <row r="870" spans="1:9" x14ac:dyDescent="0.3">
      <c r="A870" s="30" t="s">
        <v>489</v>
      </c>
      <c r="B870" s="33" t="s">
        <v>23</v>
      </c>
      <c r="C870" s="33">
        <v>1</v>
      </c>
      <c r="D870" s="34" t="s">
        <v>200</v>
      </c>
      <c r="E870" s="34" t="s">
        <v>218</v>
      </c>
      <c r="F870" s="33">
        <v>0</v>
      </c>
      <c r="G870" s="33">
        <v>0.35</v>
      </c>
      <c r="H870" s="33" t="s">
        <v>215</v>
      </c>
      <c r="I870" s="33">
        <v>500</v>
      </c>
    </row>
    <row r="871" spans="1:9" x14ac:dyDescent="0.3">
      <c r="A871" s="30" t="s">
        <v>489</v>
      </c>
      <c r="B871" s="33" t="s">
        <v>23</v>
      </c>
      <c r="C871" s="33">
        <v>1</v>
      </c>
      <c r="D871" s="34" t="s">
        <v>200</v>
      </c>
      <c r="E871" s="34" t="s">
        <v>219</v>
      </c>
      <c r="F871" s="33">
        <v>0</v>
      </c>
      <c r="G871" s="33">
        <v>0.35</v>
      </c>
      <c r="H871" s="33" t="s">
        <v>215</v>
      </c>
      <c r="I871" s="33">
        <v>500</v>
      </c>
    </row>
    <row r="872" spans="1:9" x14ac:dyDescent="0.3">
      <c r="A872" s="30" t="s">
        <v>489</v>
      </c>
      <c r="B872" s="33" t="s">
        <v>23</v>
      </c>
      <c r="C872" s="33">
        <v>1</v>
      </c>
      <c r="D872" s="34" t="s">
        <v>200</v>
      </c>
      <c r="E872" s="34" t="s">
        <v>220</v>
      </c>
      <c r="F872" s="33">
        <v>0</v>
      </c>
      <c r="G872" s="33">
        <v>0.35</v>
      </c>
      <c r="H872" s="33" t="s">
        <v>215</v>
      </c>
      <c r="I872" s="33">
        <v>500</v>
      </c>
    </row>
    <row r="873" spans="1:9" x14ac:dyDescent="0.3">
      <c r="A873" s="30" t="s">
        <v>489</v>
      </c>
      <c r="B873" s="33" t="s">
        <v>23</v>
      </c>
      <c r="C873" s="33">
        <v>1</v>
      </c>
      <c r="D873" s="34" t="s">
        <v>221</v>
      </c>
      <c r="E873" s="34" t="s">
        <v>198</v>
      </c>
      <c r="F873" s="33">
        <v>0</v>
      </c>
      <c r="G873" s="33">
        <v>0.5</v>
      </c>
      <c r="H873" s="33"/>
      <c r="I873" s="33">
        <v>0</v>
      </c>
    </row>
    <row r="874" spans="1:9" x14ac:dyDescent="0.3">
      <c r="A874" s="30" t="s">
        <v>490</v>
      </c>
      <c r="B874" s="33" t="s">
        <v>23</v>
      </c>
      <c r="C874" s="33">
        <v>1</v>
      </c>
      <c r="D874" s="34" t="s">
        <v>188</v>
      </c>
      <c r="E874" s="34" t="s">
        <v>189</v>
      </c>
      <c r="F874" s="33">
        <v>0</v>
      </c>
      <c r="G874" s="33">
        <v>0.15</v>
      </c>
      <c r="H874" s="33"/>
      <c r="I874" s="33">
        <v>0</v>
      </c>
    </row>
    <row r="875" spans="1:9" x14ac:dyDescent="0.3">
      <c r="A875" s="30" t="s">
        <v>490</v>
      </c>
      <c r="B875" s="33" t="s">
        <v>23</v>
      </c>
      <c r="C875" s="33">
        <v>1</v>
      </c>
      <c r="D875" s="34" t="s">
        <v>190</v>
      </c>
      <c r="E875" s="34" t="s">
        <v>198</v>
      </c>
      <c r="F875" s="33">
        <v>0</v>
      </c>
      <c r="G875" s="33">
        <v>0.3</v>
      </c>
      <c r="H875" s="33"/>
      <c r="I875" s="33">
        <v>0</v>
      </c>
    </row>
    <row r="876" spans="1:9" x14ac:dyDescent="0.3">
      <c r="A876" s="30" t="s">
        <v>490</v>
      </c>
      <c r="B876" s="33" t="s">
        <v>23</v>
      </c>
      <c r="C876" s="33">
        <v>1</v>
      </c>
      <c r="D876" s="34" t="s">
        <v>197</v>
      </c>
      <c r="E876" s="34" t="s">
        <v>198</v>
      </c>
      <c r="F876" s="33">
        <v>0</v>
      </c>
      <c r="G876" s="33">
        <v>0.05</v>
      </c>
      <c r="H876" s="33"/>
      <c r="I876" s="33">
        <v>0</v>
      </c>
    </row>
    <row r="877" spans="1:9" x14ac:dyDescent="0.3">
      <c r="A877" s="30" t="s">
        <v>490</v>
      </c>
      <c r="B877" s="33" t="s">
        <v>23</v>
      </c>
      <c r="C877" s="33">
        <v>1</v>
      </c>
      <c r="D877" s="34" t="s">
        <v>197</v>
      </c>
      <c r="E877" s="34" t="s">
        <v>199</v>
      </c>
      <c r="F877" s="33">
        <v>0</v>
      </c>
      <c r="G877" s="33">
        <v>0</v>
      </c>
      <c r="H877" s="33"/>
      <c r="I877" s="33">
        <v>0</v>
      </c>
    </row>
    <row r="878" spans="1:9" x14ac:dyDescent="0.3">
      <c r="A878" s="30" t="s">
        <v>490</v>
      </c>
      <c r="B878" s="33" t="s">
        <v>23</v>
      </c>
      <c r="C878" s="33">
        <v>1</v>
      </c>
      <c r="D878" s="34" t="s">
        <v>200</v>
      </c>
      <c r="E878" s="34" t="s">
        <v>201</v>
      </c>
      <c r="F878" s="33">
        <v>0</v>
      </c>
      <c r="G878" s="33">
        <v>0.35</v>
      </c>
      <c r="H878" s="33" t="s">
        <v>202</v>
      </c>
      <c r="I878" s="33">
        <v>100</v>
      </c>
    </row>
    <row r="879" spans="1:9" x14ac:dyDescent="0.3">
      <c r="A879" s="30" t="s">
        <v>490</v>
      </c>
      <c r="B879" s="33" t="s">
        <v>23</v>
      </c>
      <c r="C879" s="33">
        <v>1</v>
      </c>
      <c r="D879" s="34" t="s">
        <v>200</v>
      </c>
      <c r="E879" s="34" t="s">
        <v>203</v>
      </c>
      <c r="F879" s="33">
        <v>0</v>
      </c>
      <c r="G879" s="33">
        <v>0.3</v>
      </c>
      <c r="H879" s="33" t="s">
        <v>202</v>
      </c>
      <c r="I879" s="33">
        <v>100</v>
      </c>
    </row>
    <row r="880" spans="1:9" x14ac:dyDescent="0.3">
      <c r="A880" s="30" t="s">
        <v>490</v>
      </c>
      <c r="B880" s="33" t="s">
        <v>23</v>
      </c>
      <c r="C880" s="33">
        <v>1</v>
      </c>
      <c r="D880" s="34" t="s">
        <v>200</v>
      </c>
      <c r="E880" s="34" t="s">
        <v>204</v>
      </c>
      <c r="F880" s="33">
        <v>0</v>
      </c>
      <c r="G880" s="33">
        <v>0.3</v>
      </c>
      <c r="H880" s="33" t="s">
        <v>202</v>
      </c>
      <c r="I880" s="33">
        <v>100</v>
      </c>
    </row>
    <row r="881" spans="1:9" x14ac:dyDescent="0.3">
      <c r="A881" s="30" t="s">
        <v>490</v>
      </c>
      <c r="B881" s="33" t="s">
        <v>23</v>
      </c>
      <c r="C881" s="33">
        <v>1</v>
      </c>
      <c r="D881" s="34" t="s">
        <v>200</v>
      </c>
      <c r="E881" s="34" t="s">
        <v>205</v>
      </c>
      <c r="F881" s="33">
        <v>0</v>
      </c>
      <c r="G881" s="33">
        <v>0.3</v>
      </c>
      <c r="H881" s="33" t="s">
        <v>202</v>
      </c>
      <c r="I881" s="33">
        <v>100</v>
      </c>
    </row>
    <row r="882" spans="1:9" x14ac:dyDescent="0.3">
      <c r="A882" s="30" t="s">
        <v>490</v>
      </c>
      <c r="B882" s="33" t="s">
        <v>23</v>
      </c>
      <c r="C882" s="33">
        <v>1</v>
      </c>
      <c r="D882" s="34" t="s">
        <v>200</v>
      </c>
      <c r="E882" s="34" t="s">
        <v>206</v>
      </c>
      <c r="F882" s="33">
        <v>0</v>
      </c>
      <c r="G882" s="33">
        <v>0.3</v>
      </c>
      <c r="H882" s="33" t="s">
        <v>202</v>
      </c>
      <c r="I882" s="33">
        <v>100</v>
      </c>
    </row>
    <row r="883" spans="1:9" x14ac:dyDescent="0.3">
      <c r="A883" s="30" t="s">
        <v>490</v>
      </c>
      <c r="B883" s="33" t="s">
        <v>23</v>
      </c>
      <c r="C883" s="33">
        <v>1</v>
      </c>
      <c r="D883" s="34" t="s">
        <v>200</v>
      </c>
      <c r="E883" s="34" t="s">
        <v>207</v>
      </c>
      <c r="F883" s="33">
        <v>0</v>
      </c>
      <c r="G883" s="33">
        <v>0.2</v>
      </c>
      <c r="H883" s="33" t="s">
        <v>202</v>
      </c>
      <c r="I883" s="33">
        <v>100</v>
      </c>
    </row>
    <row r="884" spans="1:9" x14ac:dyDescent="0.3">
      <c r="A884" s="30" t="s">
        <v>490</v>
      </c>
      <c r="B884" s="33" t="s">
        <v>23</v>
      </c>
      <c r="C884" s="33">
        <v>1</v>
      </c>
      <c r="D884" s="34" t="s">
        <v>200</v>
      </c>
      <c r="E884" s="34" t="s">
        <v>208</v>
      </c>
      <c r="F884" s="33">
        <v>0</v>
      </c>
      <c r="G884" s="33">
        <v>0.2</v>
      </c>
      <c r="H884" s="33" t="s">
        <v>202</v>
      </c>
      <c r="I884" s="33">
        <v>100</v>
      </c>
    </row>
    <row r="885" spans="1:9" x14ac:dyDescent="0.3">
      <c r="A885" s="30" t="s">
        <v>490</v>
      </c>
      <c r="B885" s="33" t="s">
        <v>23</v>
      </c>
      <c r="C885" s="33">
        <v>1</v>
      </c>
      <c r="D885" s="34" t="s">
        <v>200</v>
      </c>
      <c r="E885" s="34" t="s">
        <v>209</v>
      </c>
      <c r="F885" s="33">
        <v>0</v>
      </c>
      <c r="G885" s="33">
        <v>0.3</v>
      </c>
      <c r="H885" s="33" t="s">
        <v>202</v>
      </c>
      <c r="I885" s="33">
        <v>100</v>
      </c>
    </row>
    <row r="886" spans="1:9" x14ac:dyDescent="0.3">
      <c r="A886" s="30" t="s">
        <v>490</v>
      </c>
      <c r="B886" s="33" t="s">
        <v>23</v>
      </c>
      <c r="C886" s="33">
        <v>1</v>
      </c>
      <c r="D886" s="34" t="s">
        <v>200</v>
      </c>
      <c r="E886" s="34" t="s">
        <v>210</v>
      </c>
      <c r="F886" s="33">
        <v>0</v>
      </c>
      <c r="G886" s="33">
        <v>0.2</v>
      </c>
      <c r="H886" s="33" t="s">
        <v>202</v>
      </c>
      <c r="I886" s="33">
        <v>100</v>
      </c>
    </row>
    <row r="887" spans="1:9" x14ac:dyDescent="0.3">
      <c r="A887" s="30" t="s">
        <v>490</v>
      </c>
      <c r="B887" s="33" t="s">
        <v>23</v>
      </c>
      <c r="C887" s="33">
        <v>1</v>
      </c>
      <c r="D887" s="34" t="s">
        <v>200</v>
      </c>
      <c r="E887" s="34" t="s">
        <v>211</v>
      </c>
      <c r="F887" s="33">
        <v>0</v>
      </c>
      <c r="G887" s="33">
        <v>0.15</v>
      </c>
      <c r="H887" s="33" t="s">
        <v>202</v>
      </c>
      <c r="I887" s="33">
        <v>100</v>
      </c>
    </row>
    <row r="888" spans="1:9" x14ac:dyDescent="0.3">
      <c r="A888" s="30" t="s">
        <v>490</v>
      </c>
      <c r="B888" s="33" t="s">
        <v>23</v>
      </c>
      <c r="C888" s="33">
        <v>1</v>
      </c>
      <c r="D888" s="34" t="s">
        <v>200</v>
      </c>
      <c r="E888" s="34" t="s">
        <v>212</v>
      </c>
      <c r="F888" s="33">
        <v>0</v>
      </c>
      <c r="G888" s="33">
        <v>0.15</v>
      </c>
      <c r="H888" s="33" t="s">
        <v>202</v>
      </c>
      <c r="I888" s="33">
        <v>100</v>
      </c>
    </row>
    <row r="889" spans="1:9" x14ac:dyDescent="0.3">
      <c r="A889" s="30" t="s">
        <v>490</v>
      </c>
      <c r="B889" s="33" t="s">
        <v>23</v>
      </c>
      <c r="C889" s="33">
        <v>1</v>
      </c>
      <c r="D889" s="34" t="s">
        <v>200</v>
      </c>
      <c r="E889" s="34" t="s">
        <v>213</v>
      </c>
      <c r="F889" s="33">
        <v>0</v>
      </c>
      <c r="G889" s="33">
        <v>0.15</v>
      </c>
      <c r="H889" s="33" t="s">
        <v>202</v>
      </c>
      <c r="I889" s="33">
        <v>100</v>
      </c>
    </row>
    <row r="890" spans="1:9" x14ac:dyDescent="0.3">
      <c r="A890" s="30" t="s">
        <v>490</v>
      </c>
      <c r="B890" s="33" t="s">
        <v>23</v>
      </c>
      <c r="C890" s="33">
        <v>1</v>
      </c>
      <c r="D890" s="34" t="s">
        <v>200</v>
      </c>
      <c r="E890" s="34" t="s">
        <v>214</v>
      </c>
      <c r="F890" s="33">
        <v>0</v>
      </c>
      <c r="G890" s="33">
        <v>0.15</v>
      </c>
      <c r="H890" s="33" t="s">
        <v>202</v>
      </c>
      <c r="I890" s="33">
        <v>100</v>
      </c>
    </row>
    <row r="891" spans="1:9" x14ac:dyDescent="0.3">
      <c r="A891" s="30" t="s">
        <v>490</v>
      </c>
      <c r="B891" s="33" t="s">
        <v>23</v>
      </c>
      <c r="C891" s="33">
        <v>1</v>
      </c>
      <c r="D891" s="34" t="s">
        <v>200</v>
      </c>
      <c r="E891" s="34" t="s">
        <v>201</v>
      </c>
      <c r="F891" s="33">
        <v>0</v>
      </c>
      <c r="G891" s="33">
        <v>0.5</v>
      </c>
      <c r="H891" s="33" t="s">
        <v>215</v>
      </c>
      <c r="I891" s="33">
        <v>500</v>
      </c>
    </row>
    <row r="892" spans="1:9" x14ac:dyDescent="0.3">
      <c r="A892" s="30" t="s">
        <v>490</v>
      </c>
      <c r="B892" s="33" t="s">
        <v>23</v>
      </c>
      <c r="C892" s="33">
        <v>1</v>
      </c>
      <c r="D892" s="34" t="s">
        <v>200</v>
      </c>
      <c r="E892" s="34" t="s">
        <v>203</v>
      </c>
      <c r="F892" s="33">
        <v>0</v>
      </c>
      <c r="G892" s="33">
        <v>0.5</v>
      </c>
      <c r="H892" s="33" t="s">
        <v>215</v>
      </c>
      <c r="I892" s="33">
        <v>500</v>
      </c>
    </row>
    <row r="893" spans="1:9" x14ac:dyDescent="0.3">
      <c r="A893" s="30" t="s">
        <v>490</v>
      </c>
      <c r="B893" s="33" t="s">
        <v>23</v>
      </c>
      <c r="C893" s="33">
        <v>1</v>
      </c>
      <c r="D893" s="34" t="s">
        <v>200</v>
      </c>
      <c r="E893" s="34" t="s">
        <v>204</v>
      </c>
      <c r="F893" s="33">
        <v>0</v>
      </c>
      <c r="G893" s="33">
        <v>0.5</v>
      </c>
      <c r="H893" s="33" t="s">
        <v>215</v>
      </c>
      <c r="I893" s="33">
        <v>500</v>
      </c>
    </row>
    <row r="894" spans="1:9" x14ac:dyDescent="0.3">
      <c r="A894" s="30" t="s">
        <v>490</v>
      </c>
      <c r="B894" s="33" t="s">
        <v>23</v>
      </c>
      <c r="C894" s="33">
        <v>1</v>
      </c>
      <c r="D894" s="34" t="s">
        <v>200</v>
      </c>
      <c r="E894" s="34" t="s">
        <v>205</v>
      </c>
      <c r="F894" s="33">
        <v>0</v>
      </c>
      <c r="G894" s="33">
        <v>0.5</v>
      </c>
      <c r="H894" s="33" t="s">
        <v>215</v>
      </c>
      <c r="I894" s="33">
        <v>500</v>
      </c>
    </row>
    <row r="895" spans="1:9" x14ac:dyDescent="0.3">
      <c r="A895" s="30" t="s">
        <v>490</v>
      </c>
      <c r="B895" s="33" t="s">
        <v>23</v>
      </c>
      <c r="C895" s="33">
        <v>1</v>
      </c>
      <c r="D895" s="34" t="s">
        <v>200</v>
      </c>
      <c r="E895" s="34" t="s">
        <v>206</v>
      </c>
      <c r="F895" s="33">
        <v>0</v>
      </c>
      <c r="G895" s="33">
        <v>0.5</v>
      </c>
      <c r="H895" s="33" t="s">
        <v>215</v>
      </c>
      <c r="I895" s="33">
        <v>500</v>
      </c>
    </row>
    <row r="896" spans="1:9" x14ac:dyDescent="0.3">
      <c r="A896" s="30" t="s">
        <v>490</v>
      </c>
      <c r="B896" s="33" t="s">
        <v>23</v>
      </c>
      <c r="C896" s="33">
        <v>1</v>
      </c>
      <c r="D896" s="34" t="s">
        <v>200</v>
      </c>
      <c r="E896" s="34" t="s">
        <v>207</v>
      </c>
      <c r="F896" s="33">
        <v>0</v>
      </c>
      <c r="G896" s="33">
        <v>0.35</v>
      </c>
      <c r="H896" s="33" t="s">
        <v>215</v>
      </c>
      <c r="I896" s="33">
        <v>500</v>
      </c>
    </row>
    <row r="897" spans="1:9" x14ac:dyDescent="0.3">
      <c r="A897" s="30" t="s">
        <v>490</v>
      </c>
      <c r="B897" s="33" t="s">
        <v>23</v>
      </c>
      <c r="C897" s="33">
        <v>1</v>
      </c>
      <c r="D897" s="34" t="s">
        <v>200</v>
      </c>
      <c r="E897" s="34" t="s">
        <v>208</v>
      </c>
      <c r="F897" s="33">
        <v>0</v>
      </c>
      <c r="G897" s="33">
        <v>0.3</v>
      </c>
      <c r="H897" s="33" t="s">
        <v>215</v>
      </c>
      <c r="I897" s="33">
        <v>500</v>
      </c>
    </row>
    <row r="898" spans="1:9" x14ac:dyDescent="0.3">
      <c r="A898" s="30" t="s">
        <v>490</v>
      </c>
      <c r="B898" s="33" t="s">
        <v>23</v>
      </c>
      <c r="C898" s="33">
        <v>1</v>
      </c>
      <c r="D898" s="34" t="s">
        <v>200</v>
      </c>
      <c r="E898" s="34" t="s">
        <v>209</v>
      </c>
      <c r="F898" s="33">
        <v>0</v>
      </c>
      <c r="G898" s="33">
        <v>0.5</v>
      </c>
      <c r="H898" s="33" t="s">
        <v>215</v>
      </c>
      <c r="I898" s="33">
        <v>500</v>
      </c>
    </row>
    <row r="899" spans="1:9" x14ac:dyDescent="0.3">
      <c r="A899" s="30" t="s">
        <v>490</v>
      </c>
      <c r="B899" s="33" t="s">
        <v>23</v>
      </c>
      <c r="C899" s="33">
        <v>1</v>
      </c>
      <c r="D899" s="34" t="s">
        <v>200</v>
      </c>
      <c r="E899" s="34" t="s">
        <v>210</v>
      </c>
      <c r="F899" s="33">
        <v>0</v>
      </c>
      <c r="G899" s="33">
        <v>0.3</v>
      </c>
      <c r="H899" s="33" t="s">
        <v>215</v>
      </c>
      <c r="I899" s="33">
        <v>500</v>
      </c>
    </row>
    <row r="900" spans="1:9" x14ac:dyDescent="0.3">
      <c r="A900" s="30" t="s">
        <v>490</v>
      </c>
      <c r="B900" s="33" t="s">
        <v>23</v>
      </c>
      <c r="C900" s="33">
        <v>1</v>
      </c>
      <c r="D900" s="34" t="s">
        <v>200</v>
      </c>
      <c r="E900" s="34" t="s">
        <v>211</v>
      </c>
      <c r="F900" s="33">
        <v>0</v>
      </c>
      <c r="G900" s="33">
        <v>0.25</v>
      </c>
      <c r="H900" s="33" t="s">
        <v>215</v>
      </c>
      <c r="I900" s="33">
        <v>500</v>
      </c>
    </row>
    <row r="901" spans="1:9" x14ac:dyDescent="0.3">
      <c r="A901" s="30" t="s">
        <v>490</v>
      </c>
      <c r="B901" s="33" t="s">
        <v>23</v>
      </c>
      <c r="C901" s="33">
        <v>1</v>
      </c>
      <c r="D901" s="34" t="s">
        <v>200</v>
      </c>
      <c r="E901" s="34" t="s">
        <v>212</v>
      </c>
      <c r="F901" s="33">
        <v>0</v>
      </c>
      <c r="G901" s="33">
        <v>0.25</v>
      </c>
      <c r="H901" s="33" t="s">
        <v>215</v>
      </c>
      <c r="I901" s="33">
        <v>500</v>
      </c>
    </row>
    <row r="902" spans="1:9" x14ac:dyDescent="0.3">
      <c r="A902" s="30" t="s">
        <v>490</v>
      </c>
      <c r="B902" s="33" t="s">
        <v>23</v>
      </c>
      <c r="C902" s="33">
        <v>1</v>
      </c>
      <c r="D902" s="34" t="s">
        <v>200</v>
      </c>
      <c r="E902" s="34" t="s">
        <v>213</v>
      </c>
      <c r="F902" s="33">
        <v>0</v>
      </c>
      <c r="G902" s="33">
        <v>0.25</v>
      </c>
      <c r="H902" s="33" t="s">
        <v>215</v>
      </c>
      <c r="I902" s="33">
        <v>500</v>
      </c>
    </row>
    <row r="903" spans="1:9" x14ac:dyDescent="0.3">
      <c r="A903" s="30" t="s">
        <v>490</v>
      </c>
      <c r="B903" s="33" t="s">
        <v>23</v>
      </c>
      <c r="C903" s="33">
        <v>1</v>
      </c>
      <c r="D903" s="34" t="s">
        <v>200</v>
      </c>
      <c r="E903" s="34" t="s">
        <v>214</v>
      </c>
      <c r="F903" s="33">
        <v>0</v>
      </c>
      <c r="G903" s="33">
        <v>0.25</v>
      </c>
      <c r="H903" s="33" t="s">
        <v>215</v>
      </c>
      <c r="I903" s="33">
        <v>500</v>
      </c>
    </row>
    <row r="904" spans="1:9" x14ac:dyDescent="0.3">
      <c r="A904" s="30" t="s">
        <v>490</v>
      </c>
      <c r="B904" s="33" t="s">
        <v>23</v>
      </c>
      <c r="C904" s="33">
        <v>1</v>
      </c>
      <c r="D904" s="34" t="s">
        <v>200</v>
      </c>
      <c r="E904" s="34" t="s">
        <v>216</v>
      </c>
      <c r="F904" s="33">
        <v>0</v>
      </c>
      <c r="G904" s="33">
        <v>0.3</v>
      </c>
      <c r="H904" s="33" t="s">
        <v>202</v>
      </c>
      <c r="I904" s="33">
        <v>100</v>
      </c>
    </row>
    <row r="905" spans="1:9" x14ac:dyDescent="0.3">
      <c r="A905" s="30" t="s">
        <v>490</v>
      </c>
      <c r="B905" s="33" t="s">
        <v>23</v>
      </c>
      <c r="C905" s="33">
        <v>1</v>
      </c>
      <c r="D905" s="34" t="s">
        <v>200</v>
      </c>
      <c r="E905" s="34" t="s">
        <v>216</v>
      </c>
      <c r="F905" s="33">
        <v>0</v>
      </c>
      <c r="G905" s="33">
        <v>0.45</v>
      </c>
      <c r="H905" s="33" t="s">
        <v>215</v>
      </c>
      <c r="I905" s="33">
        <v>500</v>
      </c>
    </row>
    <row r="906" spans="1:9" x14ac:dyDescent="0.3">
      <c r="A906" s="30" t="s">
        <v>490</v>
      </c>
      <c r="B906" s="33" t="s">
        <v>23</v>
      </c>
      <c r="C906" s="33">
        <v>1</v>
      </c>
      <c r="D906" s="34" t="s">
        <v>200</v>
      </c>
      <c r="E906" s="34" t="s">
        <v>217</v>
      </c>
      <c r="F906" s="33">
        <v>0</v>
      </c>
      <c r="G906" s="33">
        <v>0.2</v>
      </c>
      <c r="H906" s="33" t="s">
        <v>202</v>
      </c>
      <c r="I906" s="33">
        <v>100</v>
      </c>
    </row>
    <row r="907" spans="1:9" x14ac:dyDescent="0.3">
      <c r="A907" s="30" t="s">
        <v>490</v>
      </c>
      <c r="B907" s="33" t="s">
        <v>23</v>
      </c>
      <c r="C907" s="33">
        <v>1</v>
      </c>
      <c r="D907" s="34" t="s">
        <v>200</v>
      </c>
      <c r="E907" s="34" t="s">
        <v>218</v>
      </c>
      <c r="F907" s="33">
        <v>0</v>
      </c>
      <c r="G907" s="33">
        <v>0.2</v>
      </c>
      <c r="H907" s="33" t="s">
        <v>202</v>
      </c>
      <c r="I907" s="33">
        <v>100</v>
      </c>
    </row>
    <row r="908" spans="1:9" x14ac:dyDescent="0.3">
      <c r="A908" s="30" t="s">
        <v>490</v>
      </c>
      <c r="B908" s="33" t="s">
        <v>23</v>
      </c>
      <c r="C908" s="33">
        <v>1</v>
      </c>
      <c r="D908" s="34" t="s">
        <v>200</v>
      </c>
      <c r="E908" s="34" t="s">
        <v>219</v>
      </c>
      <c r="F908" s="33">
        <v>0</v>
      </c>
      <c r="G908" s="33">
        <v>0.2</v>
      </c>
      <c r="H908" s="33" t="s">
        <v>202</v>
      </c>
      <c r="I908" s="33">
        <v>100</v>
      </c>
    </row>
    <row r="909" spans="1:9" x14ac:dyDescent="0.3">
      <c r="A909" s="30" t="s">
        <v>490</v>
      </c>
      <c r="B909" s="33" t="s">
        <v>23</v>
      </c>
      <c r="C909" s="33">
        <v>1</v>
      </c>
      <c r="D909" s="34" t="s">
        <v>200</v>
      </c>
      <c r="E909" s="34" t="s">
        <v>220</v>
      </c>
      <c r="F909" s="33">
        <v>0</v>
      </c>
      <c r="G909" s="33">
        <v>0.2</v>
      </c>
      <c r="H909" s="33" t="s">
        <v>202</v>
      </c>
      <c r="I909" s="33">
        <v>100</v>
      </c>
    </row>
    <row r="910" spans="1:9" x14ac:dyDescent="0.3">
      <c r="A910" s="30" t="s">
        <v>490</v>
      </c>
      <c r="B910" s="33" t="s">
        <v>23</v>
      </c>
      <c r="C910" s="33">
        <v>1</v>
      </c>
      <c r="D910" s="34" t="s">
        <v>200</v>
      </c>
      <c r="E910" s="34" t="s">
        <v>217</v>
      </c>
      <c r="F910" s="33">
        <v>0</v>
      </c>
      <c r="G910" s="33">
        <v>0.35</v>
      </c>
      <c r="H910" s="33" t="s">
        <v>215</v>
      </c>
      <c r="I910" s="33">
        <v>500</v>
      </c>
    </row>
    <row r="911" spans="1:9" x14ac:dyDescent="0.3">
      <c r="A911" s="30" t="s">
        <v>490</v>
      </c>
      <c r="B911" s="33" t="s">
        <v>23</v>
      </c>
      <c r="C911" s="33">
        <v>1</v>
      </c>
      <c r="D911" s="34" t="s">
        <v>200</v>
      </c>
      <c r="E911" s="34" t="s">
        <v>218</v>
      </c>
      <c r="F911" s="33">
        <v>0</v>
      </c>
      <c r="G911" s="33">
        <v>0.35</v>
      </c>
      <c r="H911" s="33" t="s">
        <v>215</v>
      </c>
      <c r="I911" s="33">
        <v>500</v>
      </c>
    </row>
    <row r="912" spans="1:9" x14ac:dyDescent="0.3">
      <c r="A912" s="30" t="s">
        <v>490</v>
      </c>
      <c r="B912" s="33" t="s">
        <v>23</v>
      </c>
      <c r="C912" s="33">
        <v>1</v>
      </c>
      <c r="D912" s="34" t="s">
        <v>200</v>
      </c>
      <c r="E912" s="34" t="s">
        <v>219</v>
      </c>
      <c r="F912" s="33">
        <v>0</v>
      </c>
      <c r="G912" s="33">
        <v>0.35</v>
      </c>
      <c r="H912" s="33" t="s">
        <v>215</v>
      </c>
      <c r="I912" s="33">
        <v>500</v>
      </c>
    </row>
    <row r="913" spans="1:9" x14ac:dyDescent="0.3">
      <c r="A913" s="30" t="s">
        <v>490</v>
      </c>
      <c r="B913" s="33" t="s">
        <v>23</v>
      </c>
      <c r="C913" s="33">
        <v>1</v>
      </c>
      <c r="D913" s="34" t="s">
        <v>200</v>
      </c>
      <c r="E913" s="34" t="s">
        <v>220</v>
      </c>
      <c r="F913" s="33">
        <v>0</v>
      </c>
      <c r="G913" s="33">
        <v>0.35</v>
      </c>
      <c r="H913" s="33" t="s">
        <v>215</v>
      </c>
      <c r="I913" s="33">
        <v>500</v>
      </c>
    </row>
    <row r="914" spans="1:9" x14ac:dyDescent="0.3">
      <c r="A914" s="30" t="s">
        <v>490</v>
      </c>
      <c r="B914" s="33" t="s">
        <v>23</v>
      </c>
      <c r="C914" s="33">
        <v>1</v>
      </c>
      <c r="D914" s="34" t="s">
        <v>221</v>
      </c>
      <c r="E914" s="34" t="s">
        <v>198</v>
      </c>
      <c r="F914" s="33">
        <v>0</v>
      </c>
      <c r="G914" s="33">
        <v>0.5</v>
      </c>
      <c r="H914" s="33"/>
      <c r="I914" s="33">
        <v>0</v>
      </c>
    </row>
    <row r="915" spans="1:9" x14ac:dyDescent="0.3">
      <c r="A915" s="30" t="s">
        <v>491</v>
      </c>
      <c r="B915" s="33" t="s">
        <v>23</v>
      </c>
      <c r="C915" s="33">
        <v>1</v>
      </c>
      <c r="D915" s="34" t="s">
        <v>188</v>
      </c>
      <c r="E915" s="34" t="s">
        <v>189</v>
      </c>
      <c r="F915" s="33">
        <v>0</v>
      </c>
      <c r="G915" s="33">
        <v>0.15</v>
      </c>
      <c r="H915" s="33"/>
      <c r="I915" s="33">
        <v>0</v>
      </c>
    </row>
    <row r="916" spans="1:9" x14ac:dyDescent="0.3">
      <c r="A916" s="30" t="s">
        <v>491</v>
      </c>
      <c r="B916" s="33" t="s">
        <v>23</v>
      </c>
      <c r="C916" s="33">
        <v>1</v>
      </c>
      <c r="D916" s="34" t="s">
        <v>190</v>
      </c>
      <c r="E916" s="34" t="s">
        <v>198</v>
      </c>
      <c r="F916" s="33">
        <v>0</v>
      </c>
      <c r="G916" s="33">
        <v>0.3</v>
      </c>
      <c r="H916" s="33"/>
      <c r="I916" s="33">
        <v>0</v>
      </c>
    </row>
    <row r="917" spans="1:9" x14ac:dyDescent="0.3">
      <c r="A917" s="30" t="s">
        <v>491</v>
      </c>
      <c r="B917" s="33" t="s">
        <v>23</v>
      </c>
      <c r="C917" s="33">
        <v>1</v>
      </c>
      <c r="D917" s="34" t="s">
        <v>197</v>
      </c>
      <c r="E917" s="34" t="s">
        <v>198</v>
      </c>
      <c r="F917" s="33">
        <v>0</v>
      </c>
      <c r="G917" s="33">
        <v>0.05</v>
      </c>
      <c r="H917" s="33"/>
      <c r="I917" s="33">
        <v>0</v>
      </c>
    </row>
    <row r="918" spans="1:9" x14ac:dyDescent="0.3">
      <c r="A918" s="30" t="s">
        <v>491</v>
      </c>
      <c r="B918" s="33" t="s">
        <v>23</v>
      </c>
      <c r="C918" s="33">
        <v>1</v>
      </c>
      <c r="D918" s="34" t="s">
        <v>197</v>
      </c>
      <c r="E918" s="34" t="s">
        <v>199</v>
      </c>
      <c r="F918" s="33">
        <v>0</v>
      </c>
      <c r="G918" s="33">
        <v>0</v>
      </c>
      <c r="H918" s="33"/>
      <c r="I918" s="33">
        <v>0</v>
      </c>
    </row>
    <row r="919" spans="1:9" x14ac:dyDescent="0.3">
      <c r="A919" s="30" t="s">
        <v>491</v>
      </c>
      <c r="B919" s="33" t="s">
        <v>23</v>
      </c>
      <c r="C919" s="33">
        <v>1</v>
      </c>
      <c r="D919" s="34" t="s">
        <v>200</v>
      </c>
      <c r="E919" s="34" t="s">
        <v>201</v>
      </c>
      <c r="F919" s="33">
        <v>0</v>
      </c>
      <c r="G919" s="33">
        <v>0.35</v>
      </c>
      <c r="H919" s="33" t="s">
        <v>202</v>
      </c>
      <c r="I919" s="33">
        <v>100</v>
      </c>
    </row>
    <row r="920" spans="1:9" x14ac:dyDescent="0.3">
      <c r="A920" s="30" t="s">
        <v>491</v>
      </c>
      <c r="B920" s="33" t="s">
        <v>23</v>
      </c>
      <c r="C920" s="33">
        <v>1</v>
      </c>
      <c r="D920" s="34" t="s">
        <v>200</v>
      </c>
      <c r="E920" s="34" t="s">
        <v>203</v>
      </c>
      <c r="F920" s="33">
        <v>0</v>
      </c>
      <c r="G920" s="33">
        <v>0.3</v>
      </c>
      <c r="H920" s="33" t="s">
        <v>202</v>
      </c>
      <c r="I920" s="33">
        <v>100</v>
      </c>
    </row>
    <row r="921" spans="1:9" x14ac:dyDescent="0.3">
      <c r="A921" s="30" t="s">
        <v>491</v>
      </c>
      <c r="B921" s="33" t="s">
        <v>23</v>
      </c>
      <c r="C921" s="33">
        <v>1</v>
      </c>
      <c r="D921" s="34" t="s">
        <v>200</v>
      </c>
      <c r="E921" s="34" t="s">
        <v>204</v>
      </c>
      <c r="F921" s="33">
        <v>0</v>
      </c>
      <c r="G921" s="33">
        <v>0.3</v>
      </c>
      <c r="H921" s="33" t="s">
        <v>202</v>
      </c>
      <c r="I921" s="33">
        <v>100</v>
      </c>
    </row>
    <row r="922" spans="1:9" x14ac:dyDescent="0.3">
      <c r="A922" s="30" t="s">
        <v>491</v>
      </c>
      <c r="B922" s="33" t="s">
        <v>23</v>
      </c>
      <c r="C922" s="33">
        <v>1</v>
      </c>
      <c r="D922" s="34" t="s">
        <v>200</v>
      </c>
      <c r="E922" s="34" t="s">
        <v>205</v>
      </c>
      <c r="F922" s="33">
        <v>0</v>
      </c>
      <c r="G922" s="33">
        <v>0.3</v>
      </c>
      <c r="H922" s="33" t="s">
        <v>202</v>
      </c>
      <c r="I922" s="33">
        <v>100</v>
      </c>
    </row>
    <row r="923" spans="1:9" x14ac:dyDescent="0.3">
      <c r="A923" s="30" t="s">
        <v>491</v>
      </c>
      <c r="B923" s="33" t="s">
        <v>23</v>
      </c>
      <c r="C923" s="33">
        <v>1</v>
      </c>
      <c r="D923" s="34" t="s">
        <v>200</v>
      </c>
      <c r="E923" s="34" t="s">
        <v>206</v>
      </c>
      <c r="F923" s="33">
        <v>0</v>
      </c>
      <c r="G923" s="33">
        <v>0.3</v>
      </c>
      <c r="H923" s="33" t="s">
        <v>202</v>
      </c>
      <c r="I923" s="33">
        <v>100</v>
      </c>
    </row>
    <row r="924" spans="1:9" x14ac:dyDescent="0.3">
      <c r="A924" s="30" t="s">
        <v>491</v>
      </c>
      <c r="B924" s="33" t="s">
        <v>23</v>
      </c>
      <c r="C924" s="33">
        <v>1</v>
      </c>
      <c r="D924" s="34" t="s">
        <v>200</v>
      </c>
      <c r="E924" s="34" t="s">
        <v>207</v>
      </c>
      <c r="F924" s="33">
        <v>0</v>
      </c>
      <c r="G924" s="33">
        <v>0.2</v>
      </c>
      <c r="H924" s="33" t="s">
        <v>202</v>
      </c>
      <c r="I924" s="33">
        <v>100</v>
      </c>
    </row>
    <row r="925" spans="1:9" x14ac:dyDescent="0.3">
      <c r="A925" s="30" t="s">
        <v>491</v>
      </c>
      <c r="B925" s="33" t="s">
        <v>23</v>
      </c>
      <c r="C925" s="33">
        <v>1</v>
      </c>
      <c r="D925" s="34" t="s">
        <v>200</v>
      </c>
      <c r="E925" s="34" t="s">
        <v>208</v>
      </c>
      <c r="F925" s="33">
        <v>0</v>
      </c>
      <c r="G925" s="33">
        <v>0.2</v>
      </c>
      <c r="H925" s="33" t="s">
        <v>202</v>
      </c>
      <c r="I925" s="33">
        <v>100</v>
      </c>
    </row>
    <row r="926" spans="1:9" x14ac:dyDescent="0.3">
      <c r="A926" s="30" t="s">
        <v>491</v>
      </c>
      <c r="B926" s="33" t="s">
        <v>23</v>
      </c>
      <c r="C926" s="33">
        <v>1</v>
      </c>
      <c r="D926" s="34" t="s">
        <v>200</v>
      </c>
      <c r="E926" s="34" t="s">
        <v>209</v>
      </c>
      <c r="F926" s="33">
        <v>0</v>
      </c>
      <c r="G926" s="33">
        <v>0.3</v>
      </c>
      <c r="H926" s="33" t="s">
        <v>202</v>
      </c>
      <c r="I926" s="33">
        <v>100</v>
      </c>
    </row>
    <row r="927" spans="1:9" x14ac:dyDescent="0.3">
      <c r="A927" s="30" t="s">
        <v>491</v>
      </c>
      <c r="B927" s="33" t="s">
        <v>23</v>
      </c>
      <c r="C927" s="33">
        <v>1</v>
      </c>
      <c r="D927" s="34" t="s">
        <v>200</v>
      </c>
      <c r="E927" s="34" t="s">
        <v>210</v>
      </c>
      <c r="F927" s="33">
        <v>0</v>
      </c>
      <c r="G927" s="33">
        <v>0.2</v>
      </c>
      <c r="H927" s="33" t="s">
        <v>202</v>
      </c>
      <c r="I927" s="33">
        <v>100</v>
      </c>
    </row>
    <row r="928" spans="1:9" x14ac:dyDescent="0.3">
      <c r="A928" s="30" t="s">
        <v>491</v>
      </c>
      <c r="B928" s="33" t="s">
        <v>23</v>
      </c>
      <c r="C928" s="33">
        <v>1</v>
      </c>
      <c r="D928" s="34" t="s">
        <v>200</v>
      </c>
      <c r="E928" s="34" t="s">
        <v>211</v>
      </c>
      <c r="F928" s="33">
        <v>0</v>
      </c>
      <c r="G928" s="33">
        <v>0.15</v>
      </c>
      <c r="H928" s="33" t="s">
        <v>202</v>
      </c>
      <c r="I928" s="33">
        <v>100</v>
      </c>
    </row>
    <row r="929" spans="1:9" x14ac:dyDescent="0.3">
      <c r="A929" s="30" t="s">
        <v>491</v>
      </c>
      <c r="B929" s="33" t="s">
        <v>23</v>
      </c>
      <c r="C929" s="33">
        <v>1</v>
      </c>
      <c r="D929" s="34" t="s">
        <v>200</v>
      </c>
      <c r="E929" s="34" t="s">
        <v>212</v>
      </c>
      <c r="F929" s="33">
        <v>0</v>
      </c>
      <c r="G929" s="33">
        <v>0.15</v>
      </c>
      <c r="H929" s="33" t="s">
        <v>202</v>
      </c>
      <c r="I929" s="33">
        <v>100</v>
      </c>
    </row>
    <row r="930" spans="1:9" x14ac:dyDescent="0.3">
      <c r="A930" s="30" t="s">
        <v>491</v>
      </c>
      <c r="B930" s="33" t="s">
        <v>23</v>
      </c>
      <c r="C930" s="33">
        <v>1</v>
      </c>
      <c r="D930" s="34" t="s">
        <v>200</v>
      </c>
      <c r="E930" s="34" t="s">
        <v>213</v>
      </c>
      <c r="F930" s="33">
        <v>0</v>
      </c>
      <c r="G930" s="33">
        <v>0.15</v>
      </c>
      <c r="H930" s="33" t="s">
        <v>202</v>
      </c>
      <c r="I930" s="33">
        <v>100</v>
      </c>
    </row>
    <row r="931" spans="1:9" x14ac:dyDescent="0.3">
      <c r="A931" s="30" t="s">
        <v>491</v>
      </c>
      <c r="B931" s="33" t="s">
        <v>23</v>
      </c>
      <c r="C931" s="33">
        <v>1</v>
      </c>
      <c r="D931" s="34" t="s">
        <v>200</v>
      </c>
      <c r="E931" s="34" t="s">
        <v>214</v>
      </c>
      <c r="F931" s="33">
        <v>0</v>
      </c>
      <c r="G931" s="33">
        <v>0.15</v>
      </c>
      <c r="H931" s="33" t="s">
        <v>202</v>
      </c>
      <c r="I931" s="33">
        <v>100</v>
      </c>
    </row>
    <row r="932" spans="1:9" x14ac:dyDescent="0.3">
      <c r="A932" s="30" t="s">
        <v>491</v>
      </c>
      <c r="B932" s="33" t="s">
        <v>23</v>
      </c>
      <c r="C932" s="33">
        <v>1</v>
      </c>
      <c r="D932" s="34" t="s">
        <v>200</v>
      </c>
      <c r="E932" s="34" t="s">
        <v>201</v>
      </c>
      <c r="F932" s="33">
        <v>0</v>
      </c>
      <c r="G932" s="33">
        <v>0.5</v>
      </c>
      <c r="H932" s="33" t="s">
        <v>215</v>
      </c>
      <c r="I932" s="33">
        <v>500</v>
      </c>
    </row>
    <row r="933" spans="1:9" x14ac:dyDescent="0.3">
      <c r="A933" s="30" t="s">
        <v>491</v>
      </c>
      <c r="B933" s="33" t="s">
        <v>23</v>
      </c>
      <c r="C933" s="33">
        <v>1</v>
      </c>
      <c r="D933" s="34" t="s">
        <v>200</v>
      </c>
      <c r="E933" s="34" t="s">
        <v>203</v>
      </c>
      <c r="F933" s="33">
        <v>0</v>
      </c>
      <c r="G933" s="33">
        <v>0.5</v>
      </c>
      <c r="H933" s="33" t="s">
        <v>215</v>
      </c>
      <c r="I933" s="33">
        <v>500</v>
      </c>
    </row>
    <row r="934" spans="1:9" x14ac:dyDescent="0.3">
      <c r="A934" s="30" t="s">
        <v>491</v>
      </c>
      <c r="B934" s="33" t="s">
        <v>23</v>
      </c>
      <c r="C934" s="33">
        <v>1</v>
      </c>
      <c r="D934" s="34" t="s">
        <v>200</v>
      </c>
      <c r="E934" s="34" t="s">
        <v>204</v>
      </c>
      <c r="F934" s="33">
        <v>0</v>
      </c>
      <c r="G934" s="33">
        <v>0.5</v>
      </c>
      <c r="H934" s="33" t="s">
        <v>215</v>
      </c>
      <c r="I934" s="33">
        <v>500</v>
      </c>
    </row>
    <row r="935" spans="1:9" x14ac:dyDescent="0.3">
      <c r="A935" s="30" t="s">
        <v>491</v>
      </c>
      <c r="B935" s="33" t="s">
        <v>23</v>
      </c>
      <c r="C935" s="33">
        <v>1</v>
      </c>
      <c r="D935" s="34" t="s">
        <v>200</v>
      </c>
      <c r="E935" s="34" t="s">
        <v>205</v>
      </c>
      <c r="F935" s="33">
        <v>0</v>
      </c>
      <c r="G935" s="33">
        <v>0.5</v>
      </c>
      <c r="H935" s="33" t="s">
        <v>215</v>
      </c>
      <c r="I935" s="33">
        <v>500</v>
      </c>
    </row>
    <row r="936" spans="1:9" x14ac:dyDescent="0.3">
      <c r="A936" s="30" t="s">
        <v>491</v>
      </c>
      <c r="B936" s="33" t="s">
        <v>23</v>
      </c>
      <c r="C936" s="33">
        <v>1</v>
      </c>
      <c r="D936" s="34" t="s">
        <v>200</v>
      </c>
      <c r="E936" s="34" t="s">
        <v>206</v>
      </c>
      <c r="F936" s="33">
        <v>0</v>
      </c>
      <c r="G936" s="33">
        <v>0.5</v>
      </c>
      <c r="H936" s="33" t="s">
        <v>215</v>
      </c>
      <c r="I936" s="33">
        <v>500</v>
      </c>
    </row>
    <row r="937" spans="1:9" x14ac:dyDescent="0.3">
      <c r="A937" s="30" t="s">
        <v>491</v>
      </c>
      <c r="B937" s="33" t="s">
        <v>23</v>
      </c>
      <c r="C937" s="33">
        <v>1</v>
      </c>
      <c r="D937" s="34" t="s">
        <v>200</v>
      </c>
      <c r="E937" s="34" t="s">
        <v>207</v>
      </c>
      <c r="F937" s="33">
        <v>0</v>
      </c>
      <c r="G937" s="33">
        <v>0.35</v>
      </c>
      <c r="H937" s="33" t="s">
        <v>215</v>
      </c>
      <c r="I937" s="33">
        <v>500</v>
      </c>
    </row>
    <row r="938" spans="1:9" x14ac:dyDescent="0.3">
      <c r="A938" s="30" t="s">
        <v>491</v>
      </c>
      <c r="B938" s="33" t="s">
        <v>23</v>
      </c>
      <c r="C938" s="33">
        <v>1</v>
      </c>
      <c r="D938" s="34" t="s">
        <v>200</v>
      </c>
      <c r="E938" s="34" t="s">
        <v>208</v>
      </c>
      <c r="F938" s="33">
        <v>0</v>
      </c>
      <c r="G938" s="33">
        <v>0.3</v>
      </c>
      <c r="H938" s="33" t="s">
        <v>215</v>
      </c>
      <c r="I938" s="33">
        <v>500</v>
      </c>
    </row>
    <row r="939" spans="1:9" x14ac:dyDescent="0.3">
      <c r="A939" s="30" t="s">
        <v>491</v>
      </c>
      <c r="B939" s="33" t="s">
        <v>23</v>
      </c>
      <c r="C939" s="33">
        <v>1</v>
      </c>
      <c r="D939" s="34" t="s">
        <v>200</v>
      </c>
      <c r="E939" s="34" t="s">
        <v>209</v>
      </c>
      <c r="F939" s="33">
        <v>0</v>
      </c>
      <c r="G939" s="33">
        <v>0.5</v>
      </c>
      <c r="H939" s="33" t="s">
        <v>215</v>
      </c>
      <c r="I939" s="33">
        <v>500</v>
      </c>
    </row>
    <row r="940" spans="1:9" x14ac:dyDescent="0.3">
      <c r="A940" s="30" t="s">
        <v>491</v>
      </c>
      <c r="B940" s="33" t="s">
        <v>23</v>
      </c>
      <c r="C940" s="33">
        <v>1</v>
      </c>
      <c r="D940" s="34" t="s">
        <v>200</v>
      </c>
      <c r="E940" s="34" t="s">
        <v>210</v>
      </c>
      <c r="F940" s="33">
        <v>0</v>
      </c>
      <c r="G940" s="33">
        <v>0.3</v>
      </c>
      <c r="H940" s="33" t="s">
        <v>215</v>
      </c>
      <c r="I940" s="33">
        <v>500</v>
      </c>
    </row>
    <row r="941" spans="1:9" x14ac:dyDescent="0.3">
      <c r="A941" s="30" t="s">
        <v>491</v>
      </c>
      <c r="B941" s="33" t="s">
        <v>23</v>
      </c>
      <c r="C941" s="33">
        <v>1</v>
      </c>
      <c r="D941" s="34" t="s">
        <v>200</v>
      </c>
      <c r="E941" s="34" t="s">
        <v>211</v>
      </c>
      <c r="F941" s="33">
        <v>0</v>
      </c>
      <c r="G941" s="33">
        <v>0.25</v>
      </c>
      <c r="H941" s="33" t="s">
        <v>215</v>
      </c>
      <c r="I941" s="33">
        <v>500</v>
      </c>
    </row>
    <row r="942" spans="1:9" x14ac:dyDescent="0.3">
      <c r="A942" s="30" t="s">
        <v>491</v>
      </c>
      <c r="B942" s="33" t="s">
        <v>23</v>
      </c>
      <c r="C942" s="33">
        <v>1</v>
      </c>
      <c r="D942" s="34" t="s">
        <v>200</v>
      </c>
      <c r="E942" s="34" t="s">
        <v>212</v>
      </c>
      <c r="F942" s="33">
        <v>0</v>
      </c>
      <c r="G942" s="33">
        <v>0.25</v>
      </c>
      <c r="H942" s="33" t="s">
        <v>215</v>
      </c>
      <c r="I942" s="33">
        <v>500</v>
      </c>
    </row>
    <row r="943" spans="1:9" x14ac:dyDescent="0.3">
      <c r="A943" s="30" t="s">
        <v>491</v>
      </c>
      <c r="B943" s="33" t="s">
        <v>23</v>
      </c>
      <c r="C943" s="33">
        <v>1</v>
      </c>
      <c r="D943" s="34" t="s">
        <v>200</v>
      </c>
      <c r="E943" s="34" t="s">
        <v>213</v>
      </c>
      <c r="F943" s="33">
        <v>0</v>
      </c>
      <c r="G943" s="33">
        <v>0.25</v>
      </c>
      <c r="H943" s="33" t="s">
        <v>215</v>
      </c>
      <c r="I943" s="33">
        <v>500</v>
      </c>
    </row>
    <row r="944" spans="1:9" x14ac:dyDescent="0.3">
      <c r="A944" s="30" t="s">
        <v>491</v>
      </c>
      <c r="B944" s="33" t="s">
        <v>23</v>
      </c>
      <c r="C944" s="33">
        <v>1</v>
      </c>
      <c r="D944" s="34" t="s">
        <v>200</v>
      </c>
      <c r="E944" s="34" t="s">
        <v>214</v>
      </c>
      <c r="F944" s="33">
        <v>0</v>
      </c>
      <c r="G944" s="33">
        <v>0.25</v>
      </c>
      <c r="H944" s="33" t="s">
        <v>215</v>
      </c>
      <c r="I944" s="33">
        <v>500</v>
      </c>
    </row>
    <row r="945" spans="1:9" x14ac:dyDescent="0.3">
      <c r="A945" s="30" t="s">
        <v>491</v>
      </c>
      <c r="B945" s="33" t="s">
        <v>23</v>
      </c>
      <c r="C945" s="33">
        <v>1</v>
      </c>
      <c r="D945" s="34" t="s">
        <v>200</v>
      </c>
      <c r="E945" s="34" t="s">
        <v>216</v>
      </c>
      <c r="F945" s="33">
        <v>0</v>
      </c>
      <c r="G945" s="33">
        <v>0.3</v>
      </c>
      <c r="H945" s="33" t="s">
        <v>202</v>
      </c>
      <c r="I945" s="33">
        <v>100</v>
      </c>
    </row>
    <row r="946" spans="1:9" x14ac:dyDescent="0.3">
      <c r="A946" s="30" t="s">
        <v>491</v>
      </c>
      <c r="B946" s="33" t="s">
        <v>23</v>
      </c>
      <c r="C946" s="33">
        <v>1</v>
      </c>
      <c r="D946" s="34" t="s">
        <v>200</v>
      </c>
      <c r="E946" s="34" t="s">
        <v>216</v>
      </c>
      <c r="F946" s="33">
        <v>0</v>
      </c>
      <c r="G946" s="33">
        <v>0.45</v>
      </c>
      <c r="H946" s="33" t="s">
        <v>215</v>
      </c>
      <c r="I946" s="33">
        <v>500</v>
      </c>
    </row>
    <row r="947" spans="1:9" x14ac:dyDescent="0.3">
      <c r="A947" s="30" t="s">
        <v>491</v>
      </c>
      <c r="B947" s="33" t="s">
        <v>23</v>
      </c>
      <c r="C947" s="33">
        <v>1</v>
      </c>
      <c r="D947" s="34" t="s">
        <v>200</v>
      </c>
      <c r="E947" s="34" t="s">
        <v>217</v>
      </c>
      <c r="F947" s="33">
        <v>0</v>
      </c>
      <c r="G947" s="33">
        <v>0.2</v>
      </c>
      <c r="H947" s="33" t="s">
        <v>202</v>
      </c>
      <c r="I947" s="33">
        <v>100</v>
      </c>
    </row>
    <row r="948" spans="1:9" x14ac:dyDescent="0.3">
      <c r="A948" s="30" t="s">
        <v>491</v>
      </c>
      <c r="B948" s="33" t="s">
        <v>23</v>
      </c>
      <c r="C948" s="33">
        <v>1</v>
      </c>
      <c r="D948" s="34" t="s">
        <v>200</v>
      </c>
      <c r="E948" s="34" t="s">
        <v>218</v>
      </c>
      <c r="F948" s="33">
        <v>0</v>
      </c>
      <c r="G948" s="33">
        <v>0.2</v>
      </c>
      <c r="H948" s="33" t="s">
        <v>202</v>
      </c>
      <c r="I948" s="33">
        <v>100</v>
      </c>
    </row>
    <row r="949" spans="1:9" x14ac:dyDescent="0.3">
      <c r="A949" s="30" t="s">
        <v>491</v>
      </c>
      <c r="B949" s="33" t="s">
        <v>23</v>
      </c>
      <c r="C949" s="33">
        <v>1</v>
      </c>
      <c r="D949" s="34" t="s">
        <v>200</v>
      </c>
      <c r="E949" s="34" t="s">
        <v>219</v>
      </c>
      <c r="F949" s="33">
        <v>0</v>
      </c>
      <c r="G949" s="33">
        <v>0.2</v>
      </c>
      <c r="H949" s="33" t="s">
        <v>202</v>
      </c>
      <c r="I949" s="33">
        <v>100</v>
      </c>
    </row>
    <row r="950" spans="1:9" x14ac:dyDescent="0.3">
      <c r="A950" s="30" t="s">
        <v>491</v>
      </c>
      <c r="B950" s="33" t="s">
        <v>23</v>
      </c>
      <c r="C950" s="33">
        <v>1</v>
      </c>
      <c r="D950" s="34" t="s">
        <v>200</v>
      </c>
      <c r="E950" s="34" t="s">
        <v>220</v>
      </c>
      <c r="F950" s="33">
        <v>0</v>
      </c>
      <c r="G950" s="33">
        <v>0.2</v>
      </c>
      <c r="H950" s="33" t="s">
        <v>202</v>
      </c>
      <c r="I950" s="33">
        <v>100</v>
      </c>
    </row>
    <row r="951" spans="1:9" x14ac:dyDescent="0.3">
      <c r="A951" s="30" t="s">
        <v>491</v>
      </c>
      <c r="B951" s="33" t="s">
        <v>23</v>
      </c>
      <c r="C951" s="33">
        <v>1</v>
      </c>
      <c r="D951" s="34" t="s">
        <v>200</v>
      </c>
      <c r="E951" s="34" t="s">
        <v>217</v>
      </c>
      <c r="F951" s="33">
        <v>0</v>
      </c>
      <c r="G951" s="33">
        <v>0.35</v>
      </c>
      <c r="H951" s="33" t="s">
        <v>215</v>
      </c>
      <c r="I951" s="33">
        <v>500</v>
      </c>
    </row>
    <row r="952" spans="1:9" x14ac:dyDescent="0.3">
      <c r="A952" s="30" t="s">
        <v>491</v>
      </c>
      <c r="B952" s="33" t="s">
        <v>23</v>
      </c>
      <c r="C952" s="33">
        <v>1</v>
      </c>
      <c r="D952" s="34" t="s">
        <v>200</v>
      </c>
      <c r="E952" s="34" t="s">
        <v>218</v>
      </c>
      <c r="F952" s="33">
        <v>0</v>
      </c>
      <c r="G952" s="33">
        <v>0.35</v>
      </c>
      <c r="H952" s="33" t="s">
        <v>215</v>
      </c>
      <c r="I952" s="33">
        <v>500</v>
      </c>
    </row>
    <row r="953" spans="1:9" x14ac:dyDescent="0.3">
      <c r="A953" s="30" t="s">
        <v>491</v>
      </c>
      <c r="B953" s="33" t="s">
        <v>23</v>
      </c>
      <c r="C953" s="33">
        <v>1</v>
      </c>
      <c r="D953" s="34" t="s">
        <v>200</v>
      </c>
      <c r="E953" s="34" t="s">
        <v>219</v>
      </c>
      <c r="F953" s="33">
        <v>0</v>
      </c>
      <c r="G953" s="33">
        <v>0.35</v>
      </c>
      <c r="H953" s="33" t="s">
        <v>215</v>
      </c>
      <c r="I953" s="33">
        <v>500</v>
      </c>
    </row>
    <row r="954" spans="1:9" x14ac:dyDescent="0.3">
      <c r="A954" s="30" t="s">
        <v>491</v>
      </c>
      <c r="B954" s="33" t="s">
        <v>23</v>
      </c>
      <c r="C954" s="33">
        <v>1</v>
      </c>
      <c r="D954" s="34" t="s">
        <v>200</v>
      </c>
      <c r="E954" s="34" t="s">
        <v>220</v>
      </c>
      <c r="F954" s="33">
        <v>0</v>
      </c>
      <c r="G954" s="33">
        <v>0.35</v>
      </c>
      <c r="H954" s="33" t="s">
        <v>215</v>
      </c>
      <c r="I954" s="33">
        <v>500</v>
      </c>
    </row>
    <row r="955" spans="1:9" x14ac:dyDescent="0.3">
      <c r="A955" s="30" t="s">
        <v>491</v>
      </c>
      <c r="B955" s="33" t="s">
        <v>23</v>
      </c>
      <c r="C955" s="33">
        <v>1</v>
      </c>
      <c r="D955" s="34" t="s">
        <v>221</v>
      </c>
      <c r="E955" s="34" t="s">
        <v>198</v>
      </c>
      <c r="F955" s="33">
        <v>0</v>
      </c>
      <c r="G955" s="33">
        <v>0.5</v>
      </c>
      <c r="H955" s="33"/>
      <c r="I955" s="33">
        <v>0</v>
      </c>
    </row>
    <row r="956" spans="1:9" x14ac:dyDescent="0.3">
      <c r="A956" s="30" t="s">
        <v>492</v>
      </c>
      <c r="B956" s="33" t="s">
        <v>23</v>
      </c>
      <c r="C956" s="33">
        <v>1</v>
      </c>
      <c r="D956" s="34" t="s">
        <v>188</v>
      </c>
      <c r="E956" s="34" t="s">
        <v>189</v>
      </c>
      <c r="F956" s="33">
        <v>0</v>
      </c>
      <c r="G956" s="33">
        <v>0.15</v>
      </c>
      <c r="H956" s="33"/>
      <c r="I956" s="33">
        <v>0</v>
      </c>
    </row>
    <row r="957" spans="1:9" x14ac:dyDescent="0.3">
      <c r="A957" s="30" t="s">
        <v>492</v>
      </c>
      <c r="B957" s="33" t="s">
        <v>23</v>
      </c>
      <c r="C957" s="33">
        <v>1</v>
      </c>
      <c r="D957" s="34" t="s">
        <v>190</v>
      </c>
      <c r="E957" s="34" t="s">
        <v>198</v>
      </c>
      <c r="F957" s="33">
        <v>0</v>
      </c>
      <c r="G957" s="33">
        <v>0.3</v>
      </c>
      <c r="H957" s="33"/>
      <c r="I957" s="33">
        <v>0</v>
      </c>
    </row>
    <row r="958" spans="1:9" x14ac:dyDescent="0.3">
      <c r="A958" s="30" t="s">
        <v>492</v>
      </c>
      <c r="B958" s="33" t="s">
        <v>23</v>
      </c>
      <c r="C958" s="33">
        <v>1</v>
      </c>
      <c r="D958" s="34" t="s">
        <v>197</v>
      </c>
      <c r="E958" s="34" t="s">
        <v>198</v>
      </c>
      <c r="F958" s="33">
        <v>0</v>
      </c>
      <c r="G958" s="33">
        <v>0.05</v>
      </c>
      <c r="H958" s="33"/>
      <c r="I958" s="33">
        <v>0</v>
      </c>
    </row>
    <row r="959" spans="1:9" x14ac:dyDescent="0.3">
      <c r="A959" s="30" t="s">
        <v>492</v>
      </c>
      <c r="B959" s="33" t="s">
        <v>23</v>
      </c>
      <c r="C959" s="33">
        <v>1</v>
      </c>
      <c r="D959" s="34" t="s">
        <v>197</v>
      </c>
      <c r="E959" s="34" t="s">
        <v>199</v>
      </c>
      <c r="F959" s="33">
        <v>0</v>
      </c>
      <c r="G959" s="33">
        <v>0</v>
      </c>
      <c r="H959" s="33"/>
      <c r="I959" s="33">
        <v>0</v>
      </c>
    </row>
    <row r="960" spans="1:9" x14ac:dyDescent="0.3">
      <c r="A960" s="30" t="s">
        <v>492</v>
      </c>
      <c r="B960" s="33" t="s">
        <v>23</v>
      </c>
      <c r="C960" s="33">
        <v>1</v>
      </c>
      <c r="D960" s="34" t="s">
        <v>200</v>
      </c>
      <c r="E960" s="34" t="s">
        <v>201</v>
      </c>
      <c r="F960" s="33">
        <v>0</v>
      </c>
      <c r="G960" s="33">
        <v>0.35</v>
      </c>
      <c r="H960" s="33" t="s">
        <v>202</v>
      </c>
      <c r="I960" s="33">
        <v>100</v>
      </c>
    </row>
    <row r="961" spans="1:9" x14ac:dyDescent="0.3">
      <c r="A961" s="30" t="s">
        <v>492</v>
      </c>
      <c r="B961" s="33" t="s">
        <v>23</v>
      </c>
      <c r="C961" s="33">
        <v>1</v>
      </c>
      <c r="D961" s="34" t="s">
        <v>200</v>
      </c>
      <c r="E961" s="34" t="s">
        <v>203</v>
      </c>
      <c r="F961" s="33">
        <v>0</v>
      </c>
      <c r="G961" s="33">
        <v>0.3</v>
      </c>
      <c r="H961" s="33" t="s">
        <v>202</v>
      </c>
      <c r="I961" s="33">
        <v>100</v>
      </c>
    </row>
    <row r="962" spans="1:9" x14ac:dyDescent="0.3">
      <c r="A962" s="30" t="s">
        <v>492</v>
      </c>
      <c r="B962" s="33" t="s">
        <v>23</v>
      </c>
      <c r="C962" s="33">
        <v>1</v>
      </c>
      <c r="D962" s="34" t="s">
        <v>200</v>
      </c>
      <c r="E962" s="34" t="s">
        <v>204</v>
      </c>
      <c r="F962" s="33">
        <v>0</v>
      </c>
      <c r="G962" s="33">
        <v>0.3</v>
      </c>
      <c r="H962" s="33" t="s">
        <v>202</v>
      </c>
      <c r="I962" s="33">
        <v>100</v>
      </c>
    </row>
    <row r="963" spans="1:9" x14ac:dyDescent="0.3">
      <c r="A963" s="30" t="s">
        <v>492</v>
      </c>
      <c r="B963" s="33" t="s">
        <v>23</v>
      </c>
      <c r="C963" s="33">
        <v>1</v>
      </c>
      <c r="D963" s="34" t="s">
        <v>200</v>
      </c>
      <c r="E963" s="34" t="s">
        <v>205</v>
      </c>
      <c r="F963" s="33">
        <v>0</v>
      </c>
      <c r="G963" s="33">
        <v>0.3</v>
      </c>
      <c r="H963" s="33" t="s">
        <v>202</v>
      </c>
      <c r="I963" s="33">
        <v>100</v>
      </c>
    </row>
    <row r="964" spans="1:9" x14ac:dyDescent="0.3">
      <c r="A964" s="30" t="s">
        <v>492</v>
      </c>
      <c r="B964" s="33" t="s">
        <v>23</v>
      </c>
      <c r="C964" s="33">
        <v>1</v>
      </c>
      <c r="D964" s="34" t="s">
        <v>200</v>
      </c>
      <c r="E964" s="34" t="s">
        <v>206</v>
      </c>
      <c r="F964" s="33">
        <v>0</v>
      </c>
      <c r="G964" s="33">
        <v>0.3</v>
      </c>
      <c r="H964" s="33" t="s">
        <v>202</v>
      </c>
      <c r="I964" s="33">
        <v>100</v>
      </c>
    </row>
    <row r="965" spans="1:9" x14ac:dyDescent="0.3">
      <c r="A965" s="30" t="s">
        <v>492</v>
      </c>
      <c r="B965" s="33" t="s">
        <v>23</v>
      </c>
      <c r="C965" s="33">
        <v>1</v>
      </c>
      <c r="D965" s="34" t="s">
        <v>200</v>
      </c>
      <c r="E965" s="34" t="s">
        <v>207</v>
      </c>
      <c r="F965" s="33">
        <v>0</v>
      </c>
      <c r="G965" s="33">
        <v>0.2</v>
      </c>
      <c r="H965" s="33" t="s">
        <v>202</v>
      </c>
      <c r="I965" s="33">
        <v>100</v>
      </c>
    </row>
    <row r="966" spans="1:9" x14ac:dyDescent="0.3">
      <c r="A966" s="30" t="s">
        <v>492</v>
      </c>
      <c r="B966" s="33" t="s">
        <v>23</v>
      </c>
      <c r="C966" s="33">
        <v>1</v>
      </c>
      <c r="D966" s="34" t="s">
        <v>200</v>
      </c>
      <c r="E966" s="34" t="s">
        <v>208</v>
      </c>
      <c r="F966" s="33">
        <v>0</v>
      </c>
      <c r="G966" s="33">
        <v>0.2</v>
      </c>
      <c r="H966" s="33" t="s">
        <v>202</v>
      </c>
      <c r="I966" s="33">
        <v>100</v>
      </c>
    </row>
    <row r="967" spans="1:9" x14ac:dyDescent="0.3">
      <c r="A967" s="30" t="s">
        <v>492</v>
      </c>
      <c r="B967" s="33" t="s">
        <v>23</v>
      </c>
      <c r="C967" s="33">
        <v>1</v>
      </c>
      <c r="D967" s="34" t="s">
        <v>200</v>
      </c>
      <c r="E967" s="34" t="s">
        <v>209</v>
      </c>
      <c r="F967" s="33">
        <v>0</v>
      </c>
      <c r="G967" s="33">
        <v>0.3</v>
      </c>
      <c r="H967" s="33" t="s">
        <v>202</v>
      </c>
      <c r="I967" s="33">
        <v>100</v>
      </c>
    </row>
    <row r="968" spans="1:9" x14ac:dyDescent="0.3">
      <c r="A968" s="30" t="s">
        <v>492</v>
      </c>
      <c r="B968" s="33" t="s">
        <v>23</v>
      </c>
      <c r="C968" s="33">
        <v>1</v>
      </c>
      <c r="D968" s="34" t="s">
        <v>200</v>
      </c>
      <c r="E968" s="34" t="s">
        <v>210</v>
      </c>
      <c r="F968" s="33">
        <v>0</v>
      </c>
      <c r="G968" s="33">
        <v>0.2</v>
      </c>
      <c r="H968" s="33" t="s">
        <v>202</v>
      </c>
      <c r="I968" s="33">
        <v>100</v>
      </c>
    </row>
    <row r="969" spans="1:9" x14ac:dyDescent="0.3">
      <c r="A969" s="30" t="s">
        <v>492</v>
      </c>
      <c r="B969" s="33" t="s">
        <v>23</v>
      </c>
      <c r="C969" s="33">
        <v>1</v>
      </c>
      <c r="D969" s="34" t="s">
        <v>200</v>
      </c>
      <c r="E969" s="34" t="s">
        <v>211</v>
      </c>
      <c r="F969" s="33">
        <v>0</v>
      </c>
      <c r="G969" s="33">
        <v>0.15</v>
      </c>
      <c r="H969" s="33" t="s">
        <v>202</v>
      </c>
      <c r="I969" s="33">
        <v>100</v>
      </c>
    </row>
    <row r="970" spans="1:9" x14ac:dyDescent="0.3">
      <c r="A970" s="30" t="s">
        <v>492</v>
      </c>
      <c r="B970" s="33" t="s">
        <v>23</v>
      </c>
      <c r="C970" s="33">
        <v>1</v>
      </c>
      <c r="D970" s="34" t="s">
        <v>200</v>
      </c>
      <c r="E970" s="34" t="s">
        <v>212</v>
      </c>
      <c r="F970" s="33">
        <v>0</v>
      </c>
      <c r="G970" s="33">
        <v>0.15</v>
      </c>
      <c r="H970" s="33" t="s">
        <v>202</v>
      </c>
      <c r="I970" s="33">
        <v>100</v>
      </c>
    </row>
    <row r="971" spans="1:9" x14ac:dyDescent="0.3">
      <c r="A971" s="30" t="s">
        <v>492</v>
      </c>
      <c r="B971" s="33" t="s">
        <v>23</v>
      </c>
      <c r="C971" s="33">
        <v>1</v>
      </c>
      <c r="D971" s="34" t="s">
        <v>200</v>
      </c>
      <c r="E971" s="34" t="s">
        <v>213</v>
      </c>
      <c r="F971" s="33">
        <v>0</v>
      </c>
      <c r="G971" s="33">
        <v>0.15</v>
      </c>
      <c r="H971" s="33" t="s">
        <v>202</v>
      </c>
      <c r="I971" s="33">
        <v>100</v>
      </c>
    </row>
    <row r="972" spans="1:9" x14ac:dyDescent="0.3">
      <c r="A972" s="30" t="s">
        <v>492</v>
      </c>
      <c r="B972" s="33" t="s">
        <v>23</v>
      </c>
      <c r="C972" s="33">
        <v>1</v>
      </c>
      <c r="D972" s="34" t="s">
        <v>200</v>
      </c>
      <c r="E972" s="34" t="s">
        <v>214</v>
      </c>
      <c r="F972" s="33">
        <v>0</v>
      </c>
      <c r="G972" s="33">
        <v>0.15</v>
      </c>
      <c r="H972" s="33" t="s">
        <v>202</v>
      </c>
      <c r="I972" s="33">
        <v>100</v>
      </c>
    </row>
    <row r="973" spans="1:9" x14ac:dyDescent="0.3">
      <c r="A973" s="30" t="s">
        <v>492</v>
      </c>
      <c r="B973" s="33" t="s">
        <v>23</v>
      </c>
      <c r="C973" s="33">
        <v>1</v>
      </c>
      <c r="D973" s="34" t="s">
        <v>200</v>
      </c>
      <c r="E973" s="34" t="s">
        <v>201</v>
      </c>
      <c r="F973" s="33">
        <v>0</v>
      </c>
      <c r="G973" s="33">
        <v>0.5</v>
      </c>
      <c r="H973" s="33" t="s">
        <v>215</v>
      </c>
      <c r="I973" s="33">
        <v>500</v>
      </c>
    </row>
    <row r="974" spans="1:9" x14ac:dyDescent="0.3">
      <c r="A974" s="30" t="s">
        <v>492</v>
      </c>
      <c r="B974" s="33" t="s">
        <v>23</v>
      </c>
      <c r="C974" s="33">
        <v>1</v>
      </c>
      <c r="D974" s="34" t="s">
        <v>200</v>
      </c>
      <c r="E974" s="34" t="s">
        <v>203</v>
      </c>
      <c r="F974" s="33">
        <v>0</v>
      </c>
      <c r="G974" s="33">
        <v>0.5</v>
      </c>
      <c r="H974" s="33" t="s">
        <v>215</v>
      </c>
      <c r="I974" s="33">
        <v>500</v>
      </c>
    </row>
    <row r="975" spans="1:9" x14ac:dyDescent="0.3">
      <c r="A975" s="30" t="s">
        <v>492</v>
      </c>
      <c r="B975" s="33" t="s">
        <v>23</v>
      </c>
      <c r="C975" s="33">
        <v>1</v>
      </c>
      <c r="D975" s="34" t="s">
        <v>200</v>
      </c>
      <c r="E975" s="34" t="s">
        <v>204</v>
      </c>
      <c r="F975" s="33">
        <v>0</v>
      </c>
      <c r="G975" s="33">
        <v>0.5</v>
      </c>
      <c r="H975" s="33" t="s">
        <v>215</v>
      </c>
      <c r="I975" s="33">
        <v>500</v>
      </c>
    </row>
    <row r="976" spans="1:9" x14ac:dyDescent="0.3">
      <c r="A976" s="30" t="s">
        <v>492</v>
      </c>
      <c r="B976" s="33" t="s">
        <v>23</v>
      </c>
      <c r="C976" s="33">
        <v>1</v>
      </c>
      <c r="D976" s="34" t="s">
        <v>200</v>
      </c>
      <c r="E976" s="34" t="s">
        <v>205</v>
      </c>
      <c r="F976" s="33">
        <v>0</v>
      </c>
      <c r="G976" s="33">
        <v>0.5</v>
      </c>
      <c r="H976" s="33" t="s">
        <v>215</v>
      </c>
      <c r="I976" s="33">
        <v>500</v>
      </c>
    </row>
    <row r="977" spans="1:9" x14ac:dyDescent="0.3">
      <c r="A977" s="30" t="s">
        <v>492</v>
      </c>
      <c r="B977" s="33" t="s">
        <v>23</v>
      </c>
      <c r="C977" s="33">
        <v>1</v>
      </c>
      <c r="D977" s="34" t="s">
        <v>200</v>
      </c>
      <c r="E977" s="34" t="s">
        <v>206</v>
      </c>
      <c r="F977" s="33">
        <v>0</v>
      </c>
      <c r="G977" s="33">
        <v>0.5</v>
      </c>
      <c r="H977" s="33" t="s">
        <v>215</v>
      </c>
      <c r="I977" s="33">
        <v>500</v>
      </c>
    </row>
    <row r="978" spans="1:9" x14ac:dyDescent="0.3">
      <c r="A978" s="30" t="s">
        <v>492</v>
      </c>
      <c r="B978" s="33" t="s">
        <v>23</v>
      </c>
      <c r="C978" s="33">
        <v>1</v>
      </c>
      <c r="D978" s="34" t="s">
        <v>200</v>
      </c>
      <c r="E978" s="34" t="s">
        <v>207</v>
      </c>
      <c r="F978" s="33">
        <v>0</v>
      </c>
      <c r="G978" s="33">
        <v>0.35</v>
      </c>
      <c r="H978" s="33" t="s">
        <v>215</v>
      </c>
      <c r="I978" s="33">
        <v>500</v>
      </c>
    </row>
    <row r="979" spans="1:9" x14ac:dyDescent="0.3">
      <c r="A979" s="30" t="s">
        <v>492</v>
      </c>
      <c r="B979" s="33" t="s">
        <v>23</v>
      </c>
      <c r="C979" s="33">
        <v>1</v>
      </c>
      <c r="D979" s="34" t="s">
        <v>200</v>
      </c>
      <c r="E979" s="34" t="s">
        <v>208</v>
      </c>
      <c r="F979" s="33">
        <v>0</v>
      </c>
      <c r="G979" s="33">
        <v>0.3</v>
      </c>
      <c r="H979" s="33" t="s">
        <v>215</v>
      </c>
      <c r="I979" s="33">
        <v>500</v>
      </c>
    </row>
    <row r="980" spans="1:9" x14ac:dyDescent="0.3">
      <c r="A980" s="30" t="s">
        <v>492</v>
      </c>
      <c r="B980" s="33" t="s">
        <v>23</v>
      </c>
      <c r="C980" s="33">
        <v>1</v>
      </c>
      <c r="D980" s="34" t="s">
        <v>200</v>
      </c>
      <c r="E980" s="34" t="s">
        <v>209</v>
      </c>
      <c r="F980" s="33">
        <v>0</v>
      </c>
      <c r="G980" s="33">
        <v>0.5</v>
      </c>
      <c r="H980" s="33" t="s">
        <v>215</v>
      </c>
      <c r="I980" s="33">
        <v>500</v>
      </c>
    </row>
    <row r="981" spans="1:9" x14ac:dyDescent="0.3">
      <c r="A981" s="30" t="s">
        <v>492</v>
      </c>
      <c r="B981" s="33" t="s">
        <v>23</v>
      </c>
      <c r="C981" s="33">
        <v>1</v>
      </c>
      <c r="D981" s="34" t="s">
        <v>200</v>
      </c>
      <c r="E981" s="34" t="s">
        <v>210</v>
      </c>
      <c r="F981" s="33">
        <v>0</v>
      </c>
      <c r="G981" s="33">
        <v>0.3</v>
      </c>
      <c r="H981" s="33" t="s">
        <v>215</v>
      </c>
      <c r="I981" s="33">
        <v>500</v>
      </c>
    </row>
    <row r="982" spans="1:9" x14ac:dyDescent="0.3">
      <c r="A982" s="30" t="s">
        <v>492</v>
      </c>
      <c r="B982" s="33" t="s">
        <v>23</v>
      </c>
      <c r="C982" s="33">
        <v>1</v>
      </c>
      <c r="D982" s="34" t="s">
        <v>200</v>
      </c>
      <c r="E982" s="34" t="s">
        <v>211</v>
      </c>
      <c r="F982" s="33">
        <v>0</v>
      </c>
      <c r="G982" s="33">
        <v>0.25</v>
      </c>
      <c r="H982" s="33" t="s">
        <v>215</v>
      </c>
      <c r="I982" s="33">
        <v>500</v>
      </c>
    </row>
    <row r="983" spans="1:9" x14ac:dyDescent="0.3">
      <c r="A983" s="30" t="s">
        <v>492</v>
      </c>
      <c r="B983" s="33" t="s">
        <v>23</v>
      </c>
      <c r="C983" s="33">
        <v>1</v>
      </c>
      <c r="D983" s="34" t="s">
        <v>200</v>
      </c>
      <c r="E983" s="34" t="s">
        <v>212</v>
      </c>
      <c r="F983" s="33">
        <v>0</v>
      </c>
      <c r="G983" s="33">
        <v>0.25</v>
      </c>
      <c r="H983" s="33" t="s">
        <v>215</v>
      </c>
      <c r="I983" s="33">
        <v>500</v>
      </c>
    </row>
    <row r="984" spans="1:9" x14ac:dyDescent="0.3">
      <c r="A984" s="30" t="s">
        <v>492</v>
      </c>
      <c r="B984" s="33" t="s">
        <v>23</v>
      </c>
      <c r="C984" s="33">
        <v>1</v>
      </c>
      <c r="D984" s="34" t="s">
        <v>200</v>
      </c>
      <c r="E984" s="34" t="s">
        <v>213</v>
      </c>
      <c r="F984" s="33">
        <v>0</v>
      </c>
      <c r="G984" s="33">
        <v>0.25</v>
      </c>
      <c r="H984" s="33" t="s">
        <v>215</v>
      </c>
      <c r="I984" s="33">
        <v>500</v>
      </c>
    </row>
    <row r="985" spans="1:9" x14ac:dyDescent="0.3">
      <c r="A985" s="30" t="s">
        <v>492</v>
      </c>
      <c r="B985" s="33" t="s">
        <v>23</v>
      </c>
      <c r="C985" s="33">
        <v>1</v>
      </c>
      <c r="D985" s="34" t="s">
        <v>200</v>
      </c>
      <c r="E985" s="34" t="s">
        <v>214</v>
      </c>
      <c r="F985" s="33">
        <v>0</v>
      </c>
      <c r="G985" s="33">
        <v>0.25</v>
      </c>
      <c r="H985" s="33" t="s">
        <v>215</v>
      </c>
      <c r="I985" s="33">
        <v>500</v>
      </c>
    </row>
    <row r="986" spans="1:9" x14ac:dyDescent="0.3">
      <c r="A986" s="30" t="s">
        <v>492</v>
      </c>
      <c r="B986" s="33" t="s">
        <v>23</v>
      </c>
      <c r="C986" s="33">
        <v>1</v>
      </c>
      <c r="D986" s="34" t="s">
        <v>200</v>
      </c>
      <c r="E986" s="34" t="s">
        <v>216</v>
      </c>
      <c r="F986" s="33">
        <v>0</v>
      </c>
      <c r="G986" s="33">
        <v>0.3</v>
      </c>
      <c r="H986" s="33" t="s">
        <v>202</v>
      </c>
      <c r="I986" s="33">
        <v>100</v>
      </c>
    </row>
    <row r="987" spans="1:9" x14ac:dyDescent="0.3">
      <c r="A987" s="30" t="s">
        <v>492</v>
      </c>
      <c r="B987" s="33" t="s">
        <v>23</v>
      </c>
      <c r="C987" s="33">
        <v>1</v>
      </c>
      <c r="D987" s="34" t="s">
        <v>200</v>
      </c>
      <c r="E987" s="34" t="s">
        <v>216</v>
      </c>
      <c r="F987" s="33">
        <v>0</v>
      </c>
      <c r="G987" s="33">
        <v>0.45</v>
      </c>
      <c r="H987" s="33" t="s">
        <v>215</v>
      </c>
      <c r="I987" s="33">
        <v>500</v>
      </c>
    </row>
    <row r="988" spans="1:9" x14ac:dyDescent="0.3">
      <c r="A988" s="30" t="s">
        <v>492</v>
      </c>
      <c r="B988" s="33" t="s">
        <v>23</v>
      </c>
      <c r="C988" s="33">
        <v>1</v>
      </c>
      <c r="D988" s="34" t="s">
        <v>200</v>
      </c>
      <c r="E988" s="34" t="s">
        <v>217</v>
      </c>
      <c r="F988" s="33">
        <v>0</v>
      </c>
      <c r="G988" s="33">
        <v>0.2</v>
      </c>
      <c r="H988" s="33" t="s">
        <v>202</v>
      </c>
      <c r="I988" s="33">
        <v>100</v>
      </c>
    </row>
    <row r="989" spans="1:9" x14ac:dyDescent="0.3">
      <c r="A989" s="30" t="s">
        <v>492</v>
      </c>
      <c r="B989" s="33" t="s">
        <v>23</v>
      </c>
      <c r="C989" s="33">
        <v>1</v>
      </c>
      <c r="D989" s="34" t="s">
        <v>200</v>
      </c>
      <c r="E989" s="34" t="s">
        <v>218</v>
      </c>
      <c r="F989" s="33">
        <v>0</v>
      </c>
      <c r="G989" s="33">
        <v>0.2</v>
      </c>
      <c r="H989" s="33" t="s">
        <v>202</v>
      </c>
      <c r="I989" s="33">
        <v>100</v>
      </c>
    </row>
    <row r="990" spans="1:9" x14ac:dyDescent="0.3">
      <c r="A990" s="30" t="s">
        <v>492</v>
      </c>
      <c r="B990" s="33" t="s">
        <v>23</v>
      </c>
      <c r="C990" s="33">
        <v>1</v>
      </c>
      <c r="D990" s="34" t="s">
        <v>200</v>
      </c>
      <c r="E990" s="34" t="s">
        <v>219</v>
      </c>
      <c r="F990" s="33">
        <v>0</v>
      </c>
      <c r="G990" s="33">
        <v>0.2</v>
      </c>
      <c r="H990" s="33" t="s">
        <v>202</v>
      </c>
      <c r="I990" s="33">
        <v>100</v>
      </c>
    </row>
    <row r="991" spans="1:9" x14ac:dyDescent="0.3">
      <c r="A991" s="30" t="s">
        <v>492</v>
      </c>
      <c r="B991" s="33" t="s">
        <v>23</v>
      </c>
      <c r="C991" s="33">
        <v>1</v>
      </c>
      <c r="D991" s="34" t="s">
        <v>200</v>
      </c>
      <c r="E991" s="34" t="s">
        <v>220</v>
      </c>
      <c r="F991" s="33">
        <v>0</v>
      </c>
      <c r="G991" s="33">
        <v>0.2</v>
      </c>
      <c r="H991" s="33" t="s">
        <v>202</v>
      </c>
      <c r="I991" s="33">
        <v>100</v>
      </c>
    </row>
    <row r="992" spans="1:9" x14ac:dyDescent="0.3">
      <c r="A992" s="30" t="s">
        <v>492</v>
      </c>
      <c r="B992" s="33" t="s">
        <v>23</v>
      </c>
      <c r="C992" s="33">
        <v>1</v>
      </c>
      <c r="D992" s="34" t="s">
        <v>200</v>
      </c>
      <c r="E992" s="34" t="s">
        <v>217</v>
      </c>
      <c r="F992" s="33">
        <v>0</v>
      </c>
      <c r="G992" s="33">
        <v>0.35</v>
      </c>
      <c r="H992" s="33" t="s">
        <v>215</v>
      </c>
      <c r="I992" s="33">
        <v>500</v>
      </c>
    </row>
    <row r="993" spans="1:9" x14ac:dyDescent="0.3">
      <c r="A993" s="30" t="s">
        <v>492</v>
      </c>
      <c r="B993" s="33" t="s">
        <v>23</v>
      </c>
      <c r="C993" s="33">
        <v>1</v>
      </c>
      <c r="D993" s="34" t="s">
        <v>200</v>
      </c>
      <c r="E993" s="34" t="s">
        <v>218</v>
      </c>
      <c r="F993" s="33">
        <v>0</v>
      </c>
      <c r="G993" s="33">
        <v>0.35</v>
      </c>
      <c r="H993" s="33" t="s">
        <v>215</v>
      </c>
      <c r="I993" s="33">
        <v>500</v>
      </c>
    </row>
    <row r="994" spans="1:9" x14ac:dyDescent="0.3">
      <c r="A994" s="30" t="s">
        <v>492</v>
      </c>
      <c r="B994" s="33" t="s">
        <v>23</v>
      </c>
      <c r="C994" s="33">
        <v>1</v>
      </c>
      <c r="D994" s="34" t="s">
        <v>200</v>
      </c>
      <c r="E994" s="34" t="s">
        <v>219</v>
      </c>
      <c r="F994" s="33">
        <v>0</v>
      </c>
      <c r="G994" s="33">
        <v>0.35</v>
      </c>
      <c r="H994" s="33" t="s">
        <v>215</v>
      </c>
      <c r="I994" s="33">
        <v>500</v>
      </c>
    </row>
    <row r="995" spans="1:9" x14ac:dyDescent="0.3">
      <c r="A995" s="30" t="s">
        <v>492</v>
      </c>
      <c r="B995" s="33" t="s">
        <v>23</v>
      </c>
      <c r="C995" s="33">
        <v>1</v>
      </c>
      <c r="D995" s="34" t="s">
        <v>200</v>
      </c>
      <c r="E995" s="34" t="s">
        <v>220</v>
      </c>
      <c r="F995" s="33">
        <v>0</v>
      </c>
      <c r="G995" s="33">
        <v>0.35</v>
      </c>
      <c r="H995" s="33" t="s">
        <v>215</v>
      </c>
      <c r="I995" s="33">
        <v>500</v>
      </c>
    </row>
    <row r="996" spans="1:9" x14ac:dyDescent="0.3">
      <c r="A996" s="30" t="s">
        <v>492</v>
      </c>
      <c r="B996" s="33" t="s">
        <v>23</v>
      </c>
      <c r="C996" s="33">
        <v>1</v>
      </c>
      <c r="D996" s="34" t="s">
        <v>221</v>
      </c>
      <c r="E996" s="34" t="s">
        <v>198</v>
      </c>
      <c r="F996" s="33">
        <v>0</v>
      </c>
      <c r="G996" s="33">
        <v>0.5</v>
      </c>
      <c r="H996" s="33"/>
      <c r="I996" s="33">
        <v>0</v>
      </c>
    </row>
    <row r="997" spans="1:9" x14ac:dyDescent="0.3">
      <c r="A997" s="30" t="s">
        <v>493</v>
      </c>
      <c r="B997" s="33" t="s">
        <v>23</v>
      </c>
      <c r="C997" s="33">
        <v>1</v>
      </c>
      <c r="D997" s="34" t="s">
        <v>188</v>
      </c>
      <c r="E997" s="34" t="s">
        <v>189</v>
      </c>
      <c r="F997" s="33">
        <v>0</v>
      </c>
      <c r="G997" s="33">
        <v>0.15</v>
      </c>
      <c r="H997" s="33"/>
      <c r="I997" s="33">
        <v>0</v>
      </c>
    </row>
    <row r="998" spans="1:9" x14ac:dyDescent="0.3">
      <c r="A998" s="30" t="s">
        <v>493</v>
      </c>
      <c r="B998" s="33" t="s">
        <v>23</v>
      </c>
      <c r="C998" s="33">
        <v>1</v>
      </c>
      <c r="D998" s="34" t="s">
        <v>190</v>
      </c>
      <c r="E998" s="34" t="s">
        <v>198</v>
      </c>
      <c r="F998" s="33">
        <v>0</v>
      </c>
      <c r="G998" s="33">
        <v>0.3</v>
      </c>
      <c r="H998" s="33"/>
      <c r="I998" s="33">
        <v>0</v>
      </c>
    </row>
    <row r="999" spans="1:9" x14ac:dyDescent="0.3">
      <c r="A999" s="30" t="s">
        <v>493</v>
      </c>
      <c r="B999" s="33" t="s">
        <v>23</v>
      </c>
      <c r="C999" s="33">
        <v>1</v>
      </c>
      <c r="D999" s="34" t="s">
        <v>197</v>
      </c>
      <c r="E999" s="34" t="s">
        <v>198</v>
      </c>
      <c r="F999" s="33">
        <v>0</v>
      </c>
      <c r="G999" s="33">
        <v>0.05</v>
      </c>
      <c r="H999" s="33"/>
      <c r="I999" s="33">
        <v>0</v>
      </c>
    </row>
    <row r="1000" spans="1:9" x14ac:dyDescent="0.3">
      <c r="A1000" s="30" t="s">
        <v>493</v>
      </c>
      <c r="B1000" s="33" t="s">
        <v>23</v>
      </c>
      <c r="C1000" s="33">
        <v>1</v>
      </c>
      <c r="D1000" s="34" t="s">
        <v>197</v>
      </c>
      <c r="E1000" s="34" t="s">
        <v>199</v>
      </c>
      <c r="F1000" s="33">
        <v>0</v>
      </c>
      <c r="G1000" s="33">
        <v>0</v>
      </c>
      <c r="H1000" s="33"/>
      <c r="I1000" s="33">
        <v>0</v>
      </c>
    </row>
    <row r="1001" spans="1:9" x14ac:dyDescent="0.3">
      <c r="A1001" s="30" t="s">
        <v>493</v>
      </c>
      <c r="B1001" s="33" t="s">
        <v>23</v>
      </c>
      <c r="C1001" s="33">
        <v>1</v>
      </c>
      <c r="D1001" s="34" t="s">
        <v>200</v>
      </c>
      <c r="E1001" s="34" t="s">
        <v>201</v>
      </c>
      <c r="F1001" s="33">
        <v>0</v>
      </c>
      <c r="G1001" s="33">
        <v>0.35</v>
      </c>
      <c r="H1001" s="33" t="s">
        <v>202</v>
      </c>
      <c r="I1001" s="33">
        <v>100</v>
      </c>
    </row>
    <row r="1002" spans="1:9" x14ac:dyDescent="0.3">
      <c r="A1002" s="30" t="s">
        <v>493</v>
      </c>
      <c r="B1002" s="33" t="s">
        <v>23</v>
      </c>
      <c r="C1002" s="33">
        <v>1</v>
      </c>
      <c r="D1002" s="34" t="s">
        <v>200</v>
      </c>
      <c r="E1002" s="34" t="s">
        <v>203</v>
      </c>
      <c r="F1002" s="33">
        <v>0</v>
      </c>
      <c r="G1002" s="33">
        <v>0.3</v>
      </c>
      <c r="H1002" s="33" t="s">
        <v>202</v>
      </c>
      <c r="I1002" s="33">
        <v>100</v>
      </c>
    </row>
    <row r="1003" spans="1:9" x14ac:dyDescent="0.3">
      <c r="A1003" s="30" t="s">
        <v>493</v>
      </c>
      <c r="B1003" s="33" t="s">
        <v>23</v>
      </c>
      <c r="C1003" s="33">
        <v>1</v>
      </c>
      <c r="D1003" s="34" t="s">
        <v>200</v>
      </c>
      <c r="E1003" s="34" t="s">
        <v>204</v>
      </c>
      <c r="F1003" s="33">
        <v>0</v>
      </c>
      <c r="G1003" s="33">
        <v>0.3</v>
      </c>
      <c r="H1003" s="33" t="s">
        <v>202</v>
      </c>
      <c r="I1003" s="33">
        <v>100</v>
      </c>
    </row>
    <row r="1004" spans="1:9" x14ac:dyDescent="0.3">
      <c r="A1004" s="30" t="s">
        <v>493</v>
      </c>
      <c r="B1004" s="33" t="s">
        <v>23</v>
      </c>
      <c r="C1004" s="33">
        <v>1</v>
      </c>
      <c r="D1004" s="34" t="s">
        <v>200</v>
      </c>
      <c r="E1004" s="34" t="s">
        <v>205</v>
      </c>
      <c r="F1004" s="33">
        <v>0</v>
      </c>
      <c r="G1004" s="33">
        <v>0.3</v>
      </c>
      <c r="H1004" s="33" t="s">
        <v>202</v>
      </c>
      <c r="I1004" s="33">
        <v>100</v>
      </c>
    </row>
    <row r="1005" spans="1:9" x14ac:dyDescent="0.3">
      <c r="A1005" s="30" t="s">
        <v>493</v>
      </c>
      <c r="B1005" s="33" t="s">
        <v>23</v>
      </c>
      <c r="C1005" s="33">
        <v>1</v>
      </c>
      <c r="D1005" s="34" t="s">
        <v>200</v>
      </c>
      <c r="E1005" s="34" t="s">
        <v>206</v>
      </c>
      <c r="F1005" s="33">
        <v>0</v>
      </c>
      <c r="G1005" s="33">
        <v>0.3</v>
      </c>
      <c r="H1005" s="33" t="s">
        <v>202</v>
      </c>
      <c r="I1005" s="33">
        <v>100</v>
      </c>
    </row>
    <row r="1006" spans="1:9" x14ac:dyDescent="0.3">
      <c r="A1006" s="30" t="s">
        <v>493</v>
      </c>
      <c r="B1006" s="33" t="s">
        <v>23</v>
      </c>
      <c r="C1006" s="33">
        <v>1</v>
      </c>
      <c r="D1006" s="34" t="s">
        <v>200</v>
      </c>
      <c r="E1006" s="34" t="s">
        <v>207</v>
      </c>
      <c r="F1006" s="33">
        <v>0</v>
      </c>
      <c r="G1006" s="33">
        <v>0.2</v>
      </c>
      <c r="H1006" s="33" t="s">
        <v>202</v>
      </c>
      <c r="I1006" s="33">
        <v>100</v>
      </c>
    </row>
    <row r="1007" spans="1:9" x14ac:dyDescent="0.3">
      <c r="A1007" s="30" t="s">
        <v>493</v>
      </c>
      <c r="B1007" s="33" t="s">
        <v>23</v>
      </c>
      <c r="C1007" s="33">
        <v>1</v>
      </c>
      <c r="D1007" s="34" t="s">
        <v>200</v>
      </c>
      <c r="E1007" s="34" t="s">
        <v>208</v>
      </c>
      <c r="F1007" s="33">
        <v>0</v>
      </c>
      <c r="G1007" s="33">
        <v>0.2</v>
      </c>
      <c r="H1007" s="33" t="s">
        <v>202</v>
      </c>
      <c r="I1007" s="33">
        <v>100</v>
      </c>
    </row>
    <row r="1008" spans="1:9" x14ac:dyDescent="0.3">
      <c r="A1008" s="30" t="s">
        <v>493</v>
      </c>
      <c r="B1008" s="33" t="s">
        <v>23</v>
      </c>
      <c r="C1008" s="33">
        <v>1</v>
      </c>
      <c r="D1008" s="34" t="s">
        <v>200</v>
      </c>
      <c r="E1008" s="34" t="s">
        <v>209</v>
      </c>
      <c r="F1008" s="33">
        <v>0</v>
      </c>
      <c r="G1008" s="33">
        <v>0.3</v>
      </c>
      <c r="H1008" s="33" t="s">
        <v>202</v>
      </c>
      <c r="I1008" s="33">
        <v>100</v>
      </c>
    </row>
    <row r="1009" spans="1:9" x14ac:dyDescent="0.3">
      <c r="A1009" s="30" t="s">
        <v>493</v>
      </c>
      <c r="B1009" s="33" t="s">
        <v>23</v>
      </c>
      <c r="C1009" s="33">
        <v>1</v>
      </c>
      <c r="D1009" s="34" t="s">
        <v>200</v>
      </c>
      <c r="E1009" s="34" t="s">
        <v>210</v>
      </c>
      <c r="F1009" s="33">
        <v>0</v>
      </c>
      <c r="G1009" s="33">
        <v>0.2</v>
      </c>
      <c r="H1009" s="33" t="s">
        <v>202</v>
      </c>
      <c r="I1009" s="33">
        <v>100</v>
      </c>
    </row>
    <row r="1010" spans="1:9" x14ac:dyDescent="0.3">
      <c r="A1010" s="30" t="s">
        <v>493</v>
      </c>
      <c r="B1010" s="33" t="s">
        <v>23</v>
      </c>
      <c r="C1010" s="33">
        <v>1</v>
      </c>
      <c r="D1010" s="34" t="s">
        <v>200</v>
      </c>
      <c r="E1010" s="34" t="s">
        <v>211</v>
      </c>
      <c r="F1010" s="33">
        <v>0</v>
      </c>
      <c r="G1010" s="33">
        <v>0.15</v>
      </c>
      <c r="H1010" s="33" t="s">
        <v>202</v>
      </c>
      <c r="I1010" s="33">
        <v>100</v>
      </c>
    </row>
    <row r="1011" spans="1:9" x14ac:dyDescent="0.3">
      <c r="A1011" s="30" t="s">
        <v>493</v>
      </c>
      <c r="B1011" s="33" t="s">
        <v>23</v>
      </c>
      <c r="C1011" s="33">
        <v>1</v>
      </c>
      <c r="D1011" s="34" t="s">
        <v>200</v>
      </c>
      <c r="E1011" s="34" t="s">
        <v>212</v>
      </c>
      <c r="F1011" s="33">
        <v>0</v>
      </c>
      <c r="G1011" s="33">
        <v>0.15</v>
      </c>
      <c r="H1011" s="33" t="s">
        <v>202</v>
      </c>
      <c r="I1011" s="33">
        <v>100</v>
      </c>
    </row>
    <row r="1012" spans="1:9" x14ac:dyDescent="0.3">
      <c r="A1012" s="30" t="s">
        <v>493</v>
      </c>
      <c r="B1012" s="33" t="s">
        <v>23</v>
      </c>
      <c r="C1012" s="33">
        <v>1</v>
      </c>
      <c r="D1012" s="34" t="s">
        <v>200</v>
      </c>
      <c r="E1012" s="34" t="s">
        <v>213</v>
      </c>
      <c r="F1012" s="33">
        <v>0</v>
      </c>
      <c r="G1012" s="33">
        <v>0.15</v>
      </c>
      <c r="H1012" s="33" t="s">
        <v>202</v>
      </c>
      <c r="I1012" s="33">
        <v>100</v>
      </c>
    </row>
    <row r="1013" spans="1:9" x14ac:dyDescent="0.3">
      <c r="A1013" s="30" t="s">
        <v>493</v>
      </c>
      <c r="B1013" s="33" t="s">
        <v>23</v>
      </c>
      <c r="C1013" s="33">
        <v>1</v>
      </c>
      <c r="D1013" s="34" t="s">
        <v>200</v>
      </c>
      <c r="E1013" s="34" t="s">
        <v>214</v>
      </c>
      <c r="F1013" s="33">
        <v>0</v>
      </c>
      <c r="G1013" s="33">
        <v>0.15</v>
      </c>
      <c r="H1013" s="33" t="s">
        <v>202</v>
      </c>
      <c r="I1013" s="33">
        <v>100</v>
      </c>
    </row>
    <row r="1014" spans="1:9" x14ac:dyDescent="0.3">
      <c r="A1014" s="30" t="s">
        <v>493</v>
      </c>
      <c r="B1014" s="33" t="s">
        <v>23</v>
      </c>
      <c r="C1014" s="33">
        <v>1</v>
      </c>
      <c r="D1014" s="34" t="s">
        <v>200</v>
      </c>
      <c r="E1014" s="34" t="s">
        <v>201</v>
      </c>
      <c r="F1014" s="33">
        <v>0</v>
      </c>
      <c r="G1014" s="33">
        <v>0.5</v>
      </c>
      <c r="H1014" s="33" t="s">
        <v>215</v>
      </c>
      <c r="I1014" s="33">
        <v>500</v>
      </c>
    </row>
    <row r="1015" spans="1:9" x14ac:dyDescent="0.3">
      <c r="A1015" s="30" t="s">
        <v>493</v>
      </c>
      <c r="B1015" s="33" t="s">
        <v>23</v>
      </c>
      <c r="C1015" s="33">
        <v>1</v>
      </c>
      <c r="D1015" s="34" t="s">
        <v>200</v>
      </c>
      <c r="E1015" s="34" t="s">
        <v>203</v>
      </c>
      <c r="F1015" s="33">
        <v>0</v>
      </c>
      <c r="G1015" s="33">
        <v>0.5</v>
      </c>
      <c r="H1015" s="33" t="s">
        <v>215</v>
      </c>
      <c r="I1015" s="33">
        <v>500</v>
      </c>
    </row>
    <row r="1016" spans="1:9" x14ac:dyDescent="0.3">
      <c r="A1016" s="30" t="s">
        <v>493</v>
      </c>
      <c r="B1016" s="33" t="s">
        <v>23</v>
      </c>
      <c r="C1016" s="33">
        <v>1</v>
      </c>
      <c r="D1016" s="34" t="s">
        <v>200</v>
      </c>
      <c r="E1016" s="34" t="s">
        <v>204</v>
      </c>
      <c r="F1016" s="33">
        <v>0</v>
      </c>
      <c r="G1016" s="33">
        <v>0.5</v>
      </c>
      <c r="H1016" s="33" t="s">
        <v>215</v>
      </c>
      <c r="I1016" s="33">
        <v>500</v>
      </c>
    </row>
    <row r="1017" spans="1:9" x14ac:dyDescent="0.3">
      <c r="A1017" s="30" t="s">
        <v>493</v>
      </c>
      <c r="B1017" s="33" t="s">
        <v>23</v>
      </c>
      <c r="C1017" s="33">
        <v>1</v>
      </c>
      <c r="D1017" s="34" t="s">
        <v>200</v>
      </c>
      <c r="E1017" s="34" t="s">
        <v>205</v>
      </c>
      <c r="F1017" s="33">
        <v>0</v>
      </c>
      <c r="G1017" s="33">
        <v>0.5</v>
      </c>
      <c r="H1017" s="33" t="s">
        <v>215</v>
      </c>
      <c r="I1017" s="33">
        <v>500</v>
      </c>
    </row>
    <row r="1018" spans="1:9" x14ac:dyDescent="0.3">
      <c r="A1018" s="30" t="s">
        <v>493</v>
      </c>
      <c r="B1018" s="33" t="s">
        <v>23</v>
      </c>
      <c r="C1018" s="33">
        <v>1</v>
      </c>
      <c r="D1018" s="34" t="s">
        <v>200</v>
      </c>
      <c r="E1018" s="34" t="s">
        <v>206</v>
      </c>
      <c r="F1018" s="33">
        <v>0</v>
      </c>
      <c r="G1018" s="33">
        <v>0.5</v>
      </c>
      <c r="H1018" s="33" t="s">
        <v>215</v>
      </c>
      <c r="I1018" s="33">
        <v>500</v>
      </c>
    </row>
    <row r="1019" spans="1:9" x14ac:dyDescent="0.3">
      <c r="A1019" s="30" t="s">
        <v>493</v>
      </c>
      <c r="B1019" s="33" t="s">
        <v>23</v>
      </c>
      <c r="C1019" s="33">
        <v>1</v>
      </c>
      <c r="D1019" s="34" t="s">
        <v>200</v>
      </c>
      <c r="E1019" s="34" t="s">
        <v>207</v>
      </c>
      <c r="F1019" s="33">
        <v>0</v>
      </c>
      <c r="G1019" s="33">
        <v>0.35</v>
      </c>
      <c r="H1019" s="33" t="s">
        <v>215</v>
      </c>
      <c r="I1019" s="33">
        <v>500</v>
      </c>
    </row>
    <row r="1020" spans="1:9" x14ac:dyDescent="0.3">
      <c r="A1020" s="30" t="s">
        <v>493</v>
      </c>
      <c r="B1020" s="33" t="s">
        <v>23</v>
      </c>
      <c r="C1020" s="33">
        <v>1</v>
      </c>
      <c r="D1020" s="34" t="s">
        <v>200</v>
      </c>
      <c r="E1020" s="34" t="s">
        <v>208</v>
      </c>
      <c r="F1020" s="33">
        <v>0</v>
      </c>
      <c r="G1020" s="33">
        <v>0.3</v>
      </c>
      <c r="H1020" s="33" t="s">
        <v>215</v>
      </c>
      <c r="I1020" s="33">
        <v>500</v>
      </c>
    </row>
    <row r="1021" spans="1:9" x14ac:dyDescent="0.3">
      <c r="A1021" s="30" t="s">
        <v>493</v>
      </c>
      <c r="B1021" s="33" t="s">
        <v>23</v>
      </c>
      <c r="C1021" s="33">
        <v>1</v>
      </c>
      <c r="D1021" s="34" t="s">
        <v>200</v>
      </c>
      <c r="E1021" s="34" t="s">
        <v>209</v>
      </c>
      <c r="F1021" s="33">
        <v>0</v>
      </c>
      <c r="G1021" s="33">
        <v>0.5</v>
      </c>
      <c r="H1021" s="33" t="s">
        <v>215</v>
      </c>
      <c r="I1021" s="33">
        <v>500</v>
      </c>
    </row>
    <row r="1022" spans="1:9" x14ac:dyDescent="0.3">
      <c r="A1022" s="30" t="s">
        <v>493</v>
      </c>
      <c r="B1022" s="33" t="s">
        <v>23</v>
      </c>
      <c r="C1022" s="33">
        <v>1</v>
      </c>
      <c r="D1022" s="34" t="s">
        <v>200</v>
      </c>
      <c r="E1022" s="34" t="s">
        <v>210</v>
      </c>
      <c r="F1022" s="33">
        <v>0</v>
      </c>
      <c r="G1022" s="33">
        <v>0.3</v>
      </c>
      <c r="H1022" s="33" t="s">
        <v>215</v>
      </c>
      <c r="I1022" s="33">
        <v>500</v>
      </c>
    </row>
    <row r="1023" spans="1:9" x14ac:dyDescent="0.3">
      <c r="A1023" s="30" t="s">
        <v>493</v>
      </c>
      <c r="B1023" s="33" t="s">
        <v>23</v>
      </c>
      <c r="C1023" s="33">
        <v>1</v>
      </c>
      <c r="D1023" s="34" t="s">
        <v>200</v>
      </c>
      <c r="E1023" s="34" t="s">
        <v>211</v>
      </c>
      <c r="F1023" s="33">
        <v>0</v>
      </c>
      <c r="G1023" s="33">
        <v>0.25</v>
      </c>
      <c r="H1023" s="33" t="s">
        <v>215</v>
      </c>
      <c r="I1023" s="33">
        <v>500</v>
      </c>
    </row>
    <row r="1024" spans="1:9" x14ac:dyDescent="0.3">
      <c r="A1024" s="30" t="s">
        <v>493</v>
      </c>
      <c r="B1024" s="33" t="s">
        <v>23</v>
      </c>
      <c r="C1024" s="33">
        <v>1</v>
      </c>
      <c r="D1024" s="34" t="s">
        <v>200</v>
      </c>
      <c r="E1024" s="34" t="s">
        <v>212</v>
      </c>
      <c r="F1024" s="33">
        <v>0</v>
      </c>
      <c r="G1024" s="33">
        <v>0.25</v>
      </c>
      <c r="H1024" s="33" t="s">
        <v>215</v>
      </c>
      <c r="I1024" s="33">
        <v>500</v>
      </c>
    </row>
    <row r="1025" spans="1:9" x14ac:dyDescent="0.3">
      <c r="A1025" s="30" t="s">
        <v>493</v>
      </c>
      <c r="B1025" s="33" t="s">
        <v>23</v>
      </c>
      <c r="C1025" s="33">
        <v>1</v>
      </c>
      <c r="D1025" s="34" t="s">
        <v>200</v>
      </c>
      <c r="E1025" s="34" t="s">
        <v>213</v>
      </c>
      <c r="F1025" s="33">
        <v>0</v>
      </c>
      <c r="G1025" s="33">
        <v>0.25</v>
      </c>
      <c r="H1025" s="33" t="s">
        <v>215</v>
      </c>
      <c r="I1025" s="33">
        <v>500</v>
      </c>
    </row>
    <row r="1026" spans="1:9" x14ac:dyDescent="0.3">
      <c r="A1026" s="30" t="s">
        <v>493</v>
      </c>
      <c r="B1026" s="33" t="s">
        <v>23</v>
      </c>
      <c r="C1026" s="33">
        <v>1</v>
      </c>
      <c r="D1026" s="34" t="s">
        <v>200</v>
      </c>
      <c r="E1026" s="34" t="s">
        <v>214</v>
      </c>
      <c r="F1026" s="33">
        <v>0</v>
      </c>
      <c r="G1026" s="33">
        <v>0.25</v>
      </c>
      <c r="H1026" s="33" t="s">
        <v>215</v>
      </c>
      <c r="I1026" s="33">
        <v>500</v>
      </c>
    </row>
    <row r="1027" spans="1:9" x14ac:dyDescent="0.3">
      <c r="A1027" s="30" t="s">
        <v>493</v>
      </c>
      <c r="B1027" s="33" t="s">
        <v>23</v>
      </c>
      <c r="C1027" s="33">
        <v>1</v>
      </c>
      <c r="D1027" s="34" t="s">
        <v>200</v>
      </c>
      <c r="E1027" s="34" t="s">
        <v>216</v>
      </c>
      <c r="F1027" s="33">
        <v>0</v>
      </c>
      <c r="G1027" s="33">
        <v>0.3</v>
      </c>
      <c r="H1027" s="33" t="s">
        <v>202</v>
      </c>
      <c r="I1027" s="33">
        <v>100</v>
      </c>
    </row>
    <row r="1028" spans="1:9" x14ac:dyDescent="0.3">
      <c r="A1028" s="30" t="s">
        <v>493</v>
      </c>
      <c r="B1028" s="33" t="s">
        <v>23</v>
      </c>
      <c r="C1028" s="33">
        <v>1</v>
      </c>
      <c r="D1028" s="34" t="s">
        <v>200</v>
      </c>
      <c r="E1028" s="34" t="s">
        <v>216</v>
      </c>
      <c r="F1028" s="33">
        <v>0</v>
      </c>
      <c r="G1028" s="33">
        <v>0.45</v>
      </c>
      <c r="H1028" s="33" t="s">
        <v>215</v>
      </c>
      <c r="I1028" s="33">
        <v>500</v>
      </c>
    </row>
    <row r="1029" spans="1:9" x14ac:dyDescent="0.3">
      <c r="A1029" s="30" t="s">
        <v>493</v>
      </c>
      <c r="B1029" s="33" t="s">
        <v>23</v>
      </c>
      <c r="C1029" s="33">
        <v>1</v>
      </c>
      <c r="D1029" s="34" t="s">
        <v>200</v>
      </c>
      <c r="E1029" s="34" t="s">
        <v>217</v>
      </c>
      <c r="F1029" s="33">
        <v>0</v>
      </c>
      <c r="G1029" s="33">
        <v>0.2</v>
      </c>
      <c r="H1029" s="33" t="s">
        <v>202</v>
      </c>
      <c r="I1029" s="33">
        <v>100</v>
      </c>
    </row>
    <row r="1030" spans="1:9" x14ac:dyDescent="0.3">
      <c r="A1030" s="30" t="s">
        <v>493</v>
      </c>
      <c r="B1030" s="33" t="s">
        <v>23</v>
      </c>
      <c r="C1030" s="33">
        <v>1</v>
      </c>
      <c r="D1030" s="34" t="s">
        <v>200</v>
      </c>
      <c r="E1030" s="34" t="s">
        <v>218</v>
      </c>
      <c r="F1030" s="33">
        <v>0</v>
      </c>
      <c r="G1030" s="33">
        <v>0.2</v>
      </c>
      <c r="H1030" s="33" t="s">
        <v>202</v>
      </c>
      <c r="I1030" s="33">
        <v>100</v>
      </c>
    </row>
    <row r="1031" spans="1:9" x14ac:dyDescent="0.3">
      <c r="A1031" s="30" t="s">
        <v>493</v>
      </c>
      <c r="B1031" s="33" t="s">
        <v>23</v>
      </c>
      <c r="C1031" s="33">
        <v>1</v>
      </c>
      <c r="D1031" s="34" t="s">
        <v>200</v>
      </c>
      <c r="E1031" s="34" t="s">
        <v>219</v>
      </c>
      <c r="F1031" s="33">
        <v>0</v>
      </c>
      <c r="G1031" s="33">
        <v>0.2</v>
      </c>
      <c r="H1031" s="33" t="s">
        <v>202</v>
      </c>
      <c r="I1031" s="33">
        <v>100</v>
      </c>
    </row>
    <row r="1032" spans="1:9" x14ac:dyDescent="0.3">
      <c r="A1032" s="30" t="s">
        <v>493</v>
      </c>
      <c r="B1032" s="33" t="s">
        <v>23</v>
      </c>
      <c r="C1032" s="33">
        <v>1</v>
      </c>
      <c r="D1032" s="34" t="s">
        <v>200</v>
      </c>
      <c r="E1032" s="34" t="s">
        <v>220</v>
      </c>
      <c r="F1032" s="33">
        <v>0</v>
      </c>
      <c r="G1032" s="33">
        <v>0.2</v>
      </c>
      <c r="H1032" s="33" t="s">
        <v>202</v>
      </c>
      <c r="I1032" s="33">
        <v>100</v>
      </c>
    </row>
    <row r="1033" spans="1:9" x14ac:dyDescent="0.3">
      <c r="A1033" s="30" t="s">
        <v>493</v>
      </c>
      <c r="B1033" s="33" t="s">
        <v>23</v>
      </c>
      <c r="C1033" s="33">
        <v>1</v>
      </c>
      <c r="D1033" s="34" t="s">
        <v>200</v>
      </c>
      <c r="E1033" s="34" t="s">
        <v>217</v>
      </c>
      <c r="F1033" s="33">
        <v>0</v>
      </c>
      <c r="G1033" s="33">
        <v>0.35</v>
      </c>
      <c r="H1033" s="33" t="s">
        <v>215</v>
      </c>
      <c r="I1033" s="33">
        <v>500</v>
      </c>
    </row>
    <row r="1034" spans="1:9" x14ac:dyDescent="0.3">
      <c r="A1034" s="30" t="s">
        <v>493</v>
      </c>
      <c r="B1034" s="33" t="s">
        <v>23</v>
      </c>
      <c r="C1034" s="33">
        <v>1</v>
      </c>
      <c r="D1034" s="34" t="s">
        <v>200</v>
      </c>
      <c r="E1034" s="34" t="s">
        <v>218</v>
      </c>
      <c r="F1034" s="33">
        <v>0</v>
      </c>
      <c r="G1034" s="33">
        <v>0.35</v>
      </c>
      <c r="H1034" s="33" t="s">
        <v>215</v>
      </c>
      <c r="I1034" s="33">
        <v>500</v>
      </c>
    </row>
    <row r="1035" spans="1:9" x14ac:dyDescent="0.3">
      <c r="A1035" s="30" t="s">
        <v>493</v>
      </c>
      <c r="B1035" s="33" t="s">
        <v>23</v>
      </c>
      <c r="C1035" s="33">
        <v>1</v>
      </c>
      <c r="D1035" s="34" t="s">
        <v>200</v>
      </c>
      <c r="E1035" s="34" t="s">
        <v>219</v>
      </c>
      <c r="F1035" s="33">
        <v>0</v>
      </c>
      <c r="G1035" s="33">
        <v>0.35</v>
      </c>
      <c r="H1035" s="33" t="s">
        <v>215</v>
      </c>
      <c r="I1035" s="33">
        <v>500</v>
      </c>
    </row>
    <row r="1036" spans="1:9" x14ac:dyDescent="0.3">
      <c r="A1036" s="30" t="s">
        <v>493</v>
      </c>
      <c r="B1036" s="33" t="s">
        <v>23</v>
      </c>
      <c r="C1036" s="33">
        <v>1</v>
      </c>
      <c r="D1036" s="34" t="s">
        <v>200</v>
      </c>
      <c r="E1036" s="34" t="s">
        <v>220</v>
      </c>
      <c r="F1036" s="33">
        <v>0</v>
      </c>
      <c r="G1036" s="33">
        <v>0.35</v>
      </c>
      <c r="H1036" s="33" t="s">
        <v>215</v>
      </c>
      <c r="I1036" s="33">
        <v>500</v>
      </c>
    </row>
    <row r="1037" spans="1:9" x14ac:dyDescent="0.3">
      <c r="A1037" s="30" t="s">
        <v>493</v>
      </c>
      <c r="B1037" s="33" t="s">
        <v>23</v>
      </c>
      <c r="C1037" s="33">
        <v>1</v>
      </c>
      <c r="D1037" s="34" t="s">
        <v>221</v>
      </c>
      <c r="E1037" s="34" t="s">
        <v>198</v>
      </c>
      <c r="F1037" s="33">
        <v>0</v>
      </c>
      <c r="G1037" s="33">
        <v>0.5</v>
      </c>
      <c r="H1037" s="33"/>
      <c r="I1037" s="33">
        <v>0</v>
      </c>
    </row>
    <row r="1038" spans="1:9" x14ac:dyDescent="0.3">
      <c r="A1038" s="30" t="s">
        <v>494</v>
      </c>
      <c r="B1038" s="33" t="s">
        <v>23</v>
      </c>
      <c r="C1038" s="33">
        <v>1</v>
      </c>
      <c r="D1038" s="34" t="s">
        <v>188</v>
      </c>
      <c r="E1038" s="34" t="s">
        <v>189</v>
      </c>
      <c r="F1038" s="33">
        <v>0</v>
      </c>
      <c r="G1038" s="33">
        <v>0.15</v>
      </c>
      <c r="H1038" s="33"/>
      <c r="I1038" s="33">
        <v>0</v>
      </c>
    </row>
    <row r="1039" spans="1:9" x14ac:dyDescent="0.3">
      <c r="A1039" s="30" t="s">
        <v>494</v>
      </c>
      <c r="B1039" s="33" t="s">
        <v>23</v>
      </c>
      <c r="C1039" s="33">
        <v>1</v>
      </c>
      <c r="D1039" s="34" t="s">
        <v>190</v>
      </c>
      <c r="E1039" s="34" t="s">
        <v>198</v>
      </c>
      <c r="F1039" s="33">
        <v>0</v>
      </c>
      <c r="G1039" s="33">
        <v>0.3</v>
      </c>
      <c r="H1039" s="33"/>
      <c r="I1039" s="33">
        <v>0</v>
      </c>
    </row>
    <row r="1040" spans="1:9" x14ac:dyDescent="0.3">
      <c r="A1040" s="30" t="s">
        <v>494</v>
      </c>
      <c r="B1040" s="33" t="s">
        <v>23</v>
      </c>
      <c r="C1040" s="33">
        <v>1</v>
      </c>
      <c r="D1040" s="34" t="s">
        <v>197</v>
      </c>
      <c r="E1040" s="34" t="s">
        <v>198</v>
      </c>
      <c r="F1040" s="33">
        <v>0</v>
      </c>
      <c r="G1040" s="33">
        <v>0.05</v>
      </c>
      <c r="H1040" s="33"/>
      <c r="I1040" s="33">
        <v>0</v>
      </c>
    </row>
    <row r="1041" spans="1:9" x14ac:dyDescent="0.3">
      <c r="A1041" s="30" t="s">
        <v>494</v>
      </c>
      <c r="B1041" s="33" t="s">
        <v>23</v>
      </c>
      <c r="C1041" s="33">
        <v>1</v>
      </c>
      <c r="D1041" s="34" t="s">
        <v>197</v>
      </c>
      <c r="E1041" s="34" t="s">
        <v>199</v>
      </c>
      <c r="F1041" s="33">
        <v>0</v>
      </c>
      <c r="G1041" s="33">
        <v>0</v>
      </c>
      <c r="H1041" s="33"/>
      <c r="I1041" s="33">
        <v>0</v>
      </c>
    </row>
    <row r="1042" spans="1:9" x14ac:dyDescent="0.3">
      <c r="A1042" s="30" t="s">
        <v>494</v>
      </c>
      <c r="B1042" s="33" t="s">
        <v>23</v>
      </c>
      <c r="C1042" s="33">
        <v>1</v>
      </c>
      <c r="D1042" s="34" t="s">
        <v>200</v>
      </c>
      <c r="E1042" s="34" t="s">
        <v>201</v>
      </c>
      <c r="F1042" s="33">
        <v>0</v>
      </c>
      <c r="G1042" s="33">
        <v>0.35</v>
      </c>
      <c r="H1042" s="33" t="s">
        <v>202</v>
      </c>
      <c r="I1042" s="33">
        <v>100</v>
      </c>
    </row>
    <row r="1043" spans="1:9" x14ac:dyDescent="0.3">
      <c r="A1043" s="30" t="s">
        <v>494</v>
      </c>
      <c r="B1043" s="33" t="s">
        <v>23</v>
      </c>
      <c r="C1043" s="33">
        <v>1</v>
      </c>
      <c r="D1043" s="34" t="s">
        <v>200</v>
      </c>
      <c r="E1043" s="34" t="s">
        <v>203</v>
      </c>
      <c r="F1043" s="33">
        <v>0</v>
      </c>
      <c r="G1043" s="33">
        <v>0.3</v>
      </c>
      <c r="H1043" s="33" t="s">
        <v>202</v>
      </c>
      <c r="I1043" s="33">
        <v>100</v>
      </c>
    </row>
    <row r="1044" spans="1:9" x14ac:dyDescent="0.3">
      <c r="A1044" s="30" t="s">
        <v>494</v>
      </c>
      <c r="B1044" s="33" t="s">
        <v>23</v>
      </c>
      <c r="C1044" s="33">
        <v>1</v>
      </c>
      <c r="D1044" s="34" t="s">
        <v>200</v>
      </c>
      <c r="E1044" s="34" t="s">
        <v>204</v>
      </c>
      <c r="F1044" s="33">
        <v>0</v>
      </c>
      <c r="G1044" s="33">
        <v>0.3</v>
      </c>
      <c r="H1044" s="33" t="s">
        <v>202</v>
      </c>
      <c r="I1044" s="33">
        <v>100</v>
      </c>
    </row>
    <row r="1045" spans="1:9" x14ac:dyDescent="0.3">
      <c r="A1045" s="30" t="s">
        <v>494</v>
      </c>
      <c r="B1045" s="33" t="s">
        <v>23</v>
      </c>
      <c r="C1045" s="33">
        <v>1</v>
      </c>
      <c r="D1045" s="34" t="s">
        <v>200</v>
      </c>
      <c r="E1045" s="34" t="s">
        <v>205</v>
      </c>
      <c r="F1045" s="33">
        <v>0</v>
      </c>
      <c r="G1045" s="33">
        <v>0.3</v>
      </c>
      <c r="H1045" s="33" t="s">
        <v>202</v>
      </c>
      <c r="I1045" s="33">
        <v>100</v>
      </c>
    </row>
    <row r="1046" spans="1:9" x14ac:dyDescent="0.3">
      <c r="A1046" s="30" t="s">
        <v>494</v>
      </c>
      <c r="B1046" s="33" t="s">
        <v>23</v>
      </c>
      <c r="C1046" s="33">
        <v>1</v>
      </c>
      <c r="D1046" s="34" t="s">
        <v>200</v>
      </c>
      <c r="E1046" s="34" t="s">
        <v>206</v>
      </c>
      <c r="F1046" s="33">
        <v>0</v>
      </c>
      <c r="G1046" s="33">
        <v>0.3</v>
      </c>
      <c r="H1046" s="33" t="s">
        <v>202</v>
      </c>
      <c r="I1046" s="33">
        <v>100</v>
      </c>
    </row>
    <row r="1047" spans="1:9" x14ac:dyDescent="0.3">
      <c r="A1047" s="30" t="s">
        <v>494</v>
      </c>
      <c r="B1047" s="33" t="s">
        <v>23</v>
      </c>
      <c r="C1047" s="33">
        <v>1</v>
      </c>
      <c r="D1047" s="34" t="s">
        <v>200</v>
      </c>
      <c r="E1047" s="34" t="s">
        <v>207</v>
      </c>
      <c r="F1047" s="33">
        <v>0</v>
      </c>
      <c r="G1047" s="33">
        <v>0.2</v>
      </c>
      <c r="H1047" s="33" t="s">
        <v>202</v>
      </c>
      <c r="I1047" s="33">
        <v>100</v>
      </c>
    </row>
    <row r="1048" spans="1:9" x14ac:dyDescent="0.3">
      <c r="A1048" s="30" t="s">
        <v>494</v>
      </c>
      <c r="B1048" s="33" t="s">
        <v>23</v>
      </c>
      <c r="C1048" s="33">
        <v>1</v>
      </c>
      <c r="D1048" s="34" t="s">
        <v>200</v>
      </c>
      <c r="E1048" s="34" t="s">
        <v>208</v>
      </c>
      <c r="F1048" s="33">
        <v>0</v>
      </c>
      <c r="G1048" s="33">
        <v>0.2</v>
      </c>
      <c r="H1048" s="33" t="s">
        <v>202</v>
      </c>
      <c r="I1048" s="33">
        <v>100</v>
      </c>
    </row>
    <row r="1049" spans="1:9" x14ac:dyDescent="0.3">
      <c r="A1049" s="30" t="s">
        <v>494</v>
      </c>
      <c r="B1049" s="33" t="s">
        <v>23</v>
      </c>
      <c r="C1049" s="33">
        <v>1</v>
      </c>
      <c r="D1049" s="34" t="s">
        <v>200</v>
      </c>
      <c r="E1049" s="34" t="s">
        <v>209</v>
      </c>
      <c r="F1049" s="33">
        <v>0</v>
      </c>
      <c r="G1049" s="33">
        <v>0.3</v>
      </c>
      <c r="H1049" s="33" t="s">
        <v>202</v>
      </c>
      <c r="I1049" s="33">
        <v>100</v>
      </c>
    </row>
    <row r="1050" spans="1:9" x14ac:dyDescent="0.3">
      <c r="A1050" s="30" t="s">
        <v>494</v>
      </c>
      <c r="B1050" s="33" t="s">
        <v>23</v>
      </c>
      <c r="C1050" s="33">
        <v>1</v>
      </c>
      <c r="D1050" s="34" t="s">
        <v>200</v>
      </c>
      <c r="E1050" s="34" t="s">
        <v>210</v>
      </c>
      <c r="F1050" s="33">
        <v>0</v>
      </c>
      <c r="G1050" s="33">
        <v>0.2</v>
      </c>
      <c r="H1050" s="33" t="s">
        <v>202</v>
      </c>
      <c r="I1050" s="33">
        <v>100</v>
      </c>
    </row>
    <row r="1051" spans="1:9" x14ac:dyDescent="0.3">
      <c r="A1051" s="30" t="s">
        <v>494</v>
      </c>
      <c r="B1051" s="33" t="s">
        <v>23</v>
      </c>
      <c r="C1051" s="33">
        <v>1</v>
      </c>
      <c r="D1051" s="34" t="s">
        <v>200</v>
      </c>
      <c r="E1051" s="34" t="s">
        <v>211</v>
      </c>
      <c r="F1051" s="33">
        <v>0</v>
      </c>
      <c r="G1051" s="33">
        <v>0.15</v>
      </c>
      <c r="H1051" s="33" t="s">
        <v>202</v>
      </c>
      <c r="I1051" s="33">
        <v>100</v>
      </c>
    </row>
    <row r="1052" spans="1:9" x14ac:dyDescent="0.3">
      <c r="A1052" s="30" t="s">
        <v>494</v>
      </c>
      <c r="B1052" s="33" t="s">
        <v>23</v>
      </c>
      <c r="C1052" s="33">
        <v>1</v>
      </c>
      <c r="D1052" s="34" t="s">
        <v>200</v>
      </c>
      <c r="E1052" s="34" t="s">
        <v>212</v>
      </c>
      <c r="F1052" s="33">
        <v>0</v>
      </c>
      <c r="G1052" s="33">
        <v>0.15</v>
      </c>
      <c r="H1052" s="33" t="s">
        <v>202</v>
      </c>
      <c r="I1052" s="33">
        <v>100</v>
      </c>
    </row>
    <row r="1053" spans="1:9" x14ac:dyDescent="0.3">
      <c r="A1053" s="30" t="s">
        <v>494</v>
      </c>
      <c r="B1053" s="33" t="s">
        <v>23</v>
      </c>
      <c r="C1053" s="33">
        <v>1</v>
      </c>
      <c r="D1053" s="34" t="s">
        <v>200</v>
      </c>
      <c r="E1053" s="34" t="s">
        <v>213</v>
      </c>
      <c r="F1053" s="33">
        <v>0</v>
      </c>
      <c r="G1053" s="33">
        <v>0.15</v>
      </c>
      <c r="H1053" s="33" t="s">
        <v>202</v>
      </c>
      <c r="I1053" s="33">
        <v>100</v>
      </c>
    </row>
    <row r="1054" spans="1:9" x14ac:dyDescent="0.3">
      <c r="A1054" s="30" t="s">
        <v>494</v>
      </c>
      <c r="B1054" s="33" t="s">
        <v>23</v>
      </c>
      <c r="C1054" s="33">
        <v>1</v>
      </c>
      <c r="D1054" s="34" t="s">
        <v>200</v>
      </c>
      <c r="E1054" s="34" t="s">
        <v>214</v>
      </c>
      <c r="F1054" s="33">
        <v>0</v>
      </c>
      <c r="G1054" s="33">
        <v>0.15</v>
      </c>
      <c r="H1054" s="33" t="s">
        <v>202</v>
      </c>
      <c r="I1054" s="33">
        <v>100</v>
      </c>
    </row>
    <row r="1055" spans="1:9" x14ac:dyDescent="0.3">
      <c r="A1055" s="30" t="s">
        <v>494</v>
      </c>
      <c r="B1055" s="33" t="s">
        <v>23</v>
      </c>
      <c r="C1055" s="33">
        <v>1</v>
      </c>
      <c r="D1055" s="34" t="s">
        <v>200</v>
      </c>
      <c r="E1055" s="34" t="s">
        <v>201</v>
      </c>
      <c r="F1055" s="33">
        <v>0</v>
      </c>
      <c r="G1055" s="33">
        <v>0.5</v>
      </c>
      <c r="H1055" s="33" t="s">
        <v>215</v>
      </c>
      <c r="I1055" s="33">
        <v>500</v>
      </c>
    </row>
    <row r="1056" spans="1:9" x14ac:dyDescent="0.3">
      <c r="A1056" s="30" t="s">
        <v>494</v>
      </c>
      <c r="B1056" s="33" t="s">
        <v>23</v>
      </c>
      <c r="C1056" s="33">
        <v>1</v>
      </c>
      <c r="D1056" s="34" t="s">
        <v>200</v>
      </c>
      <c r="E1056" s="34" t="s">
        <v>203</v>
      </c>
      <c r="F1056" s="33">
        <v>0</v>
      </c>
      <c r="G1056" s="33">
        <v>0.5</v>
      </c>
      <c r="H1056" s="33" t="s">
        <v>215</v>
      </c>
      <c r="I1056" s="33">
        <v>500</v>
      </c>
    </row>
    <row r="1057" spans="1:9" x14ac:dyDescent="0.3">
      <c r="A1057" s="30" t="s">
        <v>494</v>
      </c>
      <c r="B1057" s="33" t="s">
        <v>23</v>
      </c>
      <c r="C1057" s="33">
        <v>1</v>
      </c>
      <c r="D1057" s="34" t="s">
        <v>200</v>
      </c>
      <c r="E1057" s="34" t="s">
        <v>204</v>
      </c>
      <c r="F1057" s="33">
        <v>0</v>
      </c>
      <c r="G1057" s="33">
        <v>0.5</v>
      </c>
      <c r="H1057" s="33" t="s">
        <v>215</v>
      </c>
      <c r="I1057" s="33">
        <v>500</v>
      </c>
    </row>
    <row r="1058" spans="1:9" x14ac:dyDescent="0.3">
      <c r="A1058" s="30" t="s">
        <v>494</v>
      </c>
      <c r="B1058" s="33" t="s">
        <v>23</v>
      </c>
      <c r="C1058" s="33">
        <v>1</v>
      </c>
      <c r="D1058" s="34" t="s">
        <v>200</v>
      </c>
      <c r="E1058" s="34" t="s">
        <v>205</v>
      </c>
      <c r="F1058" s="33">
        <v>0</v>
      </c>
      <c r="G1058" s="33">
        <v>0.5</v>
      </c>
      <c r="H1058" s="33" t="s">
        <v>215</v>
      </c>
      <c r="I1058" s="33">
        <v>500</v>
      </c>
    </row>
    <row r="1059" spans="1:9" x14ac:dyDescent="0.3">
      <c r="A1059" s="30" t="s">
        <v>494</v>
      </c>
      <c r="B1059" s="33" t="s">
        <v>23</v>
      </c>
      <c r="C1059" s="33">
        <v>1</v>
      </c>
      <c r="D1059" s="34" t="s">
        <v>200</v>
      </c>
      <c r="E1059" s="34" t="s">
        <v>206</v>
      </c>
      <c r="F1059" s="33">
        <v>0</v>
      </c>
      <c r="G1059" s="33">
        <v>0.5</v>
      </c>
      <c r="H1059" s="33" t="s">
        <v>215</v>
      </c>
      <c r="I1059" s="33">
        <v>500</v>
      </c>
    </row>
    <row r="1060" spans="1:9" x14ac:dyDescent="0.3">
      <c r="A1060" s="30" t="s">
        <v>494</v>
      </c>
      <c r="B1060" s="33" t="s">
        <v>23</v>
      </c>
      <c r="C1060" s="33">
        <v>1</v>
      </c>
      <c r="D1060" s="34" t="s">
        <v>200</v>
      </c>
      <c r="E1060" s="34" t="s">
        <v>207</v>
      </c>
      <c r="F1060" s="33">
        <v>0</v>
      </c>
      <c r="G1060" s="33">
        <v>0.35</v>
      </c>
      <c r="H1060" s="33" t="s">
        <v>215</v>
      </c>
      <c r="I1060" s="33">
        <v>500</v>
      </c>
    </row>
    <row r="1061" spans="1:9" x14ac:dyDescent="0.3">
      <c r="A1061" s="30" t="s">
        <v>494</v>
      </c>
      <c r="B1061" s="33" t="s">
        <v>23</v>
      </c>
      <c r="C1061" s="33">
        <v>1</v>
      </c>
      <c r="D1061" s="34" t="s">
        <v>200</v>
      </c>
      <c r="E1061" s="34" t="s">
        <v>208</v>
      </c>
      <c r="F1061" s="33">
        <v>0</v>
      </c>
      <c r="G1061" s="33">
        <v>0.3</v>
      </c>
      <c r="H1061" s="33" t="s">
        <v>215</v>
      </c>
      <c r="I1061" s="33">
        <v>500</v>
      </c>
    </row>
    <row r="1062" spans="1:9" x14ac:dyDescent="0.3">
      <c r="A1062" s="30" t="s">
        <v>494</v>
      </c>
      <c r="B1062" s="33" t="s">
        <v>23</v>
      </c>
      <c r="C1062" s="33">
        <v>1</v>
      </c>
      <c r="D1062" s="34" t="s">
        <v>200</v>
      </c>
      <c r="E1062" s="34" t="s">
        <v>209</v>
      </c>
      <c r="F1062" s="33">
        <v>0</v>
      </c>
      <c r="G1062" s="33">
        <v>0.5</v>
      </c>
      <c r="H1062" s="33" t="s">
        <v>215</v>
      </c>
      <c r="I1062" s="33">
        <v>500</v>
      </c>
    </row>
    <row r="1063" spans="1:9" x14ac:dyDescent="0.3">
      <c r="A1063" s="30" t="s">
        <v>494</v>
      </c>
      <c r="B1063" s="33" t="s">
        <v>23</v>
      </c>
      <c r="C1063" s="33">
        <v>1</v>
      </c>
      <c r="D1063" s="34" t="s">
        <v>200</v>
      </c>
      <c r="E1063" s="34" t="s">
        <v>210</v>
      </c>
      <c r="F1063" s="33">
        <v>0</v>
      </c>
      <c r="G1063" s="33">
        <v>0.3</v>
      </c>
      <c r="H1063" s="33" t="s">
        <v>215</v>
      </c>
      <c r="I1063" s="33">
        <v>500</v>
      </c>
    </row>
    <row r="1064" spans="1:9" x14ac:dyDescent="0.3">
      <c r="A1064" s="30" t="s">
        <v>494</v>
      </c>
      <c r="B1064" s="33" t="s">
        <v>23</v>
      </c>
      <c r="C1064" s="33">
        <v>1</v>
      </c>
      <c r="D1064" s="34" t="s">
        <v>200</v>
      </c>
      <c r="E1064" s="34" t="s">
        <v>211</v>
      </c>
      <c r="F1064" s="33">
        <v>0</v>
      </c>
      <c r="G1064" s="33">
        <v>0.25</v>
      </c>
      <c r="H1064" s="33" t="s">
        <v>215</v>
      </c>
      <c r="I1064" s="33">
        <v>500</v>
      </c>
    </row>
    <row r="1065" spans="1:9" x14ac:dyDescent="0.3">
      <c r="A1065" s="30" t="s">
        <v>494</v>
      </c>
      <c r="B1065" s="33" t="s">
        <v>23</v>
      </c>
      <c r="C1065" s="33">
        <v>1</v>
      </c>
      <c r="D1065" s="34" t="s">
        <v>200</v>
      </c>
      <c r="E1065" s="34" t="s">
        <v>212</v>
      </c>
      <c r="F1065" s="33">
        <v>0</v>
      </c>
      <c r="G1065" s="33">
        <v>0.25</v>
      </c>
      <c r="H1065" s="33" t="s">
        <v>215</v>
      </c>
      <c r="I1065" s="33">
        <v>500</v>
      </c>
    </row>
    <row r="1066" spans="1:9" x14ac:dyDescent="0.3">
      <c r="A1066" s="30" t="s">
        <v>494</v>
      </c>
      <c r="B1066" s="33" t="s">
        <v>23</v>
      </c>
      <c r="C1066" s="33">
        <v>1</v>
      </c>
      <c r="D1066" s="34" t="s">
        <v>200</v>
      </c>
      <c r="E1066" s="34" t="s">
        <v>213</v>
      </c>
      <c r="F1066" s="33">
        <v>0</v>
      </c>
      <c r="G1066" s="33">
        <v>0.25</v>
      </c>
      <c r="H1066" s="33" t="s">
        <v>215</v>
      </c>
      <c r="I1066" s="33">
        <v>500</v>
      </c>
    </row>
    <row r="1067" spans="1:9" x14ac:dyDescent="0.3">
      <c r="A1067" s="30" t="s">
        <v>494</v>
      </c>
      <c r="B1067" s="33" t="s">
        <v>23</v>
      </c>
      <c r="C1067" s="33">
        <v>1</v>
      </c>
      <c r="D1067" s="34" t="s">
        <v>200</v>
      </c>
      <c r="E1067" s="34" t="s">
        <v>214</v>
      </c>
      <c r="F1067" s="33">
        <v>0</v>
      </c>
      <c r="G1067" s="33">
        <v>0.25</v>
      </c>
      <c r="H1067" s="33" t="s">
        <v>215</v>
      </c>
      <c r="I1067" s="33">
        <v>500</v>
      </c>
    </row>
    <row r="1068" spans="1:9" x14ac:dyDescent="0.3">
      <c r="A1068" s="30" t="s">
        <v>494</v>
      </c>
      <c r="B1068" s="33" t="s">
        <v>23</v>
      </c>
      <c r="C1068" s="33">
        <v>1</v>
      </c>
      <c r="D1068" s="34" t="s">
        <v>200</v>
      </c>
      <c r="E1068" s="34" t="s">
        <v>216</v>
      </c>
      <c r="F1068" s="33">
        <v>0</v>
      </c>
      <c r="G1068" s="33">
        <v>0.3</v>
      </c>
      <c r="H1068" s="33" t="s">
        <v>202</v>
      </c>
      <c r="I1068" s="33">
        <v>100</v>
      </c>
    </row>
    <row r="1069" spans="1:9" x14ac:dyDescent="0.3">
      <c r="A1069" s="30" t="s">
        <v>494</v>
      </c>
      <c r="B1069" s="33" t="s">
        <v>23</v>
      </c>
      <c r="C1069" s="33">
        <v>1</v>
      </c>
      <c r="D1069" s="34" t="s">
        <v>200</v>
      </c>
      <c r="E1069" s="34" t="s">
        <v>216</v>
      </c>
      <c r="F1069" s="33">
        <v>0</v>
      </c>
      <c r="G1069" s="33">
        <v>0.45</v>
      </c>
      <c r="H1069" s="33" t="s">
        <v>215</v>
      </c>
      <c r="I1069" s="33">
        <v>500</v>
      </c>
    </row>
    <row r="1070" spans="1:9" x14ac:dyDescent="0.3">
      <c r="A1070" s="30" t="s">
        <v>494</v>
      </c>
      <c r="B1070" s="33" t="s">
        <v>23</v>
      </c>
      <c r="C1070" s="33">
        <v>1</v>
      </c>
      <c r="D1070" s="34" t="s">
        <v>200</v>
      </c>
      <c r="E1070" s="34" t="s">
        <v>217</v>
      </c>
      <c r="F1070" s="33">
        <v>0</v>
      </c>
      <c r="G1070" s="33">
        <v>0.2</v>
      </c>
      <c r="H1070" s="33" t="s">
        <v>202</v>
      </c>
      <c r="I1070" s="33">
        <v>100</v>
      </c>
    </row>
    <row r="1071" spans="1:9" x14ac:dyDescent="0.3">
      <c r="A1071" s="30" t="s">
        <v>494</v>
      </c>
      <c r="B1071" s="33" t="s">
        <v>23</v>
      </c>
      <c r="C1071" s="33">
        <v>1</v>
      </c>
      <c r="D1071" s="34" t="s">
        <v>200</v>
      </c>
      <c r="E1071" s="34" t="s">
        <v>218</v>
      </c>
      <c r="F1071" s="33">
        <v>0</v>
      </c>
      <c r="G1071" s="33">
        <v>0.2</v>
      </c>
      <c r="H1071" s="33" t="s">
        <v>202</v>
      </c>
      <c r="I1071" s="33">
        <v>100</v>
      </c>
    </row>
    <row r="1072" spans="1:9" x14ac:dyDescent="0.3">
      <c r="A1072" s="30" t="s">
        <v>494</v>
      </c>
      <c r="B1072" s="33" t="s">
        <v>23</v>
      </c>
      <c r="C1072" s="33">
        <v>1</v>
      </c>
      <c r="D1072" s="34" t="s">
        <v>200</v>
      </c>
      <c r="E1072" s="34" t="s">
        <v>219</v>
      </c>
      <c r="F1072" s="33">
        <v>0</v>
      </c>
      <c r="G1072" s="33">
        <v>0.2</v>
      </c>
      <c r="H1072" s="33" t="s">
        <v>202</v>
      </c>
      <c r="I1072" s="33">
        <v>100</v>
      </c>
    </row>
    <row r="1073" spans="1:9" x14ac:dyDescent="0.3">
      <c r="A1073" s="30" t="s">
        <v>494</v>
      </c>
      <c r="B1073" s="33" t="s">
        <v>23</v>
      </c>
      <c r="C1073" s="33">
        <v>1</v>
      </c>
      <c r="D1073" s="34" t="s">
        <v>200</v>
      </c>
      <c r="E1073" s="34" t="s">
        <v>220</v>
      </c>
      <c r="F1073" s="33">
        <v>0</v>
      </c>
      <c r="G1073" s="33">
        <v>0.2</v>
      </c>
      <c r="H1073" s="33" t="s">
        <v>202</v>
      </c>
      <c r="I1073" s="33">
        <v>100</v>
      </c>
    </row>
    <row r="1074" spans="1:9" x14ac:dyDescent="0.3">
      <c r="A1074" s="30" t="s">
        <v>494</v>
      </c>
      <c r="B1074" s="33" t="s">
        <v>23</v>
      </c>
      <c r="C1074" s="33">
        <v>1</v>
      </c>
      <c r="D1074" s="34" t="s">
        <v>200</v>
      </c>
      <c r="E1074" s="34" t="s">
        <v>217</v>
      </c>
      <c r="F1074" s="33">
        <v>0</v>
      </c>
      <c r="G1074" s="33">
        <v>0.35</v>
      </c>
      <c r="H1074" s="33" t="s">
        <v>215</v>
      </c>
      <c r="I1074" s="33">
        <v>500</v>
      </c>
    </row>
    <row r="1075" spans="1:9" x14ac:dyDescent="0.3">
      <c r="A1075" s="30" t="s">
        <v>494</v>
      </c>
      <c r="B1075" s="33" t="s">
        <v>23</v>
      </c>
      <c r="C1075" s="33">
        <v>1</v>
      </c>
      <c r="D1075" s="34" t="s">
        <v>200</v>
      </c>
      <c r="E1075" s="34" t="s">
        <v>218</v>
      </c>
      <c r="F1075" s="33">
        <v>0</v>
      </c>
      <c r="G1075" s="33">
        <v>0.35</v>
      </c>
      <c r="H1075" s="33" t="s">
        <v>215</v>
      </c>
      <c r="I1075" s="33">
        <v>500</v>
      </c>
    </row>
    <row r="1076" spans="1:9" x14ac:dyDescent="0.3">
      <c r="A1076" s="30" t="s">
        <v>494</v>
      </c>
      <c r="B1076" s="33" t="s">
        <v>23</v>
      </c>
      <c r="C1076" s="33">
        <v>1</v>
      </c>
      <c r="D1076" s="34" t="s">
        <v>200</v>
      </c>
      <c r="E1076" s="34" t="s">
        <v>219</v>
      </c>
      <c r="F1076" s="33">
        <v>0</v>
      </c>
      <c r="G1076" s="33">
        <v>0.35</v>
      </c>
      <c r="H1076" s="33" t="s">
        <v>215</v>
      </c>
      <c r="I1076" s="33">
        <v>500</v>
      </c>
    </row>
    <row r="1077" spans="1:9" x14ac:dyDescent="0.3">
      <c r="A1077" s="30" t="s">
        <v>494</v>
      </c>
      <c r="B1077" s="33" t="s">
        <v>23</v>
      </c>
      <c r="C1077" s="33">
        <v>1</v>
      </c>
      <c r="D1077" s="34" t="s">
        <v>200</v>
      </c>
      <c r="E1077" s="34" t="s">
        <v>220</v>
      </c>
      <c r="F1077" s="33">
        <v>0</v>
      </c>
      <c r="G1077" s="33">
        <v>0.35</v>
      </c>
      <c r="H1077" s="33" t="s">
        <v>215</v>
      </c>
      <c r="I1077" s="33">
        <v>500</v>
      </c>
    </row>
    <row r="1078" spans="1:9" x14ac:dyDescent="0.3">
      <c r="A1078" s="30" t="s">
        <v>494</v>
      </c>
      <c r="B1078" s="33" t="s">
        <v>23</v>
      </c>
      <c r="C1078" s="33">
        <v>1</v>
      </c>
      <c r="D1078" s="34" t="s">
        <v>221</v>
      </c>
      <c r="E1078" s="34" t="s">
        <v>198</v>
      </c>
      <c r="F1078" s="33">
        <v>0</v>
      </c>
      <c r="G1078" s="33">
        <v>0.5</v>
      </c>
      <c r="H1078" s="33"/>
      <c r="I1078" s="33">
        <v>0</v>
      </c>
    </row>
    <row r="1079" spans="1:9" x14ac:dyDescent="0.3">
      <c r="A1079" s="30" t="s">
        <v>495</v>
      </c>
      <c r="B1079" s="33" t="s">
        <v>23</v>
      </c>
      <c r="C1079" s="33">
        <v>1</v>
      </c>
      <c r="D1079" s="34" t="s">
        <v>188</v>
      </c>
      <c r="E1079" s="34" t="s">
        <v>189</v>
      </c>
      <c r="F1079" s="33">
        <v>0</v>
      </c>
      <c r="G1079" s="33">
        <v>0.15</v>
      </c>
      <c r="H1079" s="33"/>
      <c r="I1079" s="33">
        <v>0</v>
      </c>
    </row>
    <row r="1080" spans="1:9" x14ac:dyDescent="0.3">
      <c r="A1080" s="30" t="s">
        <v>495</v>
      </c>
      <c r="B1080" s="33" t="s">
        <v>23</v>
      </c>
      <c r="C1080" s="33">
        <v>1</v>
      </c>
      <c r="D1080" s="34" t="s">
        <v>190</v>
      </c>
      <c r="E1080" s="34" t="s">
        <v>198</v>
      </c>
      <c r="F1080" s="33">
        <v>0</v>
      </c>
      <c r="G1080" s="33">
        <v>0.3</v>
      </c>
      <c r="H1080" s="33"/>
      <c r="I1080" s="33">
        <v>0</v>
      </c>
    </row>
    <row r="1081" spans="1:9" x14ac:dyDescent="0.3">
      <c r="A1081" s="30" t="s">
        <v>495</v>
      </c>
      <c r="B1081" s="33" t="s">
        <v>23</v>
      </c>
      <c r="C1081" s="33">
        <v>1</v>
      </c>
      <c r="D1081" s="34" t="s">
        <v>197</v>
      </c>
      <c r="E1081" s="34" t="s">
        <v>198</v>
      </c>
      <c r="F1081" s="33">
        <v>0</v>
      </c>
      <c r="G1081" s="33">
        <v>0.05</v>
      </c>
      <c r="H1081" s="33"/>
      <c r="I1081" s="33">
        <v>0</v>
      </c>
    </row>
    <row r="1082" spans="1:9" x14ac:dyDescent="0.3">
      <c r="A1082" s="30" t="s">
        <v>495</v>
      </c>
      <c r="B1082" s="33" t="s">
        <v>23</v>
      </c>
      <c r="C1082" s="33">
        <v>1</v>
      </c>
      <c r="D1082" s="34" t="s">
        <v>197</v>
      </c>
      <c r="E1082" s="34" t="s">
        <v>199</v>
      </c>
      <c r="F1082" s="33">
        <v>0</v>
      </c>
      <c r="G1082" s="33">
        <v>0</v>
      </c>
      <c r="H1082" s="33"/>
      <c r="I1082" s="33">
        <v>0</v>
      </c>
    </row>
    <row r="1083" spans="1:9" x14ac:dyDescent="0.3">
      <c r="A1083" s="30" t="s">
        <v>495</v>
      </c>
      <c r="B1083" s="33" t="s">
        <v>23</v>
      </c>
      <c r="C1083" s="33">
        <v>1</v>
      </c>
      <c r="D1083" s="34" t="s">
        <v>200</v>
      </c>
      <c r="E1083" s="34" t="s">
        <v>201</v>
      </c>
      <c r="F1083" s="33">
        <v>0</v>
      </c>
      <c r="G1083" s="33">
        <v>0.35</v>
      </c>
      <c r="H1083" s="33" t="s">
        <v>202</v>
      </c>
      <c r="I1083" s="33">
        <v>100</v>
      </c>
    </row>
    <row r="1084" spans="1:9" x14ac:dyDescent="0.3">
      <c r="A1084" s="30" t="s">
        <v>495</v>
      </c>
      <c r="B1084" s="33" t="s">
        <v>23</v>
      </c>
      <c r="C1084" s="33">
        <v>1</v>
      </c>
      <c r="D1084" s="34" t="s">
        <v>200</v>
      </c>
      <c r="E1084" s="34" t="s">
        <v>203</v>
      </c>
      <c r="F1084" s="33">
        <v>0</v>
      </c>
      <c r="G1084" s="33">
        <v>0.3</v>
      </c>
      <c r="H1084" s="33" t="s">
        <v>202</v>
      </c>
      <c r="I1084" s="33">
        <v>100</v>
      </c>
    </row>
    <row r="1085" spans="1:9" x14ac:dyDescent="0.3">
      <c r="A1085" s="30" t="s">
        <v>495</v>
      </c>
      <c r="B1085" s="33" t="s">
        <v>23</v>
      </c>
      <c r="C1085" s="33">
        <v>1</v>
      </c>
      <c r="D1085" s="34" t="s">
        <v>200</v>
      </c>
      <c r="E1085" s="34" t="s">
        <v>204</v>
      </c>
      <c r="F1085" s="33">
        <v>0</v>
      </c>
      <c r="G1085" s="33">
        <v>0.3</v>
      </c>
      <c r="H1085" s="33" t="s">
        <v>202</v>
      </c>
      <c r="I1085" s="33">
        <v>100</v>
      </c>
    </row>
    <row r="1086" spans="1:9" x14ac:dyDescent="0.3">
      <c r="A1086" s="30" t="s">
        <v>495</v>
      </c>
      <c r="B1086" s="33" t="s">
        <v>23</v>
      </c>
      <c r="C1086" s="33">
        <v>1</v>
      </c>
      <c r="D1086" s="34" t="s">
        <v>200</v>
      </c>
      <c r="E1086" s="34" t="s">
        <v>205</v>
      </c>
      <c r="F1086" s="33">
        <v>0</v>
      </c>
      <c r="G1086" s="33">
        <v>0.3</v>
      </c>
      <c r="H1086" s="33" t="s">
        <v>202</v>
      </c>
      <c r="I1086" s="33">
        <v>100</v>
      </c>
    </row>
    <row r="1087" spans="1:9" x14ac:dyDescent="0.3">
      <c r="A1087" s="30" t="s">
        <v>495</v>
      </c>
      <c r="B1087" s="33" t="s">
        <v>23</v>
      </c>
      <c r="C1087" s="33">
        <v>1</v>
      </c>
      <c r="D1087" s="34" t="s">
        <v>200</v>
      </c>
      <c r="E1087" s="34" t="s">
        <v>206</v>
      </c>
      <c r="F1087" s="33">
        <v>0</v>
      </c>
      <c r="G1087" s="33">
        <v>0.3</v>
      </c>
      <c r="H1087" s="33" t="s">
        <v>202</v>
      </c>
      <c r="I1087" s="33">
        <v>100</v>
      </c>
    </row>
    <row r="1088" spans="1:9" x14ac:dyDescent="0.3">
      <c r="A1088" s="30" t="s">
        <v>495</v>
      </c>
      <c r="B1088" s="33" t="s">
        <v>23</v>
      </c>
      <c r="C1088" s="33">
        <v>1</v>
      </c>
      <c r="D1088" s="34" t="s">
        <v>200</v>
      </c>
      <c r="E1088" s="34" t="s">
        <v>207</v>
      </c>
      <c r="F1088" s="33">
        <v>0</v>
      </c>
      <c r="G1088" s="33">
        <v>0.2</v>
      </c>
      <c r="H1088" s="33" t="s">
        <v>202</v>
      </c>
      <c r="I1088" s="33">
        <v>100</v>
      </c>
    </row>
    <row r="1089" spans="1:9" x14ac:dyDescent="0.3">
      <c r="A1089" s="30" t="s">
        <v>495</v>
      </c>
      <c r="B1089" s="33" t="s">
        <v>23</v>
      </c>
      <c r="C1089" s="33">
        <v>1</v>
      </c>
      <c r="D1089" s="34" t="s">
        <v>200</v>
      </c>
      <c r="E1089" s="34" t="s">
        <v>208</v>
      </c>
      <c r="F1089" s="33">
        <v>0</v>
      </c>
      <c r="G1089" s="33">
        <v>0.2</v>
      </c>
      <c r="H1089" s="33" t="s">
        <v>202</v>
      </c>
      <c r="I1089" s="33">
        <v>100</v>
      </c>
    </row>
    <row r="1090" spans="1:9" x14ac:dyDescent="0.3">
      <c r="A1090" s="30" t="s">
        <v>495</v>
      </c>
      <c r="B1090" s="33" t="s">
        <v>23</v>
      </c>
      <c r="C1090" s="33">
        <v>1</v>
      </c>
      <c r="D1090" s="34" t="s">
        <v>200</v>
      </c>
      <c r="E1090" s="34" t="s">
        <v>209</v>
      </c>
      <c r="F1090" s="33">
        <v>0</v>
      </c>
      <c r="G1090" s="33">
        <v>0.3</v>
      </c>
      <c r="H1090" s="33" t="s">
        <v>202</v>
      </c>
      <c r="I1090" s="33">
        <v>100</v>
      </c>
    </row>
    <row r="1091" spans="1:9" x14ac:dyDescent="0.3">
      <c r="A1091" s="30" t="s">
        <v>495</v>
      </c>
      <c r="B1091" s="33" t="s">
        <v>23</v>
      </c>
      <c r="C1091" s="33">
        <v>1</v>
      </c>
      <c r="D1091" s="34" t="s">
        <v>200</v>
      </c>
      <c r="E1091" s="34" t="s">
        <v>210</v>
      </c>
      <c r="F1091" s="33">
        <v>0</v>
      </c>
      <c r="G1091" s="33">
        <v>0.2</v>
      </c>
      <c r="H1091" s="33" t="s">
        <v>202</v>
      </c>
      <c r="I1091" s="33">
        <v>100</v>
      </c>
    </row>
    <row r="1092" spans="1:9" x14ac:dyDescent="0.3">
      <c r="A1092" s="30" t="s">
        <v>495</v>
      </c>
      <c r="B1092" s="33" t="s">
        <v>23</v>
      </c>
      <c r="C1092" s="33">
        <v>1</v>
      </c>
      <c r="D1092" s="34" t="s">
        <v>200</v>
      </c>
      <c r="E1092" s="34" t="s">
        <v>211</v>
      </c>
      <c r="F1092" s="33">
        <v>0</v>
      </c>
      <c r="G1092" s="33">
        <v>0.15</v>
      </c>
      <c r="H1092" s="33" t="s">
        <v>202</v>
      </c>
      <c r="I1092" s="33">
        <v>100</v>
      </c>
    </row>
    <row r="1093" spans="1:9" x14ac:dyDescent="0.3">
      <c r="A1093" s="30" t="s">
        <v>495</v>
      </c>
      <c r="B1093" s="33" t="s">
        <v>23</v>
      </c>
      <c r="C1093" s="33">
        <v>1</v>
      </c>
      <c r="D1093" s="34" t="s">
        <v>200</v>
      </c>
      <c r="E1093" s="34" t="s">
        <v>212</v>
      </c>
      <c r="F1093" s="33">
        <v>0</v>
      </c>
      <c r="G1093" s="33">
        <v>0.15</v>
      </c>
      <c r="H1093" s="33" t="s">
        <v>202</v>
      </c>
      <c r="I1093" s="33">
        <v>100</v>
      </c>
    </row>
    <row r="1094" spans="1:9" x14ac:dyDescent="0.3">
      <c r="A1094" s="30" t="s">
        <v>495</v>
      </c>
      <c r="B1094" s="33" t="s">
        <v>23</v>
      </c>
      <c r="C1094" s="33">
        <v>1</v>
      </c>
      <c r="D1094" s="34" t="s">
        <v>200</v>
      </c>
      <c r="E1094" s="34" t="s">
        <v>213</v>
      </c>
      <c r="F1094" s="33">
        <v>0</v>
      </c>
      <c r="G1094" s="33">
        <v>0.15</v>
      </c>
      <c r="H1094" s="33" t="s">
        <v>202</v>
      </c>
      <c r="I1094" s="33">
        <v>100</v>
      </c>
    </row>
    <row r="1095" spans="1:9" x14ac:dyDescent="0.3">
      <c r="A1095" s="30" t="s">
        <v>495</v>
      </c>
      <c r="B1095" s="33" t="s">
        <v>23</v>
      </c>
      <c r="C1095" s="33">
        <v>1</v>
      </c>
      <c r="D1095" s="34" t="s">
        <v>200</v>
      </c>
      <c r="E1095" s="34" t="s">
        <v>214</v>
      </c>
      <c r="F1095" s="33">
        <v>0</v>
      </c>
      <c r="G1095" s="33">
        <v>0.15</v>
      </c>
      <c r="H1095" s="33" t="s">
        <v>202</v>
      </c>
      <c r="I1095" s="33">
        <v>100</v>
      </c>
    </row>
    <row r="1096" spans="1:9" x14ac:dyDescent="0.3">
      <c r="A1096" s="30" t="s">
        <v>495</v>
      </c>
      <c r="B1096" s="33" t="s">
        <v>23</v>
      </c>
      <c r="C1096" s="33">
        <v>1</v>
      </c>
      <c r="D1096" s="34" t="s">
        <v>200</v>
      </c>
      <c r="E1096" s="34" t="s">
        <v>201</v>
      </c>
      <c r="F1096" s="33">
        <v>0</v>
      </c>
      <c r="G1096" s="33">
        <v>0.5</v>
      </c>
      <c r="H1096" s="33" t="s">
        <v>215</v>
      </c>
      <c r="I1096" s="33">
        <v>500</v>
      </c>
    </row>
    <row r="1097" spans="1:9" x14ac:dyDescent="0.3">
      <c r="A1097" s="30" t="s">
        <v>495</v>
      </c>
      <c r="B1097" s="33" t="s">
        <v>23</v>
      </c>
      <c r="C1097" s="33">
        <v>1</v>
      </c>
      <c r="D1097" s="34" t="s">
        <v>200</v>
      </c>
      <c r="E1097" s="34" t="s">
        <v>203</v>
      </c>
      <c r="F1097" s="33">
        <v>0</v>
      </c>
      <c r="G1097" s="33">
        <v>0.5</v>
      </c>
      <c r="H1097" s="33" t="s">
        <v>215</v>
      </c>
      <c r="I1097" s="33">
        <v>500</v>
      </c>
    </row>
    <row r="1098" spans="1:9" x14ac:dyDescent="0.3">
      <c r="A1098" s="30" t="s">
        <v>495</v>
      </c>
      <c r="B1098" s="33" t="s">
        <v>23</v>
      </c>
      <c r="C1098" s="33">
        <v>1</v>
      </c>
      <c r="D1098" s="34" t="s">
        <v>200</v>
      </c>
      <c r="E1098" s="34" t="s">
        <v>204</v>
      </c>
      <c r="F1098" s="33">
        <v>0</v>
      </c>
      <c r="G1098" s="33">
        <v>0.5</v>
      </c>
      <c r="H1098" s="33" t="s">
        <v>215</v>
      </c>
      <c r="I1098" s="33">
        <v>500</v>
      </c>
    </row>
    <row r="1099" spans="1:9" x14ac:dyDescent="0.3">
      <c r="A1099" s="30" t="s">
        <v>495</v>
      </c>
      <c r="B1099" s="33" t="s">
        <v>23</v>
      </c>
      <c r="C1099" s="33">
        <v>1</v>
      </c>
      <c r="D1099" s="34" t="s">
        <v>200</v>
      </c>
      <c r="E1099" s="34" t="s">
        <v>205</v>
      </c>
      <c r="F1099" s="33">
        <v>0</v>
      </c>
      <c r="G1099" s="33">
        <v>0.5</v>
      </c>
      <c r="H1099" s="33" t="s">
        <v>215</v>
      </c>
      <c r="I1099" s="33">
        <v>500</v>
      </c>
    </row>
    <row r="1100" spans="1:9" x14ac:dyDescent="0.3">
      <c r="A1100" s="30" t="s">
        <v>495</v>
      </c>
      <c r="B1100" s="33" t="s">
        <v>23</v>
      </c>
      <c r="C1100" s="33">
        <v>1</v>
      </c>
      <c r="D1100" s="34" t="s">
        <v>200</v>
      </c>
      <c r="E1100" s="34" t="s">
        <v>206</v>
      </c>
      <c r="F1100" s="33">
        <v>0</v>
      </c>
      <c r="G1100" s="33">
        <v>0.5</v>
      </c>
      <c r="H1100" s="33" t="s">
        <v>215</v>
      </c>
      <c r="I1100" s="33">
        <v>500</v>
      </c>
    </row>
    <row r="1101" spans="1:9" x14ac:dyDescent="0.3">
      <c r="A1101" s="30" t="s">
        <v>495</v>
      </c>
      <c r="B1101" s="33" t="s">
        <v>23</v>
      </c>
      <c r="C1101" s="33">
        <v>1</v>
      </c>
      <c r="D1101" s="34" t="s">
        <v>200</v>
      </c>
      <c r="E1101" s="34" t="s">
        <v>207</v>
      </c>
      <c r="F1101" s="33">
        <v>0</v>
      </c>
      <c r="G1101" s="33">
        <v>0.35</v>
      </c>
      <c r="H1101" s="33" t="s">
        <v>215</v>
      </c>
      <c r="I1101" s="33">
        <v>500</v>
      </c>
    </row>
    <row r="1102" spans="1:9" x14ac:dyDescent="0.3">
      <c r="A1102" s="30" t="s">
        <v>495</v>
      </c>
      <c r="B1102" s="33" t="s">
        <v>23</v>
      </c>
      <c r="C1102" s="33">
        <v>1</v>
      </c>
      <c r="D1102" s="34" t="s">
        <v>200</v>
      </c>
      <c r="E1102" s="34" t="s">
        <v>208</v>
      </c>
      <c r="F1102" s="33">
        <v>0</v>
      </c>
      <c r="G1102" s="33">
        <v>0.3</v>
      </c>
      <c r="H1102" s="33" t="s">
        <v>215</v>
      </c>
      <c r="I1102" s="33">
        <v>500</v>
      </c>
    </row>
    <row r="1103" spans="1:9" x14ac:dyDescent="0.3">
      <c r="A1103" s="30" t="s">
        <v>495</v>
      </c>
      <c r="B1103" s="33" t="s">
        <v>23</v>
      </c>
      <c r="C1103" s="33">
        <v>1</v>
      </c>
      <c r="D1103" s="34" t="s">
        <v>200</v>
      </c>
      <c r="E1103" s="34" t="s">
        <v>209</v>
      </c>
      <c r="F1103" s="33">
        <v>0</v>
      </c>
      <c r="G1103" s="33">
        <v>0.5</v>
      </c>
      <c r="H1103" s="33" t="s">
        <v>215</v>
      </c>
      <c r="I1103" s="33">
        <v>500</v>
      </c>
    </row>
    <row r="1104" spans="1:9" x14ac:dyDescent="0.3">
      <c r="A1104" s="30" t="s">
        <v>495</v>
      </c>
      <c r="B1104" s="33" t="s">
        <v>23</v>
      </c>
      <c r="C1104" s="33">
        <v>1</v>
      </c>
      <c r="D1104" s="34" t="s">
        <v>200</v>
      </c>
      <c r="E1104" s="34" t="s">
        <v>210</v>
      </c>
      <c r="F1104" s="33">
        <v>0</v>
      </c>
      <c r="G1104" s="33">
        <v>0.3</v>
      </c>
      <c r="H1104" s="33" t="s">
        <v>215</v>
      </c>
      <c r="I1104" s="33">
        <v>500</v>
      </c>
    </row>
    <row r="1105" spans="1:9" x14ac:dyDescent="0.3">
      <c r="A1105" s="30" t="s">
        <v>495</v>
      </c>
      <c r="B1105" s="33" t="s">
        <v>23</v>
      </c>
      <c r="C1105" s="33">
        <v>1</v>
      </c>
      <c r="D1105" s="34" t="s">
        <v>200</v>
      </c>
      <c r="E1105" s="34" t="s">
        <v>211</v>
      </c>
      <c r="F1105" s="33">
        <v>0</v>
      </c>
      <c r="G1105" s="33">
        <v>0.25</v>
      </c>
      <c r="H1105" s="33" t="s">
        <v>215</v>
      </c>
      <c r="I1105" s="33">
        <v>500</v>
      </c>
    </row>
    <row r="1106" spans="1:9" x14ac:dyDescent="0.3">
      <c r="A1106" s="30" t="s">
        <v>495</v>
      </c>
      <c r="B1106" s="33" t="s">
        <v>23</v>
      </c>
      <c r="C1106" s="33">
        <v>1</v>
      </c>
      <c r="D1106" s="34" t="s">
        <v>200</v>
      </c>
      <c r="E1106" s="34" t="s">
        <v>212</v>
      </c>
      <c r="F1106" s="33">
        <v>0</v>
      </c>
      <c r="G1106" s="33">
        <v>0.25</v>
      </c>
      <c r="H1106" s="33" t="s">
        <v>215</v>
      </c>
      <c r="I1106" s="33">
        <v>500</v>
      </c>
    </row>
    <row r="1107" spans="1:9" x14ac:dyDescent="0.3">
      <c r="A1107" s="30" t="s">
        <v>495</v>
      </c>
      <c r="B1107" s="33" t="s">
        <v>23</v>
      </c>
      <c r="C1107" s="33">
        <v>1</v>
      </c>
      <c r="D1107" s="34" t="s">
        <v>200</v>
      </c>
      <c r="E1107" s="34" t="s">
        <v>213</v>
      </c>
      <c r="F1107" s="33">
        <v>0</v>
      </c>
      <c r="G1107" s="33">
        <v>0.25</v>
      </c>
      <c r="H1107" s="33" t="s">
        <v>215</v>
      </c>
      <c r="I1107" s="33">
        <v>500</v>
      </c>
    </row>
    <row r="1108" spans="1:9" x14ac:dyDescent="0.3">
      <c r="A1108" s="30" t="s">
        <v>495</v>
      </c>
      <c r="B1108" s="33" t="s">
        <v>23</v>
      </c>
      <c r="C1108" s="33">
        <v>1</v>
      </c>
      <c r="D1108" s="34" t="s">
        <v>200</v>
      </c>
      <c r="E1108" s="34" t="s">
        <v>214</v>
      </c>
      <c r="F1108" s="33">
        <v>0</v>
      </c>
      <c r="G1108" s="33">
        <v>0.25</v>
      </c>
      <c r="H1108" s="33" t="s">
        <v>215</v>
      </c>
      <c r="I1108" s="33">
        <v>500</v>
      </c>
    </row>
    <row r="1109" spans="1:9" x14ac:dyDescent="0.3">
      <c r="A1109" s="30" t="s">
        <v>495</v>
      </c>
      <c r="B1109" s="33" t="s">
        <v>23</v>
      </c>
      <c r="C1109" s="33">
        <v>1</v>
      </c>
      <c r="D1109" s="34" t="s">
        <v>200</v>
      </c>
      <c r="E1109" s="34" t="s">
        <v>216</v>
      </c>
      <c r="F1109" s="33">
        <v>0</v>
      </c>
      <c r="G1109" s="33">
        <v>0.3</v>
      </c>
      <c r="H1109" s="33" t="s">
        <v>202</v>
      </c>
      <c r="I1109" s="33">
        <v>100</v>
      </c>
    </row>
    <row r="1110" spans="1:9" x14ac:dyDescent="0.3">
      <c r="A1110" s="30" t="s">
        <v>495</v>
      </c>
      <c r="B1110" s="33" t="s">
        <v>23</v>
      </c>
      <c r="C1110" s="33">
        <v>1</v>
      </c>
      <c r="D1110" s="34" t="s">
        <v>200</v>
      </c>
      <c r="E1110" s="34" t="s">
        <v>216</v>
      </c>
      <c r="F1110" s="33">
        <v>0</v>
      </c>
      <c r="G1110" s="33">
        <v>0.45</v>
      </c>
      <c r="H1110" s="33" t="s">
        <v>215</v>
      </c>
      <c r="I1110" s="33">
        <v>500</v>
      </c>
    </row>
    <row r="1111" spans="1:9" x14ac:dyDescent="0.3">
      <c r="A1111" s="30" t="s">
        <v>495</v>
      </c>
      <c r="B1111" s="33" t="s">
        <v>23</v>
      </c>
      <c r="C1111" s="33">
        <v>1</v>
      </c>
      <c r="D1111" s="34" t="s">
        <v>200</v>
      </c>
      <c r="E1111" s="34" t="s">
        <v>217</v>
      </c>
      <c r="F1111" s="33">
        <v>0</v>
      </c>
      <c r="G1111" s="33">
        <v>0.2</v>
      </c>
      <c r="H1111" s="33" t="s">
        <v>202</v>
      </c>
      <c r="I1111" s="33">
        <v>100</v>
      </c>
    </row>
    <row r="1112" spans="1:9" x14ac:dyDescent="0.3">
      <c r="A1112" s="30" t="s">
        <v>495</v>
      </c>
      <c r="B1112" s="33" t="s">
        <v>23</v>
      </c>
      <c r="C1112" s="33">
        <v>1</v>
      </c>
      <c r="D1112" s="34" t="s">
        <v>200</v>
      </c>
      <c r="E1112" s="34" t="s">
        <v>218</v>
      </c>
      <c r="F1112" s="33">
        <v>0</v>
      </c>
      <c r="G1112" s="33">
        <v>0.2</v>
      </c>
      <c r="H1112" s="33" t="s">
        <v>202</v>
      </c>
      <c r="I1112" s="33">
        <v>100</v>
      </c>
    </row>
    <row r="1113" spans="1:9" x14ac:dyDescent="0.3">
      <c r="A1113" s="30" t="s">
        <v>495</v>
      </c>
      <c r="B1113" s="33" t="s">
        <v>23</v>
      </c>
      <c r="C1113" s="33">
        <v>1</v>
      </c>
      <c r="D1113" s="34" t="s">
        <v>200</v>
      </c>
      <c r="E1113" s="34" t="s">
        <v>219</v>
      </c>
      <c r="F1113" s="33">
        <v>0</v>
      </c>
      <c r="G1113" s="33">
        <v>0.2</v>
      </c>
      <c r="H1113" s="33" t="s">
        <v>202</v>
      </c>
      <c r="I1113" s="33">
        <v>100</v>
      </c>
    </row>
    <row r="1114" spans="1:9" x14ac:dyDescent="0.3">
      <c r="A1114" s="30" t="s">
        <v>495</v>
      </c>
      <c r="B1114" s="33" t="s">
        <v>23</v>
      </c>
      <c r="C1114" s="33">
        <v>1</v>
      </c>
      <c r="D1114" s="34" t="s">
        <v>200</v>
      </c>
      <c r="E1114" s="34" t="s">
        <v>220</v>
      </c>
      <c r="F1114" s="33">
        <v>0</v>
      </c>
      <c r="G1114" s="33">
        <v>0.2</v>
      </c>
      <c r="H1114" s="33" t="s">
        <v>202</v>
      </c>
      <c r="I1114" s="33">
        <v>100</v>
      </c>
    </row>
    <row r="1115" spans="1:9" x14ac:dyDescent="0.3">
      <c r="A1115" s="30" t="s">
        <v>495</v>
      </c>
      <c r="B1115" s="33" t="s">
        <v>23</v>
      </c>
      <c r="C1115" s="33">
        <v>1</v>
      </c>
      <c r="D1115" s="34" t="s">
        <v>200</v>
      </c>
      <c r="E1115" s="34" t="s">
        <v>217</v>
      </c>
      <c r="F1115" s="33">
        <v>0</v>
      </c>
      <c r="G1115" s="33">
        <v>0.35</v>
      </c>
      <c r="H1115" s="33" t="s">
        <v>215</v>
      </c>
      <c r="I1115" s="33">
        <v>500</v>
      </c>
    </row>
    <row r="1116" spans="1:9" x14ac:dyDescent="0.3">
      <c r="A1116" s="30" t="s">
        <v>495</v>
      </c>
      <c r="B1116" s="33" t="s">
        <v>23</v>
      </c>
      <c r="C1116" s="33">
        <v>1</v>
      </c>
      <c r="D1116" s="34" t="s">
        <v>200</v>
      </c>
      <c r="E1116" s="34" t="s">
        <v>218</v>
      </c>
      <c r="F1116" s="33">
        <v>0</v>
      </c>
      <c r="G1116" s="33">
        <v>0.35</v>
      </c>
      <c r="H1116" s="33" t="s">
        <v>215</v>
      </c>
      <c r="I1116" s="33">
        <v>500</v>
      </c>
    </row>
    <row r="1117" spans="1:9" x14ac:dyDescent="0.3">
      <c r="A1117" s="30" t="s">
        <v>495</v>
      </c>
      <c r="B1117" s="33" t="s">
        <v>23</v>
      </c>
      <c r="C1117" s="33">
        <v>1</v>
      </c>
      <c r="D1117" s="34" t="s">
        <v>200</v>
      </c>
      <c r="E1117" s="34" t="s">
        <v>219</v>
      </c>
      <c r="F1117" s="33">
        <v>0</v>
      </c>
      <c r="G1117" s="33">
        <v>0.35</v>
      </c>
      <c r="H1117" s="33" t="s">
        <v>215</v>
      </c>
      <c r="I1117" s="33">
        <v>500</v>
      </c>
    </row>
    <row r="1118" spans="1:9" x14ac:dyDescent="0.3">
      <c r="A1118" s="30" t="s">
        <v>495</v>
      </c>
      <c r="B1118" s="33" t="s">
        <v>23</v>
      </c>
      <c r="C1118" s="33">
        <v>1</v>
      </c>
      <c r="D1118" s="34" t="s">
        <v>200</v>
      </c>
      <c r="E1118" s="34" t="s">
        <v>220</v>
      </c>
      <c r="F1118" s="33">
        <v>0</v>
      </c>
      <c r="G1118" s="33">
        <v>0.35</v>
      </c>
      <c r="H1118" s="33" t="s">
        <v>215</v>
      </c>
      <c r="I1118" s="33">
        <v>500</v>
      </c>
    </row>
    <row r="1119" spans="1:9" x14ac:dyDescent="0.3">
      <c r="A1119" s="30" t="s">
        <v>495</v>
      </c>
      <c r="B1119" s="33" t="s">
        <v>23</v>
      </c>
      <c r="C1119" s="33">
        <v>1</v>
      </c>
      <c r="D1119" s="34" t="s">
        <v>221</v>
      </c>
      <c r="E1119" s="34" t="s">
        <v>198</v>
      </c>
      <c r="F1119" s="33">
        <v>0</v>
      </c>
      <c r="G1119" s="33">
        <v>0.5</v>
      </c>
      <c r="H1119" s="33"/>
      <c r="I1119" s="33">
        <v>0</v>
      </c>
    </row>
    <row r="1120" spans="1:9" x14ac:dyDescent="0.3">
      <c r="A1120" s="30" t="s">
        <v>496</v>
      </c>
      <c r="B1120" s="33" t="s">
        <v>23</v>
      </c>
      <c r="C1120" s="33">
        <v>1</v>
      </c>
      <c r="D1120" s="34" t="s">
        <v>188</v>
      </c>
      <c r="E1120" s="34" t="s">
        <v>189</v>
      </c>
      <c r="F1120" s="33">
        <v>0</v>
      </c>
      <c r="G1120" s="33">
        <v>0.15</v>
      </c>
      <c r="H1120" s="33"/>
      <c r="I1120" s="33">
        <v>0</v>
      </c>
    </row>
    <row r="1121" spans="1:9" x14ac:dyDescent="0.3">
      <c r="A1121" s="30" t="s">
        <v>496</v>
      </c>
      <c r="B1121" s="33" t="s">
        <v>23</v>
      </c>
      <c r="C1121" s="33">
        <v>1</v>
      </c>
      <c r="D1121" s="34" t="s">
        <v>190</v>
      </c>
      <c r="E1121" s="34" t="s">
        <v>198</v>
      </c>
      <c r="F1121" s="33">
        <v>0</v>
      </c>
      <c r="G1121" s="33">
        <v>0.3</v>
      </c>
      <c r="H1121" s="33"/>
      <c r="I1121" s="33">
        <v>0</v>
      </c>
    </row>
    <row r="1122" spans="1:9" x14ac:dyDescent="0.3">
      <c r="A1122" s="30" t="s">
        <v>496</v>
      </c>
      <c r="B1122" s="33" t="s">
        <v>23</v>
      </c>
      <c r="C1122" s="33">
        <v>1</v>
      </c>
      <c r="D1122" s="34" t="s">
        <v>197</v>
      </c>
      <c r="E1122" s="34" t="s">
        <v>198</v>
      </c>
      <c r="F1122" s="33">
        <v>0</v>
      </c>
      <c r="G1122" s="33">
        <v>0.05</v>
      </c>
      <c r="H1122" s="33"/>
      <c r="I1122" s="33">
        <v>0</v>
      </c>
    </row>
    <row r="1123" spans="1:9" x14ac:dyDescent="0.3">
      <c r="A1123" s="30" t="s">
        <v>496</v>
      </c>
      <c r="B1123" s="33" t="s">
        <v>23</v>
      </c>
      <c r="C1123" s="33">
        <v>1</v>
      </c>
      <c r="D1123" s="34" t="s">
        <v>197</v>
      </c>
      <c r="E1123" s="34" t="s">
        <v>199</v>
      </c>
      <c r="F1123" s="33">
        <v>0</v>
      </c>
      <c r="G1123" s="33">
        <v>0</v>
      </c>
      <c r="H1123" s="33"/>
      <c r="I1123" s="33">
        <v>0</v>
      </c>
    </row>
    <row r="1124" spans="1:9" x14ac:dyDescent="0.3">
      <c r="A1124" s="30" t="s">
        <v>496</v>
      </c>
      <c r="B1124" s="33" t="s">
        <v>23</v>
      </c>
      <c r="C1124" s="33">
        <v>1</v>
      </c>
      <c r="D1124" s="34" t="s">
        <v>200</v>
      </c>
      <c r="E1124" s="34" t="s">
        <v>201</v>
      </c>
      <c r="F1124" s="33">
        <v>0</v>
      </c>
      <c r="G1124" s="33">
        <v>0.35</v>
      </c>
      <c r="H1124" s="33" t="s">
        <v>202</v>
      </c>
      <c r="I1124" s="33">
        <v>100</v>
      </c>
    </row>
    <row r="1125" spans="1:9" x14ac:dyDescent="0.3">
      <c r="A1125" s="30" t="s">
        <v>496</v>
      </c>
      <c r="B1125" s="33" t="s">
        <v>23</v>
      </c>
      <c r="C1125" s="33">
        <v>1</v>
      </c>
      <c r="D1125" s="34" t="s">
        <v>200</v>
      </c>
      <c r="E1125" s="34" t="s">
        <v>203</v>
      </c>
      <c r="F1125" s="33">
        <v>0</v>
      </c>
      <c r="G1125" s="33">
        <v>0.3</v>
      </c>
      <c r="H1125" s="33" t="s">
        <v>202</v>
      </c>
      <c r="I1125" s="33">
        <v>100</v>
      </c>
    </row>
    <row r="1126" spans="1:9" x14ac:dyDescent="0.3">
      <c r="A1126" s="30" t="s">
        <v>496</v>
      </c>
      <c r="B1126" s="33" t="s">
        <v>23</v>
      </c>
      <c r="C1126" s="33">
        <v>1</v>
      </c>
      <c r="D1126" s="34" t="s">
        <v>200</v>
      </c>
      <c r="E1126" s="34" t="s">
        <v>204</v>
      </c>
      <c r="F1126" s="33">
        <v>0</v>
      </c>
      <c r="G1126" s="33">
        <v>0.3</v>
      </c>
      <c r="H1126" s="33" t="s">
        <v>202</v>
      </c>
      <c r="I1126" s="33">
        <v>100</v>
      </c>
    </row>
    <row r="1127" spans="1:9" x14ac:dyDescent="0.3">
      <c r="A1127" s="30" t="s">
        <v>496</v>
      </c>
      <c r="B1127" s="33" t="s">
        <v>23</v>
      </c>
      <c r="C1127" s="33">
        <v>1</v>
      </c>
      <c r="D1127" s="34" t="s">
        <v>200</v>
      </c>
      <c r="E1127" s="34" t="s">
        <v>205</v>
      </c>
      <c r="F1127" s="33">
        <v>0</v>
      </c>
      <c r="G1127" s="33">
        <v>0.3</v>
      </c>
      <c r="H1127" s="33" t="s">
        <v>202</v>
      </c>
      <c r="I1127" s="33">
        <v>100</v>
      </c>
    </row>
    <row r="1128" spans="1:9" x14ac:dyDescent="0.3">
      <c r="A1128" s="30" t="s">
        <v>496</v>
      </c>
      <c r="B1128" s="33" t="s">
        <v>23</v>
      </c>
      <c r="C1128" s="33">
        <v>1</v>
      </c>
      <c r="D1128" s="34" t="s">
        <v>200</v>
      </c>
      <c r="E1128" s="34" t="s">
        <v>206</v>
      </c>
      <c r="F1128" s="33">
        <v>0</v>
      </c>
      <c r="G1128" s="33">
        <v>0.3</v>
      </c>
      <c r="H1128" s="33" t="s">
        <v>202</v>
      </c>
      <c r="I1128" s="33">
        <v>100</v>
      </c>
    </row>
    <row r="1129" spans="1:9" x14ac:dyDescent="0.3">
      <c r="A1129" s="30" t="s">
        <v>496</v>
      </c>
      <c r="B1129" s="33" t="s">
        <v>23</v>
      </c>
      <c r="C1129" s="33">
        <v>1</v>
      </c>
      <c r="D1129" s="34" t="s">
        <v>200</v>
      </c>
      <c r="E1129" s="34" t="s">
        <v>207</v>
      </c>
      <c r="F1129" s="33">
        <v>0</v>
      </c>
      <c r="G1129" s="33">
        <v>0.2</v>
      </c>
      <c r="H1129" s="33" t="s">
        <v>202</v>
      </c>
      <c r="I1129" s="33">
        <v>100</v>
      </c>
    </row>
    <row r="1130" spans="1:9" x14ac:dyDescent="0.3">
      <c r="A1130" s="30" t="s">
        <v>496</v>
      </c>
      <c r="B1130" s="33" t="s">
        <v>23</v>
      </c>
      <c r="C1130" s="33">
        <v>1</v>
      </c>
      <c r="D1130" s="34" t="s">
        <v>200</v>
      </c>
      <c r="E1130" s="34" t="s">
        <v>208</v>
      </c>
      <c r="F1130" s="33">
        <v>0</v>
      </c>
      <c r="G1130" s="33">
        <v>0.2</v>
      </c>
      <c r="H1130" s="33" t="s">
        <v>202</v>
      </c>
      <c r="I1130" s="33">
        <v>100</v>
      </c>
    </row>
    <row r="1131" spans="1:9" x14ac:dyDescent="0.3">
      <c r="A1131" s="30" t="s">
        <v>496</v>
      </c>
      <c r="B1131" s="33" t="s">
        <v>23</v>
      </c>
      <c r="C1131" s="33">
        <v>1</v>
      </c>
      <c r="D1131" s="34" t="s">
        <v>200</v>
      </c>
      <c r="E1131" s="34" t="s">
        <v>209</v>
      </c>
      <c r="F1131" s="33">
        <v>0</v>
      </c>
      <c r="G1131" s="33">
        <v>0.3</v>
      </c>
      <c r="H1131" s="33" t="s">
        <v>202</v>
      </c>
      <c r="I1131" s="33">
        <v>100</v>
      </c>
    </row>
    <row r="1132" spans="1:9" x14ac:dyDescent="0.3">
      <c r="A1132" s="30" t="s">
        <v>496</v>
      </c>
      <c r="B1132" s="33" t="s">
        <v>23</v>
      </c>
      <c r="C1132" s="33">
        <v>1</v>
      </c>
      <c r="D1132" s="34" t="s">
        <v>200</v>
      </c>
      <c r="E1132" s="34" t="s">
        <v>210</v>
      </c>
      <c r="F1132" s="33">
        <v>0</v>
      </c>
      <c r="G1132" s="33">
        <v>0.2</v>
      </c>
      <c r="H1132" s="33" t="s">
        <v>202</v>
      </c>
      <c r="I1132" s="33">
        <v>100</v>
      </c>
    </row>
    <row r="1133" spans="1:9" x14ac:dyDescent="0.3">
      <c r="A1133" s="30" t="s">
        <v>496</v>
      </c>
      <c r="B1133" s="33" t="s">
        <v>23</v>
      </c>
      <c r="C1133" s="33">
        <v>1</v>
      </c>
      <c r="D1133" s="34" t="s">
        <v>200</v>
      </c>
      <c r="E1133" s="34" t="s">
        <v>211</v>
      </c>
      <c r="F1133" s="33">
        <v>0</v>
      </c>
      <c r="G1133" s="33">
        <v>0.15</v>
      </c>
      <c r="H1133" s="33" t="s">
        <v>202</v>
      </c>
      <c r="I1133" s="33">
        <v>100</v>
      </c>
    </row>
    <row r="1134" spans="1:9" x14ac:dyDescent="0.3">
      <c r="A1134" s="30" t="s">
        <v>496</v>
      </c>
      <c r="B1134" s="33" t="s">
        <v>23</v>
      </c>
      <c r="C1134" s="33">
        <v>1</v>
      </c>
      <c r="D1134" s="34" t="s">
        <v>200</v>
      </c>
      <c r="E1134" s="34" t="s">
        <v>212</v>
      </c>
      <c r="F1134" s="33">
        <v>0</v>
      </c>
      <c r="G1134" s="33">
        <v>0.15</v>
      </c>
      <c r="H1134" s="33" t="s">
        <v>202</v>
      </c>
      <c r="I1134" s="33">
        <v>100</v>
      </c>
    </row>
    <row r="1135" spans="1:9" x14ac:dyDescent="0.3">
      <c r="A1135" s="30" t="s">
        <v>496</v>
      </c>
      <c r="B1135" s="33" t="s">
        <v>23</v>
      </c>
      <c r="C1135" s="33">
        <v>1</v>
      </c>
      <c r="D1135" s="34" t="s">
        <v>200</v>
      </c>
      <c r="E1135" s="34" t="s">
        <v>213</v>
      </c>
      <c r="F1135" s="33">
        <v>0</v>
      </c>
      <c r="G1135" s="33">
        <v>0.15</v>
      </c>
      <c r="H1135" s="33" t="s">
        <v>202</v>
      </c>
      <c r="I1135" s="33">
        <v>100</v>
      </c>
    </row>
    <row r="1136" spans="1:9" x14ac:dyDescent="0.3">
      <c r="A1136" s="30" t="s">
        <v>496</v>
      </c>
      <c r="B1136" s="33" t="s">
        <v>23</v>
      </c>
      <c r="C1136" s="33">
        <v>1</v>
      </c>
      <c r="D1136" s="34" t="s">
        <v>200</v>
      </c>
      <c r="E1136" s="34" t="s">
        <v>214</v>
      </c>
      <c r="F1136" s="33">
        <v>0</v>
      </c>
      <c r="G1136" s="33">
        <v>0.15</v>
      </c>
      <c r="H1136" s="33" t="s">
        <v>202</v>
      </c>
      <c r="I1136" s="33">
        <v>100</v>
      </c>
    </row>
    <row r="1137" spans="1:9" x14ac:dyDescent="0.3">
      <c r="A1137" s="30" t="s">
        <v>496</v>
      </c>
      <c r="B1137" s="33" t="s">
        <v>23</v>
      </c>
      <c r="C1137" s="33">
        <v>1</v>
      </c>
      <c r="D1137" s="34" t="s">
        <v>200</v>
      </c>
      <c r="E1137" s="34" t="s">
        <v>201</v>
      </c>
      <c r="F1137" s="33">
        <v>0</v>
      </c>
      <c r="G1137" s="33">
        <v>0.5</v>
      </c>
      <c r="H1137" s="33" t="s">
        <v>215</v>
      </c>
      <c r="I1137" s="33">
        <v>500</v>
      </c>
    </row>
    <row r="1138" spans="1:9" x14ac:dyDescent="0.3">
      <c r="A1138" s="30" t="s">
        <v>496</v>
      </c>
      <c r="B1138" s="33" t="s">
        <v>23</v>
      </c>
      <c r="C1138" s="33">
        <v>1</v>
      </c>
      <c r="D1138" s="34" t="s">
        <v>200</v>
      </c>
      <c r="E1138" s="34" t="s">
        <v>203</v>
      </c>
      <c r="F1138" s="33">
        <v>0</v>
      </c>
      <c r="G1138" s="33">
        <v>0.5</v>
      </c>
      <c r="H1138" s="33" t="s">
        <v>215</v>
      </c>
      <c r="I1138" s="33">
        <v>500</v>
      </c>
    </row>
    <row r="1139" spans="1:9" x14ac:dyDescent="0.3">
      <c r="A1139" s="30" t="s">
        <v>496</v>
      </c>
      <c r="B1139" s="33" t="s">
        <v>23</v>
      </c>
      <c r="C1139" s="33">
        <v>1</v>
      </c>
      <c r="D1139" s="34" t="s">
        <v>200</v>
      </c>
      <c r="E1139" s="34" t="s">
        <v>204</v>
      </c>
      <c r="F1139" s="33">
        <v>0</v>
      </c>
      <c r="G1139" s="33">
        <v>0.5</v>
      </c>
      <c r="H1139" s="33" t="s">
        <v>215</v>
      </c>
      <c r="I1139" s="33">
        <v>500</v>
      </c>
    </row>
    <row r="1140" spans="1:9" x14ac:dyDescent="0.3">
      <c r="A1140" s="30" t="s">
        <v>496</v>
      </c>
      <c r="B1140" s="33" t="s">
        <v>23</v>
      </c>
      <c r="C1140" s="33">
        <v>1</v>
      </c>
      <c r="D1140" s="34" t="s">
        <v>200</v>
      </c>
      <c r="E1140" s="34" t="s">
        <v>205</v>
      </c>
      <c r="F1140" s="33">
        <v>0</v>
      </c>
      <c r="G1140" s="33">
        <v>0.5</v>
      </c>
      <c r="H1140" s="33" t="s">
        <v>215</v>
      </c>
      <c r="I1140" s="33">
        <v>500</v>
      </c>
    </row>
    <row r="1141" spans="1:9" x14ac:dyDescent="0.3">
      <c r="A1141" s="30" t="s">
        <v>496</v>
      </c>
      <c r="B1141" s="33" t="s">
        <v>23</v>
      </c>
      <c r="C1141" s="33">
        <v>1</v>
      </c>
      <c r="D1141" s="34" t="s">
        <v>200</v>
      </c>
      <c r="E1141" s="34" t="s">
        <v>206</v>
      </c>
      <c r="F1141" s="33">
        <v>0</v>
      </c>
      <c r="G1141" s="33">
        <v>0.5</v>
      </c>
      <c r="H1141" s="33" t="s">
        <v>215</v>
      </c>
      <c r="I1141" s="33">
        <v>500</v>
      </c>
    </row>
    <row r="1142" spans="1:9" x14ac:dyDescent="0.3">
      <c r="A1142" s="30" t="s">
        <v>496</v>
      </c>
      <c r="B1142" s="33" t="s">
        <v>23</v>
      </c>
      <c r="C1142" s="33">
        <v>1</v>
      </c>
      <c r="D1142" s="34" t="s">
        <v>200</v>
      </c>
      <c r="E1142" s="34" t="s">
        <v>207</v>
      </c>
      <c r="F1142" s="33">
        <v>0</v>
      </c>
      <c r="G1142" s="33">
        <v>0.35</v>
      </c>
      <c r="H1142" s="33" t="s">
        <v>215</v>
      </c>
      <c r="I1142" s="33">
        <v>500</v>
      </c>
    </row>
    <row r="1143" spans="1:9" x14ac:dyDescent="0.3">
      <c r="A1143" s="30" t="s">
        <v>496</v>
      </c>
      <c r="B1143" s="33" t="s">
        <v>23</v>
      </c>
      <c r="C1143" s="33">
        <v>1</v>
      </c>
      <c r="D1143" s="34" t="s">
        <v>200</v>
      </c>
      <c r="E1143" s="34" t="s">
        <v>208</v>
      </c>
      <c r="F1143" s="33">
        <v>0</v>
      </c>
      <c r="G1143" s="33">
        <v>0.3</v>
      </c>
      <c r="H1143" s="33" t="s">
        <v>215</v>
      </c>
      <c r="I1143" s="33">
        <v>500</v>
      </c>
    </row>
    <row r="1144" spans="1:9" x14ac:dyDescent="0.3">
      <c r="A1144" s="30" t="s">
        <v>496</v>
      </c>
      <c r="B1144" s="33" t="s">
        <v>23</v>
      </c>
      <c r="C1144" s="33">
        <v>1</v>
      </c>
      <c r="D1144" s="34" t="s">
        <v>200</v>
      </c>
      <c r="E1144" s="34" t="s">
        <v>209</v>
      </c>
      <c r="F1144" s="33">
        <v>0</v>
      </c>
      <c r="G1144" s="33">
        <v>0.5</v>
      </c>
      <c r="H1144" s="33" t="s">
        <v>215</v>
      </c>
      <c r="I1144" s="33">
        <v>500</v>
      </c>
    </row>
    <row r="1145" spans="1:9" x14ac:dyDescent="0.3">
      <c r="A1145" s="30" t="s">
        <v>496</v>
      </c>
      <c r="B1145" s="33" t="s">
        <v>23</v>
      </c>
      <c r="C1145" s="33">
        <v>1</v>
      </c>
      <c r="D1145" s="34" t="s">
        <v>200</v>
      </c>
      <c r="E1145" s="34" t="s">
        <v>210</v>
      </c>
      <c r="F1145" s="33">
        <v>0</v>
      </c>
      <c r="G1145" s="33">
        <v>0.3</v>
      </c>
      <c r="H1145" s="33" t="s">
        <v>215</v>
      </c>
      <c r="I1145" s="33">
        <v>500</v>
      </c>
    </row>
    <row r="1146" spans="1:9" x14ac:dyDescent="0.3">
      <c r="A1146" s="30" t="s">
        <v>496</v>
      </c>
      <c r="B1146" s="33" t="s">
        <v>23</v>
      </c>
      <c r="C1146" s="33">
        <v>1</v>
      </c>
      <c r="D1146" s="34" t="s">
        <v>200</v>
      </c>
      <c r="E1146" s="34" t="s">
        <v>211</v>
      </c>
      <c r="F1146" s="33">
        <v>0</v>
      </c>
      <c r="G1146" s="33">
        <v>0.25</v>
      </c>
      <c r="H1146" s="33" t="s">
        <v>215</v>
      </c>
      <c r="I1146" s="33">
        <v>500</v>
      </c>
    </row>
    <row r="1147" spans="1:9" x14ac:dyDescent="0.3">
      <c r="A1147" s="30" t="s">
        <v>496</v>
      </c>
      <c r="B1147" s="33" t="s">
        <v>23</v>
      </c>
      <c r="C1147" s="33">
        <v>1</v>
      </c>
      <c r="D1147" s="34" t="s">
        <v>200</v>
      </c>
      <c r="E1147" s="34" t="s">
        <v>212</v>
      </c>
      <c r="F1147" s="33">
        <v>0</v>
      </c>
      <c r="G1147" s="33">
        <v>0.25</v>
      </c>
      <c r="H1147" s="33" t="s">
        <v>215</v>
      </c>
      <c r="I1147" s="33">
        <v>500</v>
      </c>
    </row>
    <row r="1148" spans="1:9" x14ac:dyDescent="0.3">
      <c r="A1148" s="30" t="s">
        <v>496</v>
      </c>
      <c r="B1148" s="33" t="s">
        <v>23</v>
      </c>
      <c r="C1148" s="33">
        <v>1</v>
      </c>
      <c r="D1148" s="34" t="s">
        <v>200</v>
      </c>
      <c r="E1148" s="34" t="s">
        <v>213</v>
      </c>
      <c r="F1148" s="33">
        <v>0</v>
      </c>
      <c r="G1148" s="33">
        <v>0.25</v>
      </c>
      <c r="H1148" s="33" t="s">
        <v>215</v>
      </c>
      <c r="I1148" s="33">
        <v>500</v>
      </c>
    </row>
    <row r="1149" spans="1:9" x14ac:dyDescent="0.3">
      <c r="A1149" s="30" t="s">
        <v>496</v>
      </c>
      <c r="B1149" s="33" t="s">
        <v>23</v>
      </c>
      <c r="C1149" s="33">
        <v>1</v>
      </c>
      <c r="D1149" s="34" t="s">
        <v>200</v>
      </c>
      <c r="E1149" s="34" t="s">
        <v>214</v>
      </c>
      <c r="F1149" s="33">
        <v>0</v>
      </c>
      <c r="G1149" s="33">
        <v>0.25</v>
      </c>
      <c r="H1149" s="33" t="s">
        <v>215</v>
      </c>
      <c r="I1149" s="33">
        <v>500</v>
      </c>
    </row>
    <row r="1150" spans="1:9" x14ac:dyDescent="0.3">
      <c r="A1150" s="30" t="s">
        <v>496</v>
      </c>
      <c r="B1150" s="33" t="s">
        <v>23</v>
      </c>
      <c r="C1150" s="33">
        <v>1</v>
      </c>
      <c r="D1150" s="34" t="s">
        <v>200</v>
      </c>
      <c r="E1150" s="34" t="s">
        <v>216</v>
      </c>
      <c r="F1150" s="33">
        <v>0</v>
      </c>
      <c r="G1150" s="33">
        <v>0.3</v>
      </c>
      <c r="H1150" s="33" t="s">
        <v>202</v>
      </c>
      <c r="I1150" s="33">
        <v>100</v>
      </c>
    </row>
    <row r="1151" spans="1:9" x14ac:dyDescent="0.3">
      <c r="A1151" s="30" t="s">
        <v>496</v>
      </c>
      <c r="B1151" s="33" t="s">
        <v>23</v>
      </c>
      <c r="C1151" s="33">
        <v>1</v>
      </c>
      <c r="D1151" s="34" t="s">
        <v>200</v>
      </c>
      <c r="E1151" s="34" t="s">
        <v>216</v>
      </c>
      <c r="F1151" s="33">
        <v>0</v>
      </c>
      <c r="G1151" s="33">
        <v>0.45</v>
      </c>
      <c r="H1151" s="33" t="s">
        <v>215</v>
      </c>
      <c r="I1151" s="33">
        <v>500</v>
      </c>
    </row>
    <row r="1152" spans="1:9" x14ac:dyDescent="0.3">
      <c r="A1152" s="30" t="s">
        <v>496</v>
      </c>
      <c r="B1152" s="33" t="s">
        <v>23</v>
      </c>
      <c r="C1152" s="33">
        <v>1</v>
      </c>
      <c r="D1152" s="34" t="s">
        <v>200</v>
      </c>
      <c r="E1152" s="34" t="s">
        <v>217</v>
      </c>
      <c r="F1152" s="33">
        <v>0</v>
      </c>
      <c r="G1152" s="33">
        <v>0.2</v>
      </c>
      <c r="H1152" s="33" t="s">
        <v>202</v>
      </c>
      <c r="I1152" s="33">
        <v>100</v>
      </c>
    </row>
    <row r="1153" spans="1:9" x14ac:dyDescent="0.3">
      <c r="A1153" s="30" t="s">
        <v>496</v>
      </c>
      <c r="B1153" s="33" t="s">
        <v>23</v>
      </c>
      <c r="C1153" s="33">
        <v>1</v>
      </c>
      <c r="D1153" s="34" t="s">
        <v>200</v>
      </c>
      <c r="E1153" s="34" t="s">
        <v>218</v>
      </c>
      <c r="F1153" s="33">
        <v>0</v>
      </c>
      <c r="G1153" s="33">
        <v>0.2</v>
      </c>
      <c r="H1153" s="33" t="s">
        <v>202</v>
      </c>
      <c r="I1153" s="33">
        <v>100</v>
      </c>
    </row>
    <row r="1154" spans="1:9" x14ac:dyDescent="0.3">
      <c r="A1154" s="30" t="s">
        <v>496</v>
      </c>
      <c r="B1154" s="33" t="s">
        <v>23</v>
      </c>
      <c r="C1154" s="33">
        <v>1</v>
      </c>
      <c r="D1154" s="34" t="s">
        <v>200</v>
      </c>
      <c r="E1154" s="34" t="s">
        <v>219</v>
      </c>
      <c r="F1154" s="33">
        <v>0</v>
      </c>
      <c r="G1154" s="33">
        <v>0.2</v>
      </c>
      <c r="H1154" s="33" t="s">
        <v>202</v>
      </c>
      <c r="I1154" s="33">
        <v>100</v>
      </c>
    </row>
    <row r="1155" spans="1:9" x14ac:dyDescent="0.3">
      <c r="A1155" s="30" t="s">
        <v>496</v>
      </c>
      <c r="B1155" s="33" t="s">
        <v>23</v>
      </c>
      <c r="C1155" s="33">
        <v>1</v>
      </c>
      <c r="D1155" s="34" t="s">
        <v>200</v>
      </c>
      <c r="E1155" s="34" t="s">
        <v>220</v>
      </c>
      <c r="F1155" s="33">
        <v>0</v>
      </c>
      <c r="G1155" s="33">
        <v>0.2</v>
      </c>
      <c r="H1155" s="33" t="s">
        <v>202</v>
      </c>
      <c r="I1155" s="33">
        <v>100</v>
      </c>
    </row>
    <row r="1156" spans="1:9" x14ac:dyDescent="0.3">
      <c r="A1156" s="30" t="s">
        <v>496</v>
      </c>
      <c r="B1156" s="33" t="s">
        <v>23</v>
      </c>
      <c r="C1156" s="33">
        <v>1</v>
      </c>
      <c r="D1156" s="34" t="s">
        <v>200</v>
      </c>
      <c r="E1156" s="34" t="s">
        <v>217</v>
      </c>
      <c r="F1156" s="33">
        <v>0</v>
      </c>
      <c r="G1156" s="33">
        <v>0.35</v>
      </c>
      <c r="H1156" s="33" t="s">
        <v>215</v>
      </c>
      <c r="I1156" s="33">
        <v>500</v>
      </c>
    </row>
    <row r="1157" spans="1:9" x14ac:dyDescent="0.3">
      <c r="A1157" s="30" t="s">
        <v>496</v>
      </c>
      <c r="B1157" s="33" t="s">
        <v>23</v>
      </c>
      <c r="C1157" s="33">
        <v>1</v>
      </c>
      <c r="D1157" s="34" t="s">
        <v>200</v>
      </c>
      <c r="E1157" s="34" t="s">
        <v>218</v>
      </c>
      <c r="F1157" s="33">
        <v>0</v>
      </c>
      <c r="G1157" s="33">
        <v>0.35</v>
      </c>
      <c r="H1157" s="33" t="s">
        <v>215</v>
      </c>
      <c r="I1157" s="33">
        <v>500</v>
      </c>
    </row>
    <row r="1158" spans="1:9" x14ac:dyDescent="0.3">
      <c r="A1158" s="30" t="s">
        <v>496</v>
      </c>
      <c r="B1158" s="33" t="s">
        <v>23</v>
      </c>
      <c r="C1158" s="33">
        <v>1</v>
      </c>
      <c r="D1158" s="34" t="s">
        <v>200</v>
      </c>
      <c r="E1158" s="34" t="s">
        <v>219</v>
      </c>
      <c r="F1158" s="33">
        <v>0</v>
      </c>
      <c r="G1158" s="33">
        <v>0.35</v>
      </c>
      <c r="H1158" s="33" t="s">
        <v>215</v>
      </c>
      <c r="I1158" s="33">
        <v>500</v>
      </c>
    </row>
    <row r="1159" spans="1:9" x14ac:dyDescent="0.3">
      <c r="A1159" s="30" t="s">
        <v>496</v>
      </c>
      <c r="B1159" s="33" t="s">
        <v>23</v>
      </c>
      <c r="C1159" s="33">
        <v>1</v>
      </c>
      <c r="D1159" s="34" t="s">
        <v>200</v>
      </c>
      <c r="E1159" s="34" t="s">
        <v>220</v>
      </c>
      <c r="F1159" s="33">
        <v>0</v>
      </c>
      <c r="G1159" s="33">
        <v>0.35</v>
      </c>
      <c r="H1159" s="33" t="s">
        <v>215</v>
      </c>
      <c r="I1159" s="33">
        <v>500</v>
      </c>
    </row>
    <row r="1160" spans="1:9" x14ac:dyDescent="0.3">
      <c r="A1160" s="30" t="s">
        <v>496</v>
      </c>
      <c r="B1160" s="33" t="s">
        <v>23</v>
      </c>
      <c r="C1160" s="33">
        <v>1</v>
      </c>
      <c r="D1160" s="34" t="s">
        <v>221</v>
      </c>
      <c r="E1160" s="34" t="s">
        <v>198</v>
      </c>
      <c r="F1160" s="33">
        <v>0</v>
      </c>
      <c r="G1160" s="33">
        <v>0.5</v>
      </c>
      <c r="H1160" s="33"/>
      <c r="I1160" s="33">
        <v>0</v>
      </c>
    </row>
    <row r="1161" spans="1:9" x14ac:dyDescent="0.3">
      <c r="A1161" s="30" t="s">
        <v>497</v>
      </c>
      <c r="B1161" s="33" t="s">
        <v>23</v>
      </c>
      <c r="C1161" s="33">
        <v>1</v>
      </c>
      <c r="D1161" s="34" t="s">
        <v>188</v>
      </c>
      <c r="E1161" s="34" t="s">
        <v>189</v>
      </c>
      <c r="F1161" s="33">
        <v>0</v>
      </c>
      <c r="G1161" s="33">
        <v>0.15</v>
      </c>
      <c r="H1161" s="33"/>
      <c r="I1161" s="33">
        <v>0</v>
      </c>
    </row>
    <row r="1162" spans="1:9" x14ac:dyDescent="0.3">
      <c r="A1162" s="30" t="s">
        <v>497</v>
      </c>
      <c r="B1162" s="33" t="s">
        <v>23</v>
      </c>
      <c r="C1162" s="33">
        <v>1</v>
      </c>
      <c r="D1162" s="34" t="s">
        <v>190</v>
      </c>
      <c r="E1162" s="34" t="s">
        <v>198</v>
      </c>
      <c r="F1162" s="33">
        <v>0</v>
      </c>
      <c r="G1162" s="33">
        <v>0.3</v>
      </c>
      <c r="H1162" s="33"/>
      <c r="I1162" s="33">
        <v>0</v>
      </c>
    </row>
    <row r="1163" spans="1:9" x14ac:dyDescent="0.3">
      <c r="A1163" s="30" t="s">
        <v>497</v>
      </c>
      <c r="B1163" s="33" t="s">
        <v>23</v>
      </c>
      <c r="C1163" s="33">
        <v>1</v>
      </c>
      <c r="D1163" s="34" t="s">
        <v>197</v>
      </c>
      <c r="E1163" s="34" t="s">
        <v>198</v>
      </c>
      <c r="F1163" s="33">
        <v>0</v>
      </c>
      <c r="G1163" s="33">
        <v>0.05</v>
      </c>
      <c r="H1163" s="33"/>
      <c r="I1163" s="33">
        <v>0</v>
      </c>
    </row>
    <row r="1164" spans="1:9" x14ac:dyDescent="0.3">
      <c r="A1164" s="30" t="s">
        <v>497</v>
      </c>
      <c r="B1164" s="33" t="s">
        <v>23</v>
      </c>
      <c r="C1164" s="33">
        <v>1</v>
      </c>
      <c r="D1164" s="34" t="s">
        <v>197</v>
      </c>
      <c r="E1164" s="34" t="s">
        <v>199</v>
      </c>
      <c r="F1164" s="33">
        <v>0</v>
      </c>
      <c r="G1164" s="33">
        <v>0</v>
      </c>
      <c r="H1164" s="33"/>
      <c r="I1164" s="33">
        <v>0</v>
      </c>
    </row>
    <row r="1165" spans="1:9" x14ac:dyDescent="0.3">
      <c r="A1165" s="30" t="s">
        <v>497</v>
      </c>
      <c r="B1165" s="33" t="s">
        <v>23</v>
      </c>
      <c r="C1165" s="33">
        <v>1</v>
      </c>
      <c r="D1165" s="34" t="s">
        <v>200</v>
      </c>
      <c r="E1165" s="34" t="s">
        <v>201</v>
      </c>
      <c r="F1165" s="33">
        <v>0</v>
      </c>
      <c r="G1165" s="33">
        <v>0.35</v>
      </c>
      <c r="H1165" s="33" t="s">
        <v>202</v>
      </c>
      <c r="I1165" s="33">
        <v>100</v>
      </c>
    </row>
    <row r="1166" spans="1:9" x14ac:dyDescent="0.3">
      <c r="A1166" s="30" t="s">
        <v>497</v>
      </c>
      <c r="B1166" s="33" t="s">
        <v>23</v>
      </c>
      <c r="C1166" s="33">
        <v>1</v>
      </c>
      <c r="D1166" s="34" t="s">
        <v>200</v>
      </c>
      <c r="E1166" s="34" t="s">
        <v>203</v>
      </c>
      <c r="F1166" s="33">
        <v>0</v>
      </c>
      <c r="G1166" s="33">
        <v>0.3</v>
      </c>
      <c r="H1166" s="33" t="s">
        <v>202</v>
      </c>
      <c r="I1166" s="33">
        <v>100</v>
      </c>
    </row>
    <row r="1167" spans="1:9" x14ac:dyDescent="0.3">
      <c r="A1167" s="30" t="s">
        <v>497</v>
      </c>
      <c r="B1167" s="33" t="s">
        <v>23</v>
      </c>
      <c r="C1167" s="33">
        <v>1</v>
      </c>
      <c r="D1167" s="34" t="s">
        <v>200</v>
      </c>
      <c r="E1167" s="34" t="s">
        <v>204</v>
      </c>
      <c r="F1167" s="33">
        <v>0</v>
      </c>
      <c r="G1167" s="33">
        <v>0.3</v>
      </c>
      <c r="H1167" s="33" t="s">
        <v>202</v>
      </c>
      <c r="I1167" s="33">
        <v>100</v>
      </c>
    </row>
    <row r="1168" spans="1:9" x14ac:dyDescent="0.3">
      <c r="A1168" s="30" t="s">
        <v>497</v>
      </c>
      <c r="B1168" s="33" t="s">
        <v>23</v>
      </c>
      <c r="C1168" s="33">
        <v>1</v>
      </c>
      <c r="D1168" s="34" t="s">
        <v>200</v>
      </c>
      <c r="E1168" s="34" t="s">
        <v>205</v>
      </c>
      <c r="F1168" s="33">
        <v>0</v>
      </c>
      <c r="G1168" s="33">
        <v>0.3</v>
      </c>
      <c r="H1168" s="33" t="s">
        <v>202</v>
      </c>
      <c r="I1168" s="33">
        <v>100</v>
      </c>
    </row>
    <row r="1169" spans="1:9" x14ac:dyDescent="0.3">
      <c r="A1169" s="30" t="s">
        <v>497</v>
      </c>
      <c r="B1169" s="33" t="s">
        <v>23</v>
      </c>
      <c r="C1169" s="33">
        <v>1</v>
      </c>
      <c r="D1169" s="34" t="s">
        <v>200</v>
      </c>
      <c r="E1169" s="34" t="s">
        <v>206</v>
      </c>
      <c r="F1169" s="33">
        <v>0</v>
      </c>
      <c r="G1169" s="33">
        <v>0.3</v>
      </c>
      <c r="H1169" s="33" t="s">
        <v>202</v>
      </c>
      <c r="I1169" s="33">
        <v>100</v>
      </c>
    </row>
    <row r="1170" spans="1:9" x14ac:dyDescent="0.3">
      <c r="A1170" s="30" t="s">
        <v>497</v>
      </c>
      <c r="B1170" s="33" t="s">
        <v>23</v>
      </c>
      <c r="C1170" s="33">
        <v>1</v>
      </c>
      <c r="D1170" s="34" t="s">
        <v>200</v>
      </c>
      <c r="E1170" s="34" t="s">
        <v>207</v>
      </c>
      <c r="F1170" s="33">
        <v>0</v>
      </c>
      <c r="G1170" s="33">
        <v>0.2</v>
      </c>
      <c r="H1170" s="33" t="s">
        <v>202</v>
      </c>
      <c r="I1170" s="33">
        <v>100</v>
      </c>
    </row>
    <row r="1171" spans="1:9" x14ac:dyDescent="0.3">
      <c r="A1171" s="30" t="s">
        <v>497</v>
      </c>
      <c r="B1171" s="33" t="s">
        <v>23</v>
      </c>
      <c r="C1171" s="33">
        <v>1</v>
      </c>
      <c r="D1171" s="34" t="s">
        <v>200</v>
      </c>
      <c r="E1171" s="34" t="s">
        <v>208</v>
      </c>
      <c r="F1171" s="33">
        <v>0</v>
      </c>
      <c r="G1171" s="33">
        <v>0.2</v>
      </c>
      <c r="H1171" s="33" t="s">
        <v>202</v>
      </c>
      <c r="I1171" s="33">
        <v>100</v>
      </c>
    </row>
    <row r="1172" spans="1:9" x14ac:dyDescent="0.3">
      <c r="A1172" s="30" t="s">
        <v>497</v>
      </c>
      <c r="B1172" s="33" t="s">
        <v>23</v>
      </c>
      <c r="C1172" s="33">
        <v>1</v>
      </c>
      <c r="D1172" s="34" t="s">
        <v>200</v>
      </c>
      <c r="E1172" s="34" t="s">
        <v>209</v>
      </c>
      <c r="F1172" s="33">
        <v>0</v>
      </c>
      <c r="G1172" s="33">
        <v>0.3</v>
      </c>
      <c r="H1172" s="33" t="s">
        <v>202</v>
      </c>
      <c r="I1172" s="33">
        <v>100</v>
      </c>
    </row>
    <row r="1173" spans="1:9" x14ac:dyDescent="0.3">
      <c r="A1173" s="30" t="s">
        <v>497</v>
      </c>
      <c r="B1173" s="33" t="s">
        <v>23</v>
      </c>
      <c r="C1173" s="33">
        <v>1</v>
      </c>
      <c r="D1173" s="34" t="s">
        <v>200</v>
      </c>
      <c r="E1173" s="34" t="s">
        <v>210</v>
      </c>
      <c r="F1173" s="33">
        <v>0</v>
      </c>
      <c r="G1173" s="33">
        <v>0.2</v>
      </c>
      <c r="H1173" s="33" t="s">
        <v>202</v>
      </c>
      <c r="I1173" s="33">
        <v>100</v>
      </c>
    </row>
    <row r="1174" spans="1:9" x14ac:dyDescent="0.3">
      <c r="A1174" s="30" t="s">
        <v>497</v>
      </c>
      <c r="B1174" s="33" t="s">
        <v>23</v>
      </c>
      <c r="C1174" s="33">
        <v>1</v>
      </c>
      <c r="D1174" s="34" t="s">
        <v>200</v>
      </c>
      <c r="E1174" s="34" t="s">
        <v>211</v>
      </c>
      <c r="F1174" s="33">
        <v>0</v>
      </c>
      <c r="G1174" s="33">
        <v>0.15</v>
      </c>
      <c r="H1174" s="33" t="s">
        <v>202</v>
      </c>
      <c r="I1174" s="33">
        <v>100</v>
      </c>
    </row>
    <row r="1175" spans="1:9" x14ac:dyDescent="0.3">
      <c r="A1175" s="30" t="s">
        <v>497</v>
      </c>
      <c r="B1175" s="33" t="s">
        <v>23</v>
      </c>
      <c r="C1175" s="33">
        <v>1</v>
      </c>
      <c r="D1175" s="34" t="s">
        <v>200</v>
      </c>
      <c r="E1175" s="34" t="s">
        <v>212</v>
      </c>
      <c r="F1175" s="33">
        <v>0</v>
      </c>
      <c r="G1175" s="33">
        <v>0.15</v>
      </c>
      <c r="H1175" s="33" t="s">
        <v>202</v>
      </c>
      <c r="I1175" s="33">
        <v>100</v>
      </c>
    </row>
    <row r="1176" spans="1:9" x14ac:dyDescent="0.3">
      <c r="A1176" s="30" t="s">
        <v>497</v>
      </c>
      <c r="B1176" s="33" t="s">
        <v>23</v>
      </c>
      <c r="C1176" s="33">
        <v>1</v>
      </c>
      <c r="D1176" s="34" t="s">
        <v>200</v>
      </c>
      <c r="E1176" s="34" t="s">
        <v>213</v>
      </c>
      <c r="F1176" s="33">
        <v>0</v>
      </c>
      <c r="G1176" s="33">
        <v>0.15</v>
      </c>
      <c r="H1176" s="33" t="s">
        <v>202</v>
      </c>
      <c r="I1176" s="33">
        <v>100</v>
      </c>
    </row>
    <row r="1177" spans="1:9" x14ac:dyDescent="0.3">
      <c r="A1177" s="30" t="s">
        <v>497</v>
      </c>
      <c r="B1177" s="33" t="s">
        <v>23</v>
      </c>
      <c r="C1177" s="33">
        <v>1</v>
      </c>
      <c r="D1177" s="34" t="s">
        <v>200</v>
      </c>
      <c r="E1177" s="34" t="s">
        <v>214</v>
      </c>
      <c r="F1177" s="33">
        <v>0</v>
      </c>
      <c r="G1177" s="33">
        <v>0.15</v>
      </c>
      <c r="H1177" s="33" t="s">
        <v>202</v>
      </c>
      <c r="I1177" s="33">
        <v>100</v>
      </c>
    </row>
    <row r="1178" spans="1:9" x14ac:dyDescent="0.3">
      <c r="A1178" s="30" t="s">
        <v>497</v>
      </c>
      <c r="B1178" s="33" t="s">
        <v>23</v>
      </c>
      <c r="C1178" s="33">
        <v>1</v>
      </c>
      <c r="D1178" s="34" t="s">
        <v>200</v>
      </c>
      <c r="E1178" s="34" t="s">
        <v>201</v>
      </c>
      <c r="F1178" s="33">
        <v>0</v>
      </c>
      <c r="G1178" s="33">
        <v>0.5</v>
      </c>
      <c r="H1178" s="33" t="s">
        <v>215</v>
      </c>
      <c r="I1178" s="33">
        <v>500</v>
      </c>
    </row>
    <row r="1179" spans="1:9" x14ac:dyDescent="0.3">
      <c r="A1179" s="30" t="s">
        <v>497</v>
      </c>
      <c r="B1179" s="33" t="s">
        <v>23</v>
      </c>
      <c r="C1179" s="33">
        <v>1</v>
      </c>
      <c r="D1179" s="34" t="s">
        <v>200</v>
      </c>
      <c r="E1179" s="34" t="s">
        <v>203</v>
      </c>
      <c r="F1179" s="33">
        <v>0</v>
      </c>
      <c r="G1179" s="33">
        <v>0.5</v>
      </c>
      <c r="H1179" s="33" t="s">
        <v>215</v>
      </c>
      <c r="I1179" s="33">
        <v>500</v>
      </c>
    </row>
    <row r="1180" spans="1:9" x14ac:dyDescent="0.3">
      <c r="A1180" s="30" t="s">
        <v>497</v>
      </c>
      <c r="B1180" s="33" t="s">
        <v>23</v>
      </c>
      <c r="C1180" s="33">
        <v>1</v>
      </c>
      <c r="D1180" s="34" t="s">
        <v>200</v>
      </c>
      <c r="E1180" s="34" t="s">
        <v>204</v>
      </c>
      <c r="F1180" s="33">
        <v>0</v>
      </c>
      <c r="G1180" s="33">
        <v>0.5</v>
      </c>
      <c r="H1180" s="33" t="s">
        <v>215</v>
      </c>
      <c r="I1180" s="33">
        <v>500</v>
      </c>
    </row>
    <row r="1181" spans="1:9" x14ac:dyDescent="0.3">
      <c r="A1181" s="30" t="s">
        <v>497</v>
      </c>
      <c r="B1181" s="33" t="s">
        <v>23</v>
      </c>
      <c r="C1181" s="33">
        <v>1</v>
      </c>
      <c r="D1181" s="34" t="s">
        <v>200</v>
      </c>
      <c r="E1181" s="34" t="s">
        <v>205</v>
      </c>
      <c r="F1181" s="33">
        <v>0</v>
      </c>
      <c r="G1181" s="33">
        <v>0.5</v>
      </c>
      <c r="H1181" s="33" t="s">
        <v>215</v>
      </c>
      <c r="I1181" s="33">
        <v>500</v>
      </c>
    </row>
    <row r="1182" spans="1:9" x14ac:dyDescent="0.3">
      <c r="A1182" s="30" t="s">
        <v>497</v>
      </c>
      <c r="B1182" s="33" t="s">
        <v>23</v>
      </c>
      <c r="C1182" s="33">
        <v>1</v>
      </c>
      <c r="D1182" s="34" t="s">
        <v>200</v>
      </c>
      <c r="E1182" s="34" t="s">
        <v>206</v>
      </c>
      <c r="F1182" s="33">
        <v>0</v>
      </c>
      <c r="G1182" s="33">
        <v>0.5</v>
      </c>
      <c r="H1182" s="33" t="s">
        <v>215</v>
      </c>
      <c r="I1182" s="33">
        <v>500</v>
      </c>
    </row>
    <row r="1183" spans="1:9" x14ac:dyDescent="0.3">
      <c r="A1183" s="30" t="s">
        <v>497</v>
      </c>
      <c r="B1183" s="33" t="s">
        <v>23</v>
      </c>
      <c r="C1183" s="33">
        <v>1</v>
      </c>
      <c r="D1183" s="34" t="s">
        <v>200</v>
      </c>
      <c r="E1183" s="34" t="s">
        <v>207</v>
      </c>
      <c r="F1183" s="33">
        <v>0</v>
      </c>
      <c r="G1183" s="33">
        <v>0.35</v>
      </c>
      <c r="H1183" s="33" t="s">
        <v>215</v>
      </c>
      <c r="I1183" s="33">
        <v>500</v>
      </c>
    </row>
    <row r="1184" spans="1:9" x14ac:dyDescent="0.3">
      <c r="A1184" s="30" t="s">
        <v>497</v>
      </c>
      <c r="B1184" s="33" t="s">
        <v>23</v>
      </c>
      <c r="C1184" s="33">
        <v>1</v>
      </c>
      <c r="D1184" s="34" t="s">
        <v>200</v>
      </c>
      <c r="E1184" s="34" t="s">
        <v>208</v>
      </c>
      <c r="F1184" s="33">
        <v>0</v>
      </c>
      <c r="G1184" s="33">
        <v>0.3</v>
      </c>
      <c r="H1184" s="33" t="s">
        <v>215</v>
      </c>
      <c r="I1184" s="33">
        <v>500</v>
      </c>
    </row>
    <row r="1185" spans="1:9" x14ac:dyDescent="0.3">
      <c r="A1185" s="30" t="s">
        <v>497</v>
      </c>
      <c r="B1185" s="33" t="s">
        <v>23</v>
      </c>
      <c r="C1185" s="33">
        <v>1</v>
      </c>
      <c r="D1185" s="34" t="s">
        <v>200</v>
      </c>
      <c r="E1185" s="34" t="s">
        <v>209</v>
      </c>
      <c r="F1185" s="33">
        <v>0</v>
      </c>
      <c r="G1185" s="33">
        <v>0.5</v>
      </c>
      <c r="H1185" s="33" t="s">
        <v>215</v>
      </c>
      <c r="I1185" s="33">
        <v>500</v>
      </c>
    </row>
    <row r="1186" spans="1:9" x14ac:dyDescent="0.3">
      <c r="A1186" s="30" t="s">
        <v>497</v>
      </c>
      <c r="B1186" s="33" t="s">
        <v>23</v>
      </c>
      <c r="C1186" s="33">
        <v>1</v>
      </c>
      <c r="D1186" s="34" t="s">
        <v>200</v>
      </c>
      <c r="E1186" s="34" t="s">
        <v>210</v>
      </c>
      <c r="F1186" s="33">
        <v>0</v>
      </c>
      <c r="G1186" s="33">
        <v>0.3</v>
      </c>
      <c r="H1186" s="33" t="s">
        <v>215</v>
      </c>
      <c r="I1186" s="33">
        <v>500</v>
      </c>
    </row>
    <row r="1187" spans="1:9" x14ac:dyDescent="0.3">
      <c r="A1187" s="30" t="s">
        <v>497</v>
      </c>
      <c r="B1187" s="33" t="s">
        <v>23</v>
      </c>
      <c r="C1187" s="33">
        <v>1</v>
      </c>
      <c r="D1187" s="34" t="s">
        <v>200</v>
      </c>
      <c r="E1187" s="34" t="s">
        <v>211</v>
      </c>
      <c r="F1187" s="33">
        <v>0</v>
      </c>
      <c r="G1187" s="33">
        <v>0.25</v>
      </c>
      <c r="H1187" s="33" t="s">
        <v>215</v>
      </c>
      <c r="I1187" s="33">
        <v>500</v>
      </c>
    </row>
    <row r="1188" spans="1:9" x14ac:dyDescent="0.3">
      <c r="A1188" s="30" t="s">
        <v>497</v>
      </c>
      <c r="B1188" s="33" t="s">
        <v>23</v>
      </c>
      <c r="C1188" s="33">
        <v>1</v>
      </c>
      <c r="D1188" s="34" t="s">
        <v>200</v>
      </c>
      <c r="E1188" s="34" t="s">
        <v>212</v>
      </c>
      <c r="F1188" s="33">
        <v>0</v>
      </c>
      <c r="G1188" s="33">
        <v>0.25</v>
      </c>
      <c r="H1188" s="33" t="s">
        <v>215</v>
      </c>
      <c r="I1188" s="33">
        <v>500</v>
      </c>
    </row>
    <row r="1189" spans="1:9" x14ac:dyDescent="0.3">
      <c r="A1189" s="30" t="s">
        <v>497</v>
      </c>
      <c r="B1189" s="33" t="s">
        <v>23</v>
      </c>
      <c r="C1189" s="33">
        <v>1</v>
      </c>
      <c r="D1189" s="34" t="s">
        <v>200</v>
      </c>
      <c r="E1189" s="34" t="s">
        <v>213</v>
      </c>
      <c r="F1189" s="33">
        <v>0</v>
      </c>
      <c r="G1189" s="33">
        <v>0.25</v>
      </c>
      <c r="H1189" s="33" t="s">
        <v>215</v>
      </c>
      <c r="I1189" s="33">
        <v>500</v>
      </c>
    </row>
    <row r="1190" spans="1:9" x14ac:dyDescent="0.3">
      <c r="A1190" s="30" t="s">
        <v>497</v>
      </c>
      <c r="B1190" s="33" t="s">
        <v>23</v>
      </c>
      <c r="C1190" s="33">
        <v>1</v>
      </c>
      <c r="D1190" s="34" t="s">
        <v>200</v>
      </c>
      <c r="E1190" s="34" t="s">
        <v>214</v>
      </c>
      <c r="F1190" s="33">
        <v>0</v>
      </c>
      <c r="G1190" s="33">
        <v>0.25</v>
      </c>
      <c r="H1190" s="33" t="s">
        <v>215</v>
      </c>
      <c r="I1190" s="33">
        <v>500</v>
      </c>
    </row>
    <row r="1191" spans="1:9" x14ac:dyDescent="0.3">
      <c r="A1191" s="30" t="s">
        <v>497</v>
      </c>
      <c r="B1191" s="33" t="s">
        <v>23</v>
      </c>
      <c r="C1191" s="33">
        <v>1</v>
      </c>
      <c r="D1191" s="34" t="s">
        <v>200</v>
      </c>
      <c r="E1191" s="34" t="s">
        <v>216</v>
      </c>
      <c r="F1191" s="33">
        <v>0</v>
      </c>
      <c r="G1191" s="33">
        <v>0.3</v>
      </c>
      <c r="H1191" s="33" t="s">
        <v>202</v>
      </c>
      <c r="I1191" s="33">
        <v>100</v>
      </c>
    </row>
    <row r="1192" spans="1:9" x14ac:dyDescent="0.3">
      <c r="A1192" s="30" t="s">
        <v>497</v>
      </c>
      <c r="B1192" s="33" t="s">
        <v>23</v>
      </c>
      <c r="C1192" s="33">
        <v>1</v>
      </c>
      <c r="D1192" s="34" t="s">
        <v>200</v>
      </c>
      <c r="E1192" s="34" t="s">
        <v>216</v>
      </c>
      <c r="F1192" s="33">
        <v>0</v>
      </c>
      <c r="G1192" s="33">
        <v>0.45</v>
      </c>
      <c r="H1192" s="33" t="s">
        <v>215</v>
      </c>
      <c r="I1192" s="33">
        <v>500</v>
      </c>
    </row>
    <row r="1193" spans="1:9" x14ac:dyDescent="0.3">
      <c r="A1193" s="30" t="s">
        <v>497</v>
      </c>
      <c r="B1193" s="33" t="s">
        <v>23</v>
      </c>
      <c r="C1193" s="33">
        <v>1</v>
      </c>
      <c r="D1193" s="34" t="s">
        <v>200</v>
      </c>
      <c r="E1193" s="34" t="s">
        <v>217</v>
      </c>
      <c r="F1193" s="33">
        <v>0</v>
      </c>
      <c r="G1193" s="33">
        <v>0.2</v>
      </c>
      <c r="H1193" s="33" t="s">
        <v>202</v>
      </c>
      <c r="I1193" s="33">
        <v>100</v>
      </c>
    </row>
    <row r="1194" spans="1:9" x14ac:dyDescent="0.3">
      <c r="A1194" s="30" t="s">
        <v>497</v>
      </c>
      <c r="B1194" s="33" t="s">
        <v>23</v>
      </c>
      <c r="C1194" s="33">
        <v>1</v>
      </c>
      <c r="D1194" s="34" t="s">
        <v>200</v>
      </c>
      <c r="E1194" s="34" t="s">
        <v>218</v>
      </c>
      <c r="F1194" s="33">
        <v>0</v>
      </c>
      <c r="G1194" s="33">
        <v>0.2</v>
      </c>
      <c r="H1194" s="33" t="s">
        <v>202</v>
      </c>
      <c r="I1194" s="33">
        <v>100</v>
      </c>
    </row>
    <row r="1195" spans="1:9" x14ac:dyDescent="0.3">
      <c r="A1195" s="30" t="s">
        <v>497</v>
      </c>
      <c r="B1195" s="33" t="s">
        <v>23</v>
      </c>
      <c r="C1195" s="33">
        <v>1</v>
      </c>
      <c r="D1195" s="34" t="s">
        <v>200</v>
      </c>
      <c r="E1195" s="34" t="s">
        <v>219</v>
      </c>
      <c r="F1195" s="33">
        <v>0</v>
      </c>
      <c r="G1195" s="33">
        <v>0.2</v>
      </c>
      <c r="H1195" s="33" t="s">
        <v>202</v>
      </c>
      <c r="I1195" s="33">
        <v>100</v>
      </c>
    </row>
    <row r="1196" spans="1:9" x14ac:dyDescent="0.3">
      <c r="A1196" s="30" t="s">
        <v>497</v>
      </c>
      <c r="B1196" s="33" t="s">
        <v>23</v>
      </c>
      <c r="C1196" s="33">
        <v>1</v>
      </c>
      <c r="D1196" s="34" t="s">
        <v>200</v>
      </c>
      <c r="E1196" s="34" t="s">
        <v>220</v>
      </c>
      <c r="F1196" s="33">
        <v>0</v>
      </c>
      <c r="G1196" s="33">
        <v>0.2</v>
      </c>
      <c r="H1196" s="33" t="s">
        <v>202</v>
      </c>
      <c r="I1196" s="33">
        <v>100</v>
      </c>
    </row>
    <row r="1197" spans="1:9" x14ac:dyDescent="0.3">
      <c r="A1197" s="30" t="s">
        <v>497</v>
      </c>
      <c r="B1197" s="33" t="s">
        <v>23</v>
      </c>
      <c r="C1197" s="33">
        <v>1</v>
      </c>
      <c r="D1197" s="34" t="s">
        <v>200</v>
      </c>
      <c r="E1197" s="34" t="s">
        <v>217</v>
      </c>
      <c r="F1197" s="33">
        <v>0</v>
      </c>
      <c r="G1197" s="33">
        <v>0.35</v>
      </c>
      <c r="H1197" s="33" t="s">
        <v>215</v>
      </c>
      <c r="I1197" s="33">
        <v>500</v>
      </c>
    </row>
    <row r="1198" spans="1:9" x14ac:dyDescent="0.3">
      <c r="A1198" s="30" t="s">
        <v>497</v>
      </c>
      <c r="B1198" s="33" t="s">
        <v>23</v>
      </c>
      <c r="C1198" s="33">
        <v>1</v>
      </c>
      <c r="D1198" s="34" t="s">
        <v>200</v>
      </c>
      <c r="E1198" s="34" t="s">
        <v>218</v>
      </c>
      <c r="F1198" s="33">
        <v>0</v>
      </c>
      <c r="G1198" s="33">
        <v>0.35</v>
      </c>
      <c r="H1198" s="33" t="s">
        <v>215</v>
      </c>
      <c r="I1198" s="33">
        <v>500</v>
      </c>
    </row>
    <row r="1199" spans="1:9" x14ac:dyDescent="0.3">
      <c r="A1199" s="30" t="s">
        <v>497</v>
      </c>
      <c r="B1199" s="33" t="s">
        <v>23</v>
      </c>
      <c r="C1199" s="33">
        <v>1</v>
      </c>
      <c r="D1199" s="34" t="s">
        <v>200</v>
      </c>
      <c r="E1199" s="34" t="s">
        <v>219</v>
      </c>
      <c r="F1199" s="33">
        <v>0</v>
      </c>
      <c r="G1199" s="33">
        <v>0.35</v>
      </c>
      <c r="H1199" s="33" t="s">
        <v>215</v>
      </c>
      <c r="I1199" s="33">
        <v>500</v>
      </c>
    </row>
    <row r="1200" spans="1:9" x14ac:dyDescent="0.3">
      <c r="A1200" s="30" t="s">
        <v>497</v>
      </c>
      <c r="B1200" s="33" t="s">
        <v>23</v>
      </c>
      <c r="C1200" s="33">
        <v>1</v>
      </c>
      <c r="D1200" s="34" t="s">
        <v>200</v>
      </c>
      <c r="E1200" s="34" t="s">
        <v>220</v>
      </c>
      <c r="F1200" s="33">
        <v>0</v>
      </c>
      <c r="G1200" s="33">
        <v>0.35</v>
      </c>
      <c r="H1200" s="33" t="s">
        <v>215</v>
      </c>
      <c r="I1200" s="33">
        <v>500</v>
      </c>
    </row>
    <row r="1201" spans="1:9" x14ac:dyDescent="0.3">
      <c r="A1201" s="30" t="s">
        <v>497</v>
      </c>
      <c r="B1201" s="33" t="s">
        <v>23</v>
      </c>
      <c r="C1201" s="33">
        <v>1</v>
      </c>
      <c r="D1201" s="34" t="s">
        <v>221</v>
      </c>
      <c r="E1201" s="34" t="s">
        <v>198</v>
      </c>
      <c r="F1201" s="33">
        <v>0</v>
      </c>
      <c r="G1201" s="33">
        <v>0.5</v>
      </c>
      <c r="H1201" s="33"/>
      <c r="I1201" s="33">
        <v>0</v>
      </c>
    </row>
    <row r="1202" spans="1:9" x14ac:dyDescent="0.3">
      <c r="A1202" s="30" t="s">
        <v>498</v>
      </c>
      <c r="B1202" s="33" t="s">
        <v>23</v>
      </c>
      <c r="C1202" s="33">
        <v>1</v>
      </c>
      <c r="D1202" s="34" t="s">
        <v>188</v>
      </c>
      <c r="E1202" s="34" t="s">
        <v>189</v>
      </c>
      <c r="F1202" s="33">
        <v>0</v>
      </c>
      <c r="G1202" s="33">
        <v>0.15</v>
      </c>
      <c r="H1202" s="33"/>
      <c r="I1202" s="33">
        <v>0</v>
      </c>
    </row>
    <row r="1203" spans="1:9" x14ac:dyDescent="0.3">
      <c r="A1203" s="30" t="s">
        <v>498</v>
      </c>
      <c r="B1203" s="33" t="s">
        <v>23</v>
      </c>
      <c r="C1203" s="33">
        <v>1</v>
      </c>
      <c r="D1203" s="34" t="s">
        <v>190</v>
      </c>
      <c r="E1203" s="34" t="s">
        <v>198</v>
      </c>
      <c r="F1203" s="33">
        <v>0</v>
      </c>
      <c r="G1203" s="33">
        <v>0.3</v>
      </c>
      <c r="H1203" s="33"/>
      <c r="I1203" s="33">
        <v>0</v>
      </c>
    </row>
    <row r="1204" spans="1:9" x14ac:dyDescent="0.3">
      <c r="A1204" s="30" t="s">
        <v>498</v>
      </c>
      <c r="B1204" s="33" t="s">
        <v>23</v>
      </c>
      <c r="C1204" s="33">
        <v>1</v>
      </c>
      <c r="D1204" s="34" t="s">
        <v>197</v>
      </c>
      <c r="E1204" s="34" t="s">
        <v>198</v>
      </c>
      <c r="F1204" s="33">
        <v>0</v>
      </c>
      <c r="G1204" s="33">
        <v>0.05</v>
      </c>
      <c r="H1204" s="33"/>
      <c r="I1204" s="33">
        <v>0</v>
      </c>
    </row>
    <row r="1205" spans="1:9" x14ac:dyDescent="0.3">
      <c r="A1205" s="30" t="s">
        <v>498</v>
      </c>
      <c r="B1205" s="33" t="s">
        <v>23</v>
      </c>
      <c r="C1205" s="33">
        <v>1</v>
      </c>
      <c r="D1205" s="34" t="s">
        <v>197</v>
      </c>
      <c r="E1205" s="34" t="s">
        <v>199</v>
      </c>
      <c r="F1205" s="33">
        <v>0</v>
      </c>
      <c r="G1205" s="33">
        <v>0</v>
      </c>
      <c r="H1205" s="33"/>
      <c r="I1205" s="33">
        <v>0</v>
      </c>
    </row>
    <row r="1206" spans="1:9" x14ac:dyDescent="0.3">
      <c r="A1206" s="30" t="s">
        <v>498</v>
      </c>
      <c r="B1206" s="33" t="s">
        <v>23</v>
      </c>
      <c r="C1206" s="33">
        <v>1</v>
      </c>
      <c r="D1206" s="34" t="s">
        <v>200</v>
      </c>
      <c r="E1206" s="34" t="s">
        <v>201</v>
      </c>
      <c r="F1206" s="33">
        <v>0</v>
      </c>
      <c r="G1206" s="33">
        <v>0.35</v>
      </c>
      <c r="H1206" s="33" t="s">
        <v>202</v>
      </c>
      <c r="I1206" s="33">
        <v>100</v>
      </c>
    </row>
    <row r="1207" spans="1:9" x14ac:dyDescent="0.3">
      <c r="A1207" s="30" t="s">
        <v>498</v>
      </c>
      <c r="B1207" s="33" t="s">
        <v>23</v>
      </c>
      <c r="C1207" s="33">
        <v>1</v>
      </c>
      <c r="D1207" s="34" t="s">
        <v>200</v>
      </c>
      <c r="E1207" s="34" t="s">
        <v>203</v>
      </c>
      <c r="F1207" s="33">
        <v>0</v>
      </c>
      <c r="G1207" s="33">
        <v>0.3</v>
      </c>
      <c r="H1207" s="33" t="s">
        <v>202</v>
      </c>
      <c r="I1207" s="33">
        <v>100</v>
      </c>
    </row>
    <row r="1208" spans="1:9" x14ac:dyDescent="0.3">
      <c r="A1208" s="30" t="s">
        <v>498</v>
      </c>
      <c r="B1208" s="33" t="s">
        <v>23</v>
      </c>
      <c r="C1208" s="33">
        <v>1</v>
      </c>
      <c r="D1208" s="34" t="s">
        <v>200</v>
      </c>
      <c r="E1208" s="34" t="s">
        <v>204</v>
      </c>
      <c r="F1208" s="33">
        <v>0</v>
      </c>
      <c r="G1208" s="33">
        <v>0.3</v>
      </c>
      <c r="H1208" s="33" t="s">
        <v>202</v>
      </c>
      <c r="I1208" s="33">
        <v>100</v>
      </c>
    </row>
    <row r="1209" spans="1:9" x14ac:dyDescent="0.3">
      <c r="A1209" s="30" t="s">
        <v>498</v>
      </c>
      <c r="B1209" s="33" t="s">
        <v>23</v>
      </c>
      <c r="C1209" s="33">
        <v>1</v>
      </c>
      <c r="D1209" s="34" t="s">
        <v>200</v>
      </c>
      <c r="E1209" s="34" t="s">
        <v>205</v>
      </c>
      <c r="F1209" s="33">
        <v>0</v>
      </c>
      <c r="G1209" s="33">
        <v>0.3</v>
      </c>
      <c r="H1209" s="33" t="s">
        <v>202</v>
      </c>
      <c r="I1209" s="33">
        <v>100</v>
      </c>
    </row>
    <row r="1210" spans="1:9" x14ac:dyDescent="0.3">
      <c r="A1210" s="30" t="s">
        <v>498</v>
      </c>
      <c r="B1210" s="33" t="s">
        <v>23</v>
      </c>
      <c r="C1210" s="33">
        <v>1</v>
      </c>
      <c r="D1210" s="34" t="s">
        <v>200</v>
      </c>
      <c r="E1210" s="34" t="s">
        <v>206</v>
      </c>
      <c r="F1210" s="33">
        <v>0</v>
      </c>
      <c r="G1210" s="33">
        <v>0.3</v>
      </c>
      <c r="H1210" s="33" t="s">
        <v>202</v>
      </c>
      <c r="I1210" s="33">
        <v>100</v>
      </c>
    </row>
    <row r="1211" spans="1:9" x14ac:dyDescent="0.3">
      <c r="A1211" s="30" t="s">
        <v>498</v>
      </c>
      <c r="B1211" s="33" t="s">
        <v>23</v>
      </c>
      <c r="C1211" s="33">
        <v>1</v>
      </c>
      <c r="D1211" s="34" t="s">
        <v>200</v>
      </c>
      <c r="E1211" s="34" t="s">
        <v>207</v>
      </c>
      <c r="F1211" s="33">
        <v>0</v>
      </c>
      <c r="G1211" s="33">
        <v>0.2</v>
      </c>
      <c r="H1211" s="33" t="s">
        <v>202</v>
      </c>
      <c r="I1211" s="33">
        <v>100</v>
      </c>
    </row>
    <row r="1212" spans="1:9" x14ac:dyDescent="0.3">
      <c r="A1212" s="30" t="s">
        <v>498</v>
      </c>
      <c r="B1212" s="33" t="s">
        <v>23</v>
      </c>
      <c r="C1212" s="33">
        <v>1</v>
      </c>
      <c r="D1212" s="34" t="s">
        <v>200</v>
      </c>
      <c r="E1212" s="34" t="s">
        <v>208</v>
      </c>
      <c r="F1212" s="33">
        <v>0</v>
      </c>
      <c r="G1212" s="33">
        <v>0.2</v>
      </c>
      <c r="H1212" s="33" t="s">
        <v>202</v>
      </c>
      <c r="I1212" s="33">
        <v>100</v>
      </c>
    </row>
    <row r="1213" spans="1:9" x14ac:dyDescent="0.3">
      <c r="A1213" s="30" t="s">
        <v>498</v>
      </c>
      <c r="B1213" s="33" t="s">
        <v>23</v>
      </c>
      <c r="C1213" s="33">
        <v>1</v>
      </c>
      <c r="D1213" s="34" t="s">
        <v>200</v>
      </c>
      <c r="E1213" s="34" t="s">
        <v>209</v>
      </c>
      <c r="F1213" s="33">
        <v>0</v>
      </c>
      <c r="G1213" s="33">
        <v>0.3</v>
      </c>
      <c r="H1213" s="33" t="s">
        <v>202</v>
      </c>
      <c r="I1213" s="33">
        <v>100</v>
      </c>
    </row>
    <row r="1214" spans="1:9" x14ac:dyDescent="0.3">
      <c r="A1214" s="30" t="s">
        <v>498</v>
      </c>
      <c r="B1214" s="33" t="s">
        <v>23</v>
      </c>
      <c r="C1214" s="33">
        <v>1</v>
      </c>
      <c r="D1214" s="34" t="s">
        <v>200</v>
      </c>
      <c r="E1214" s="34" t="s">
        <v>210</v>
      </c>
      <c r="F1214" s="33">
        <v>0</v>
      </c>
      <c r="G1214" s="33">
        <v>0.2</v>
      </c>
      <c r="H1214" s="33" t="s">
        <v>202</v>
      </c>
      <c r="I1214" s="33">
        <v>100</v>
      </c>
    </row>
    <row r="1215" spans="1:9" x14ac:dyDescent="0.3">
      <c r="A1215" s="30" t="s">
        <v>498</v>
      </c>
      <c r="B1215" s="33" t="s">
        <v>23</v>
      </c>
      <c r="C1215" s="33">
        <v>1</v>
      </c>
      <c r="D1215" s="34" t="s">
        <v>200</v>
      </c>
      <c r="E1215" s="34" t="s">
        <v>211</v>
      </c>
      <c r="F1215" s="33">
        <v>0</v>
      </c>
      <c r="G1215" s="33">
        <v>0.15</v>
      </c>
      <c r="H1215" s="33" t="s">
        <v>202</v>
      </c>
      <c r="I1215" s="33">
        <v>100</v>
      </c>
    </row>
    <row r="1216" spans="1:9" x14ac:dyDescent="0.3">
      <c r="A1216" s="30" t="s">
        <v>498</v>
      </c>
      <c r="B1216" s="33" t="s">
        <v>23</v>
      </c>
      <c r="C1216" s="33">
        <v>1</v>
      </c>
      <c r="D1216" s="34" t="s">
        <v>200</v>
      </c>
      <c r="E1216" s="34" t="s">
        <v>212</v>
      </c>
      <c r="F1216" s="33">
        <v>0</v>
      </c>
      <c r="G1216" s="33">
        <v>0.15</v>
      </c>
      <c r="H1216" s="33" t="s">
        <v>202</v>
      </c>
      <c r="I1216" s="33">
        <v>100</v>
      </c>
    </row>
    <row r="1217" spans="1:9" x14ac:dyDescent="0.3">
      <c r="A1217" s="30" t="s">
        <v>498</v>
      </c>
      <c r="B1217" s="33" t="s">
        <v>23</v>
      </c>
      <c r="C1217" s="33">
        <v>1</v>
      </c>
      <c r="D1217" s="34" t="s">
        <v>200</v>
      </c>
      <c r="E1217" s="34" t="s">
        <v>213</v>
      </c>
      <c r="F1217" s="33">
        <v>0</v>
      </c>
      <c r="G1217" s="33">
        <v>0.15</v>
      </c>
      <c r="H1217" s="33" t="s">
        <v>202</v>
      </c>
      <c r="I1217" s="33">
        <v>100</v>
      </c>
    </row>
    <row r="1218" spans="1:9" x14ac:dyDescent="0.3">
      <c r="A1218" s="30" t="s">
        <v>498</v>
      </c>
      <c r="B1218" s="33" t="s">
        <v>23</v>
      </c>
      <c r="C1218" s="33">
        <v>1</v>
      </c>
      <c r="D1218" s="34" t="s">
        <v>200</v>
      </c>
      <c r="E1218" s="34" t="s">
        <v>214</v>
      </c>
      <c r="F1218" s="33">
        <v>0</v>
      </c>
      <c r="G1218" s="33">
        <v>0.15</v>
      </c>
      <c r="H1218" s="33" t="s">
        <v>202</v>
      </c>
      <c r="I1218" s="33">
        <v>100</v>
      </c>
    </row>
    <row r="1219" spans="1:9" x14ac:dyDescent="0.3">
      <c r="A1219" s="30" t="s">
        <v>498</v>
      </c>
      <c r="B1219" s="33" t="s">
        <v>23</v>
      </c>
      <c r="C1219" s="33">
        <v>1</v>
      </c>
      <c r="D1219" s="34" t="s">
        <v>200</v>
      </c>
      <c r="E1219" s="34" t="s">
        <v>201</v>
      </c>
      <c r="F1219" s="33">
        <v>0</v>
      </c>
      <c r="G1219" s="33">
        <v>0.5</v>
      </c>
      <c r="H1219" s="33" t="s">
        <v>215</v>
      </c>
      <c r="I1219" s="33">
        <v>500</v>
      </c>
    </row>
    <row r="1220" spans="1:9" x14ac:dyDescent="0.3">
      <c r="A1220" s="30" t="s">
        <v>498</v>
      </c>
      <c r="B1220" s="33" t="s">
        <v>23</v>
      </c>
      <c r="C1220" s="33">
        <v>1</v>
      </c>
      <c r="D1220" s="34" t="s">
        <v>200</v>
      </c>
      <c r="E1220" s="34" t="s">
        <v>203</v>
      </c>
      <c r="F1220" s="33">
        <v>0</v>
      </c>
      <c r="G1220" s="33">
        <v>0.5</v>
      </c>
      <c r="H1220" s="33" t="s">
        <v>215</v>
      </c>
      <c r="I1220" s="33">
        <v>500</v>
      </c>
    </row>
    <row r="1221" spans="1:9" x14ac:dyDescent="0.3">
      <c r="A1221" s="30" t="s">
        <v>498</v>
      </c>
      <c r="B1221" s="33" t="s">
        <v>23</v>
      </c>
      <c r="C1221" s="33">
        <v>1</v>
      </c>
      <c r="D1221" s="34" t="s">
        <v>200</v>
      </c>
      <c r="E1221" s="34" t="s">
        <v>204</v>
      </c>
      <c r="F1221" s="33">
        <v>0</v>
      </c>
      <c r="G1221" s="33">
        <v>0.5</v>
      </c>
      <c r="H1221" s="33" t="s">
        <v>215</v>
      </c>
      <c r="I1221" s="33">
        <v>500</v>
      </c>
    </row>
    <row r="1222" spans="1:9" x14ac:dyDescent="0.3">
      <c r="A1222" s="30" t="s">
        <v>498</v>
      </c>
      <c r="B1222" s="33" t="s">
        <v>23</v>
      </c>
      <c r="C1222" s="33">
        <v>1</v>
      </c>
      <c r="D1222" s="34" t="s">
        <v>200</v>
      </c>
      <c r="E1222" s="34" t="s">
        <v>205</v>
      </c>
      <c r="F1222" s="33">
        <v>0</v>
      </c>
      <c r="G1222" s="33">
        <v>0.5</v>
      </c>
      <c r="H1222" s="33" t="s">
        <v>215</v>
      </c>
      <c r="I1222" s="33">
        <v>500</v>
      </c>
    </row>
    <row r="1223" spans="1:9" x14ac:dyDescent="0.3">
      <c r="A1223" s="30" t="s">
        <v>498</v>
      </c>
      <c r="B1223" s="33" t="s">
        <v>23</v>
      </c>
      <c r="C1223" s="33">
        <v>1</v>
      </c>
      <c r="D1223" s="34" t="s">
        <v>200</v>
      </c>
      <c r="E1223" s="34" t="s">
        <v>206</v>
      </c>
      <c r="F1223" s="33">
        <v>0</v>
      </c>
      <c r="G1223" s="33">
        <v>0.5</v>
      </c>
      <c r="H1223" s="33" t="s">
        <v>215</v>
      </c>
      <c r="I1223" s="33">
        <v>500</v>
      </c>
    </row>
    <row r="1224" spans="1:9" x14ac:dyDescent="0.3">
      <c r="A1224" s="30" t="s">
        <v>498</v>
      </c>
      <c r="B1224" s="33" t="s">
        <v>23</v>
      </c>
      <c r="C1224" s="33">
        <v>1</v>
      </c>
      <c r="D1224" s="34" t="s">
        <v>200</v>
      </c>
      <c r="E1224" s="34" t="s">
        <v>207</v>
      </c>
      <c r="F1224" s="33">
        <v>0</v>
      </c>
      <c r="G1224" s="33">
        <v>0.35</v>
      </c>
      <c r="H1224" s="33" t="s">
        <v>215</v>
      </c>
      <c r="I1224" s="33">
        <v>500</v>
      </c>
    </row>
    <row r="1225" spans="1:9" x14ac:dyDescent="0.3">
      <c r="A1225" s="30" t="s">
        <v>498</v>
      </c>
      <c r="B1225" s="33" t="s">
        <v>23</v>
      </c>
      <c r="C1225" s="33">
        <v>1</v>
      </c>
      <c r="D1225" s="34" t="s">
        <v>200</v>
      </c>
      <c r="E1225" s="34" t="s">
        <v>208</v>
      </c>
      <c r="F1225" s="33">
        <v>0</v>
      </c>
      <c r="G1225" s="33">
        <v>0.3</v>
      </c>
      <c r="H1225" s="33" t="s">
        <v>215</v>
      </c>
      <c r="I1225" s="33">
        <v>500</v>
      </c>
    </row>
    <row r="1226" spans="1:9" x14ac:dyDescent="0.3">
      <c r="A1226" s="30" t="s">
        <v>498</v>
      </c>
      <c r="B1226" s="33" t="s">
        <v>23</v>
      </c>
      <c r="C1226" s="33">
        <v>1</v>
      </c>
      <c r="D1226" s="34" t="s">
        <v>200</v>
      </c>
      <c r="E1226" s="34" t="s">
        <v>209</v>
      </c>
      <c r="F1226" s="33">
        <v>0</v>
      </c>
      <c r="G1226" s="33">
        <v>0.5</v>
      </c>
      <c r="H1226" s="33" t="s">
        <v>215</v>
      </c>
      <c r="I1226" s="33">
        <v>500</v>
      </c>
    </row>
    <row r="1227" spans="1:9" x14ac:dyDescent="0.3">
      <c r="A1227" s="30" t="s">
        <v>498</v>
      </c>
      <c r="B1227" s="33" t="s">
        <v>23</v>
      </c>
      <c r="C1227" s="33">
        <v>1</v>
      </c>
      <c r="D1227" s="34" t="s">
        <v>200</v>
      </c>
      <c r="E1227" s="34" t="s">
        <v>210</v>
      </c>
      <c r="F1227" s="33">
        <v>0</v>
      </c>
      <c r="G1227" s="33">
        <v>0.3</v>
      </c>
      <c r="H1227" s="33" t="s">
        <v>215</v>
      </c>
      <c r="I1227" s="33">
        <v>500</v>
      </c>
    </row>
    <row r="1228" spans="1:9" x14ac:dyDescent="0.3">
      <c r="A1228" s="30" t="s">
        <v>498</v>
      </c>
      <c r="B1228" s="33" t="s">
        <v>23</v>
      </c>
      <c r="C1228" s="33">
        <v>1</v>
      </c>
      <c r="D1228" s="34" t="s">
        <v>200</v>
      </c>
      <c r="E1228" s="34" t="s">
        <v>211</v>
      </c>
      <c r="F1228" s="33">
        <v>0</v>
      </c>
      <c r="G1228" s="33">
        <v>0.25</v>
      </c>
      <c r="H1228" s="33" t="s">
        <v>215</v>
      </c>
      <c r="I1228" s="33">
        <v>500</v>
      </c>
    </row>
    <row r="1229" spans="1:9" x14ac:dyDescent="0.3">
      <c r="A1229" s="30" t="s">
        <v>498</v>
      </c>
      <c r="B1229" s="33" t="s">
        <v>23</v>
      </c>
      <c r="C1229" s="33">
        <v>1</v>
      </c>
      <c r="D1229" s="34" t="s">
        <v>200</v>
      </c>
      <c r="E1229" s="34" t="s">
        <v>212</v>
      </c>
      <c r="F1229" s="33">
        <v>0</v>
      </c>
      <c r="G1229" s="33">
        <v>0.25</v>
      </c>
      <c r="H1229" s="33" t="s">
        <v>215</v>
      </c>
      <c r="I1229" s="33">
        <v>500</v>
      </c>
    </row>
    <row r="1230" spans="1:9" x14ac:dyDescent="0.3">
      <c r="A1230" s="30" t="s">
        <v>498</v>
      </c>
      <c r="B1230" s="33" t="s">
        <v>23</v>
      </c>
      <c r="C1230" s="33">
        <v>1</v>
      </c>
      <c r="D1230" s="34" t="s">
        <v>200</v>
      </c>
      <c r="E1230" s="34" t="s">
        <v>213</v>
      </c>
      <c r="F1230" s="33">
        <v>0</v>
      </c>
      <c r="G1230" s="33">
        <v>0.25</v>
      </c>
      <c r="H1230" s="33" t="s">
        <v>215</v>
      </c>
      <c r="I1230" s="33">
        <v>500</v>
      </c>
    </row>
    <row r="1231" spans="1:9" x14ac:dyDescent="0.3">
      <c r="A1231" s="30" t="s">
        <v>498</v>
      </c>
      <c r="B1231" s="33" t="s">
        <v>23</v>
      </c>
      <c r="C1231" s="33">
        <v>1</v>
      </c>
      <c r="D1231" s="34" t="s">
        <v>200</v>
      </c>
      <c r="E1231" s="34" t="s">
        <v>214</v>
      </c>
      <c r="F1231" s="33">
        <v>0</v>
      </c>
      <c r="G1231" s="33">
        <v>0.25</v>
      </c>
      <c r="H1231" s="33" t="s">
        <v>215</v>
      </c>
      <c r="I1231" s="33">
        <v>500</v>
      </c>
    </row>
    <row r="1232" spans="1:9" x14ac:dyDescent="0.3">
      <c r="A1232" s="30" t="s">
        <v>498</v>
      </c>
      <c r="B1232" s="33" t="s">
        <v>23</v>
      </c>
      <c r="C1232" s="33">
        <v>1</v>
      </c>
      <c r="D1232" s="34" t="s">
        <v>200</v>
      </c>
      <c r="E1232" s="34" t="s">
        <v>216</v>
      </c>
      <c r="F1232" s="33">
        <v>0</v>
      </c>
      <c r="G1232" s="33">
        <v>0.3</v>
      </c>
      <c r="H1232" s="33" t="s">
        <v>202</v>
      </c>
      <c r="I1232" s="33">
        <v>100</v>
      </c>
    </row>
    <row r="1233" spans="1:9" x14ac:dyDescent="0.3">
      <c r="A1233" s="30" t="s">
        <v>498</v>
      </c>
      <c r="B1233" s="33" t="s">
        <v>23</v>
      </c>
      <c r="C1233" s="33">
        <v>1</v>
      </c>
      <c r="D1233" s="34" t="s">
        <v>200</v>
      </c>
      <c r="E1233" s="34" t="s">
        <v>216</v>
      </c>
      <c r="F1233" s="33">
        <v>0</v>
      </c>
      <c r="G1233" s="33">
        <v>0.45</v>
      </c>
      <c r="H1233" s="33" t="s">
        <v>215</v>
      </c>
      <c r="I1233" s="33">
        <v>500</v>
      </c>
    </row>
    <row r="1234" spans="1:9" x14ac:dyDescent="0.3">
      <c r="A1234" s="30" t="s">
        <v>498</v>
      </c>
      <c r="B1234" s="33" t="s">
        <v>23</v>
      </c>
      <c r="C1234" s="33">
        <v>1</v>
      </c>
      <c r="D1234" s="34" t="s">
        <v>200</v>
      </c>
      <c r="E1234" s="34" t="s">
        <v>217</v>
      </c>
      <c r="F1234" s="33">
        <v>0</v>
      </c>
      <c r="G1234" s="33">
        <v>0.2</v>
      </c>
      <c r="H1234" s="33" t="s">
        <v>202</v>
      </c>
      <c r="I1234" s="33">
        <v>100</v>
      </c>
    </row>
    <row r="1235" spans="1:9" x14ac:dyDescent="0.3">
      <c r="A1235" s="30" t="s">
        <v>498</v>
      </c>
      <c r="B1235" s="33" t="s">
        <v>23</v>
      </c>
      <c r="C1235" s="33">
        <v>1</v>
      </c>
      <c r="D1235" s="34" t="s">
        <v>200</v>
      </c>
      <c r="E1235" s="34" t="s">
        <v>218</v>
      </c>
      <c r="F1235" s="33">
        <v>0</v>
      </c>
      <c r="G1235" s="33">
        <v>0.2</v>
      </c>
      <c r="H1235" s="33" t="s">
        <v>202</v>
      </c>
      <c r="I1235" s="33">
        <v>100</v>
      </c>
    </row>
    <row r="1236" spans="1:9" x14ac:dyDescent="0.3">
      <c r="A1236" s="30" t="s">
        <v>498</v>
      </c>
      <c r="B1236" s="33" t="s">
        <v>23</v>
      </c>
      <c r="C1236" s="33">
        <v>1</v>
      </c>
      <c r="D1236" s="34" t="s">
        <v>200</v>
      </c>
      <c r="E1236" s="34" t="s">
        <v>219</v>
      </c>
      <c r="F1236" s="33">
        <v>0</v>
      </c>
      <c r="G1236" s="33">
        <v>0.2</v>
      </c>
      <c r="H1236" s="33" t="s">
        <v>202</v>
      </c>
      <c r="I1236" s="33">
        <v>100</v>
      </c>
    </row>
    <row r="1237" spans="1:9" x14ac:dyDescent="0.3">
      <c r="A1237" s="30" t="s">
        <v>498</v>
      </c>
      <c r="B1237" s="33" t="s">
        <v>23</v>
      </c>
      <c r="C1237" s="33">
        <v>1</v>
      </c>
      <c r="D1237" s="34" t="s">
        <v>200</v>
      </c>
      <c r="E1237" s="34" t="s">
        <v>220</v>
      </c>
      <c r="F1237" s="33">
        <v>0</v>
      </c>
      <c r="G1237" s="33">
        <v>0.2</v>
      </c>
      <c r="H1237" s="33" t="s">
        <v>202</v>
      </c>
      <c r="I1237" s="33">
        <v>100</v>
      </c>
    </row>
    <row r="1238" spans="1:9" x14ac:dyDescent="0.3">
      <c r="A1238" s="30" t="s">
        <v>498</v>
      </c>
      <c r="B1238" s="33" t="s">
        <v>23</v>
      </c>
      <c r="C1238" s="33">
        <v>1</v>
      </c>
      <c r="D1238" s="34" t="s">
        <v>200</v>
      </c>
      <c r="E1238" s="34" t="s">
        <v>217</v>
      </c>
      <c r="F1238" s="33">
        <v>0</v>
      </c>
      <c r="G1238" s="33">
        <v>0.35</v>
      </c>
      <c r="H1238" s="33" t="s">
        <v>215</v>
      </c>
      <c r="I1238" s="33">
        <v>500</v>
      </c>
    </row>
    <row r="1239" spans="1:9" x14ac:dyDescent="0.3">
      <c r="A1239" s="30" t="s">
        <v>498</v>
      </c>
      <c r="B1239" s="33" t="s">
        <v>23</v>
      </c>
      <c r="C1239" s="33">
        <v>1</v>
      </c>
      <c r="D1239" s="34" t="s">
        <v>200</v>
      </c>
      <c r="E1239" s="34" t="s">
        <v>218</v>
      </c>
      <c r="F1239" s="33">
        <v>0</v>
      </c>
      <c r="G1239" s="33">
        <v>0.35</v>
      </c>
      <c r="H1239" s="33" t="s">
        <v>215</v>
      </c>
      <c r="I1239" s="33">
        <v>500</v>
      </c>
    </row>
    <row r="1240" spans="1:9" x14ac:dyDescent="0.3">
      <c r="A1240" s="30" t="s">
        <v>498</v>
      </c>
      <c r="B1240" s="33" t="s">
        <v>23</v>
      </c>
      <c r="C1240" s="33">
        <v>1</v>
      </c>
      <c r="D1240" s="34" t="s">
        <v>200</v>
      </c>
      <c r="E1240" s="34" t="s">
        <v>219</v>
      </c>
      <c r="F1240" s="33">
        <v>0</v>
      </c>
      <c r="G1240" s="33">
        <v>0.35</v>
      </c>
      <c r="H1240" s="33" t="s">
        <v>215</v>
      </c>
      <c r="I1240" s="33">
        <v>500</v>
      </c>
    </row>
    <row r="1241" spans="1:9" x14ac:dyDescent="0.3">
      <c r="A1241" s="30" t="s">
        <v>498</v>
      </c>
      <c r="B1241" s="33" t="s">
        <v>23</v>
      </c>
      <c r="C1241" s="33">
        <v>1</v>
      </c>
      <c r="D1241" s="34" t="s">
        <v>200</v>
      </c>
      <c r="E1241" s="34" t="s">
        <v>220</v>
      </c>
      <c r="F1241" s="33">
        <v>0</v>
      </c>
      <c r="G1241" s="33">
        <v>0.35</v>
      </c>
      <c r="H1241" s="33" t="s">
        <v>215</v>
      </c>
      <c r="I1241" s="33">
        <v>500</v>
      </c>
    </row>
    <row r="1242" spans="1:9" x14ac:dyDescent="0.3">
      <c r="A1242" s="30" t="s">
        <v>498</v>
      </c>
      <c r="B1242" s="33" t="s">
        <v>23</v>
      </c>
      <c r="C1242" s="33">
        <v>1</v>
      </c>
      <c r="D1242" s="34" t="s">
        <v>221</v>
      </c>
      <c r="E1242" s="34" t="s">
        <v>198</v>
      </c>
      <c r="F1242" s="33">
        <v>0</v>
      </c>
      <c r="G1242" s="33">
        <v>0.5</v>
      </c>
      <c r="H1242" s="33"/>
      <c r="I1242" s="33">
        <v>0</v>
      </c>
    </row>
    <row r="1243" spans="1:9" x14ac:dyDescent="0.3">
      <c r="A1243" s="30" t="s">
        <v>499</v>
      </c>
      <c r="B1243" s="33" t="s">
        <v>23</v>
      </c>
      <c r="C1243" s="33">
        <v>1</v>
      </c>
      <c r="D1243" s="34" t="s">
        <v>188</v>
      </c>
      <c r="E1243" s="34" t="s">
        <v>189</v>
      </c>
      <c r="F1243" s="33">
        <v>0</v>
      </c>
      <c r="G1243" s="33">
        <v>0.15</v>
      </c>
      <c r="H1243" s="33"/>
      <c r="I1243" s="33">
        <v>0</v>
      </c>
    </row>
    <row r="1244" spans="1:9" x14ac:dyDescent="0.3">
      <c r="A1244" s="30" t="s">
        <v>499</v>
      </c>
      <c r="B1244" s="33" t="s">
        <v>23</v>
      </c>
      <c r="C1244" s="33">
        <v>1</v>
      </c>
      <c r="D1244" s="34" t="s">
        <v>190</v>
      </c>
      <c r="E1244" s="34" t="s">
        <v>198</v>
      </c>
      <c r="F1244" s="33">
        <v>0</v>
      </c>
      <c r="G1244" s="33">
        <v>0.3</v>
      </c>
      <c r="H1244" s="33"/>
      <c r="I1244" s="33">
        <v>0</v>
      </c>
    </row>
    <row r="1245" spans="1:9" x14ac:dyDescent="0.3">
      <c r="A1245" s="30" t="s">
        <v>499</v>
      </c>
      <c r="B1245" s="33" t="s">
        <v>23</v>
      </c>
      <c r="C1245" s="33">
        <v>1</v>
      </c>
      <c r="D1245" s="34" t="s">
        <v>197</v>
      </c>
      <c r="E1245" s="34" t="s">
        <v>198</v>
      </c>
      <c r="F1245" s="33">
        <v>0</v>
      </c>
      <c r="G1245" s="33">
        <v>0.05</v>
      </c>
      <c r="H1245" s="33"/>
      <c r="I1245" s="33">
        <v>0</v>
      </c>
    </row>
    <row r="1246" spans="1:9" x14ac:dyDescent="0.3">
      <c r="A1246" s="30" t="s">
        <v>499</v>
      </c>
      <c r="B1246" s="33" t="s">
        <v>23</v>
      </c>
      <c r="C1246" s="33">
        <v>1</v>
      </c>
      <c r="D1246" s="34" t="s">
        <v>197</v>
      </c>
      <c r="E1246" s="34" t="s">
        <v>199</v>
      </c>
      <c r="F1246" s="33">
        <v>0</v>
      </c>
      <c r="G1246" s="33">
        <v>0</v>
      </c>
      <c r="H1246" s="33"/>
      <c r="I1246" s="33">
        <v>0</v>
      </c>
    </row>
    <row r="1247" spans="1:9" x14ac:dyDescent="0.3">
      <c r="A1247" s="30" t="s">
        <v>499</v>
      </c>
      <c r="B1247" s="33" t="s">
        <v>23</v>
      </c>
      <c r="C1247" s="33">
        <v>1</v>
      </c>
      <c r="D1247" s="34" t="s">
        <v>200</v>
      </c>
      <c r="E1247" s="34" t="s">
        <v>201</v>
      </c>
      <c r="F1247" s="33">
        <v>0</v>
      </c>
      <c r="G1247" s="33">
        <v>0.35</v>
      </c>
      <c r="H1247" s="33" t="s">
        <v>202</v>
      </c>
      <c r="I1247" s="33">
        <v>100</v>
      </c>
    </row>
    <row r="1248" spans="1:9" x14ac:dyDescent="0.3">
      <c r="A1248" s="30" t="s">
        <v>499</v>
      </c>
      <c r="B1248" s="33" t="s">
        <v>23</v>
      </c>
      <c r="C1248" s="33">
        <v>1</v>
      </c>
      <c r="D1248" s="34" t="s">
        <v>200</v>
      </c>
      <c r="E1248" s="34" t="s">
        <v>203</v>
      </c>
      <c r="F1248" s="33">
        <v>0</v>
      </c>
      <c r="G1248" s="33">
        <v>0.3</v>
      </c>
      <c r="H1248" s="33" t="s">
        <v>202</v>
      </c>
      <c r="I1248" s="33">
        <v>100</v>
      </c>
    </row>
    <row r="1249" spans="1:9" x14ac:dyDescent="0.3">
      <c r="A1249" s="30" t="s">
        <v>499</v>
      </c>
      <c r="B1249" s="33" t="s">
        <v>23</v>
      </c>
      <c r="C1249" s="33">
        <v>1</v>
      </c>
      <c r="D1249" s="34" t="s">
        <v>200</v>
      </c>
      <c r="E1249" s="34" t="s">
        <v>204</v>
      </c>
      <c r="F1249" s="33">
        <v>0</v>
      </c>
      <c r="G1249" s="33">
        <v>0.3</v>
      </c>
      <c r="H1249" s="33" t="s">
        <v>202</v>
      </c>
      <c r="I1249" s="33">
        <v>100</v>
      </c>
    </row>
    <row r="1250" spans="1:9" x14ac:dyDescent="0.3">
      <c r="A1250" s="30" t="s">
        <v>499</v>
      </c>
      <c r="B1250" s="33" t="s">
        <v>23</v>
      </c>
      <c r="C1250" s="33">
        <v>1</v>
      </c>
      <c r="D1250" s="34" t="s">
        <v>200</v>
      </c>
      <c r="E1250" s="34" t="s">
        <v>205</v>
      </c>
      <c r="F1250" s="33">
        <v>0</v>
      </c>
      <c r="G1250" s="33">
        <v>0.3</v>
      </c>
      <c r="H1250" s="33" t="s">
        <v>202</v>
      </c>
      <c r="I1250" s="33">
        <v>100</v>
      </c>
    </row>
    <row r="1251" spans="1:9" x14ac:dyDescent="0.3">
      <c r="A1251" s="30" t="s">
        <v>499</v>
      </c>
      <c r="B1251" s="33" t="s">
        <v>23</v>
      </c>
      <c r="C1251" s="33">
        <v>1</v>
      </c>
      <c r="D1251" s="34" t="s">
        <v>200</v>
      </c>
      <c r="E1251" s="34" t="s">
        <v>206</v>
      </c>
      <c r="F1251" s="33">
        <v>0</v>
      </c>
      <c r="G1251" s="33">
        <v>0.3</v>
      </c>
      <c r="H1251" s="33" t="s">
        <v>202</v>
      </c>
      <c r="I1251" s="33">
        <v>100</v>
      </c>
    </row>
    <row r="1252" spans="1:9" x14ac:dyDescent="0.3">
      <c r="A1252" s="30" t="s">
        <v>499</v>
      </c>
      <c r="B1252" s="33" t="s">
        <v>23</v>
      </c>
      <c r="C1252" s="33">
        <v>1</v>
      </c>
      <c r="D1252" s="34" t="s">
        <v>200</v>
      </c>
      <c r="E1252" s="34" t="s">
        <v>207</v>
      </c>
      <c r="F1252" s="33">
        <v>0</v>
      </c>
      <c r="G1252" s="33">
        <v>0.2</v>
      </c>
      <c r="H1252" s="33" t="s">
        <v>202</v>
      </c>
      <c r="I1252" s="33">
        <v>100</v>
      </c>
    </row>
    <row r="1253" spans="1:9" x14ac:dyDescent="0.3">
      <c r="A1253" s="30" t="s">
        <v>499</v>
      </c>
      <c r="B1253" s="33" t="s">
        <v>23</v>
      </c>
      <c r="C1253" s="33">
        <v>1</v>
      </c>
      <c r="D1253" s="34" t="s">
        <v>200</v>
      </c>
      <c r="E1253" s="34" t="s">
        <v>208</v>
      </c>
      <c r="F1253" s="33">
        <v>0</v>
      </c>
      <c r="G1253" s="33">
        <v>0.2</v>
      </c>
      <c r="H1253" s="33" t="s">
        <v>202</v>
      </c>
      <c r="I1253" s="33">
        <v>100</v>
      </c>
    </row>
    <row r="1254" spans="1:9" x14ac:dyDescent="0.3">
      <c r="A1254" s="30" t="s">
        <v>499</v>
      </c>
      <c r="B1254" s="33" t="s">
        <v>23</v>
      </c>
      <c r="C1254" s="33">
        <v>1</v>
      </c>
      <c r="D1254" s="34" t="s">
        <v>200</v>
      </c>
      <c r="E1254" s="34" t="s">
        <v>209</v>
      </c>
      <c r="F1254" s="33">
        <v>0</v>
      </c>
      <c r="G1254" s="33">
        <v>0.3</v>
      </c>
      <c r="H1254" s="33" t="s">
        <v>202</v>
      </c>
      <c r="I1254" s="33">
        <v>100</v>
      </c>
    </row>
    <row r="1255" spans="1:9" x14ac:dyDescent="0.3">
      <c r="A1255" s="30" t="s">
        <v>499</v>
      </c>
      <c r="B1255" s="33" t="s">
        <v>23</v>
      </c>
      <c r="C1255" s="33">
        <v>1</v>
      </c>
      <c r="D1255" s="34" t="s">
        <v>200</v>
      </c>
      <c r="E1255" s="34" t="s">
        <v>210</v>
      </c>
      <c r="F1255" s="33">
        <v>0</v>
      </c>
      <c r="G1255" s="33">
        <v>0.2</v>
      </c>
      <c r="H1255" s="33" t="s">
        <v>202</v>
      </c>
      <c r="I1255" s="33">
        <v>100</v>
      </c>
    </row>
    <row r="1256" spans="1:9" x14ac:dyDescent="0.3">
      <c r="A1256" s="30" t="s">
        <v>499</v>
      </c>
      <c r="B1256" s="33" t="s">
        <v>23</v>
      </c>
      <c r="C1256" s="33">
        <v>1</v>
      </c>
      <c r="D1256" s="34" t="s">
        <v>200</v>
      </c>
      <c r="E1256" s="34" t="s">
        <v>211</v>
      </c>
      <c r="F1256" s="33">
        <v>0</v>
      </c>
      <c r="G1256" s="33">
        <v>0.15</v>
      </c>
      <c r="H1256" s="33" t="s">
        <v>202</v>
      </c>
      <c r="I1256" s="33">
        <v>100</v>
      </c>
    </row>
    <row r="1257" spans="1:9" x14ac:dyDescent="0.3">
      <c r="A1257" s="30" t="s">
        <v>499</v>
      </c>
      <c r="B1257" s="33" t="s">
        <v>23</v>
      </c>
      <c r="C1257" s="33">
        <v>1</v>
      </c>
      <c r="D1257" s="34" t="s">
        <v>200</v>
      </c>
      <c r="E1257" s="34" t="s">
        <v>212</v>
      </c>
      <c r="F1257" s="33">
        <v>0</v>
      </c>
      <c r="G1257" s="33">
        <v>0.15</v>
      </c>
      <c r="H1257" s="33" t="s">
        <v>202</v>
      </c>
      <c r="I1257" s="33">
        <v>100</v>
      </c>
    </row>
    <row r="1258" spans="1:9" x14ac:dyDescent="0.3">
      <c r="A1258" s="30" t="s">
        <v>499</v>
      </c>
      <c r="B1258" s="33" t="s">
        <v>23</v>
      </c>
      <c r="C1258" s="33">
        <v>1</v>
      </c>
      <c r="D1258" s="34" t="s">
        <v>200</v>
      </c>
      <c r="E1258" s="34" t="s">
        <v>213</v>
      </c>
      <c r="F1258" s="33">
        <v>0</v>
      </c>
      <c r="G1258" s="33">
        <v>0.15</v>
      </c>
      <c r="H1258" s="33" t="s">
        <v>202</v>
      </c>
      <c r="I1258" s="33">
        <v>100</v>
      </c>
    </row>
    <row r="1259" spans="1:9" x14ac:dyDescent="0.3">
      <c r="A1259" s="30" t="s">
        <v>499</v>
      </c>
      <c r="B1259" s="33" t="s">
        <v>23</v>
      </c>
      <c r="C1259" s="33">
        <v>1</v>
      </c>
      <c r="D1259" s="34" t="s">
        <v>200</v>
      </c>
      <c r="E1259" s="34" t="s">
        <v>214</v>
      </c>
      <c r="F1259" s="33">
        <v>0</v>
      </c>
      <c r="G1259" s="33">
        <v>0.15</v>
      </c>
      <c r="H1259" s="33" t="s">
        <v>202</v>
      </c>
      <c r="I1259" s="33">
        <v>100</v>
      </c>
    </row>
    <row r="1260" spans="1:9" x14ac:dyDescent="0.3">
      <c r="A1260" s="30" t="s">
        <v>499</v>
      </c>
      <c r="B1260" s="33" t="s">
        <v>23</v>
      </c>
      <c r="C1260" s="33">
        <v>1</v>
      </c>
      <c r="D1260" s="34" t="s">
        <v>200</v>
      </c>
      <c r="E1260" s="34" t="s">
        <v>201</v>
      </c>
      <c r="F1260" s="33">
        <v>0</v>
      </c>
      <c r="G1260" s="33">
        <v>0.5</v>
      </c>
      <c r="H1260" s="33" t="s">
        <v>215</v>
      </c>
      <c r="I1260" s="33">
        <v>500</v>
      </c>
    </row>
    <row r="1261" spans="1:9" x14ac:dyDescent="0.3">
      <c r="A1261" s="30" t="s">
        <v>499</v>
      </c>
      <c r="B1261" s="33" t="s">
        <v>23</v>
      </c>
      <c r="C1261" s="33">
        <v>1</v>
      </c>
      <c r="D1261" s="34" t="s">
        <v>200</v>
      </c>
      <c r="E1261" s="34" t="s">
        <v>203</v>
      </c>
      <c r="F1261" s="33">
        <v>0</v>
      </c>
      <c r="G1261" s="33">
        <v>0.5</v>
      </c>
      <c r="H1261" s="33" t="s">
        <v>215</v>
      </c>
      <c r="I1261" s="33">
        <v>500</v>
      </c>
    </row>
    <row r="1262" spans="1:9" x14ac:dyDescent="0.3">
      <c r="A1262" s="30" t="s">
        <v>499</v>
      </c>
      <c r="B1262" s="33" t="s">
        <v>23</v>
      </c>
      <c r="C1262" s="33">
        <v>1</v>
      </c>
      <c r="D1262" s="34" t="s">
        <v>200</v>
      </c>
      <c r="E1262" s="34" t="s">
        <v>204</v>
      </c>
      <c r="F1262" s="33">
        <v>0</v>
      </c>
      <c r="G1262" s="33">
        <v>0.5</v>
      </c>
      <c r="H1262" s="33" t="s">
        <v>215</v>
      </c>
      <c r="I1262" s="33">
        <v>500</v>
      </c>
    </row>
    <row r="1263" spans="1:9" x14ac:dyDescent="0.3">
      <c r="A1263" s="30" t="s">
        <v>499</v>
      </c>
      <c r="B1263" s="33" t="s">
        <v>23</v>
      </c>
      <c r="C1263" s="33">
        <v>1</v>
      </c>
      <c r="D1263" s="34" t="s">
        <v>200</v>
      </c>
      <c r="E1263" s="34" t="s">
        <v>205</v>
      </c>
      <c r="F1263" s="33">
        <v>0</v>
      </c>
      <c r="G1263" s="33">
        <v>0.5</v>
      </c>
      <c r="H1263" s="33" t="s">
        <v>215</v>
      </c>
      <c r="I1263" s="33">
        <v>500</v>
      </c>
    </row>
    <row r="1264" spans="1:9" x14ac:dyDescent="0.3">
      <c r="A1264" s="30" t="s">
        <v>499</v>
      </c>
      <c r="B1264" s="33" t="s">
        <v>23</v>
      </c>
      <c r="C1264" s="33">
        <v>1</v>
      </c>
      <c r="D1264" s="34" t="s">
        <v>200</v>
      </c>
      <c r="E1264" s="34" t="s">
        <v>206</v>
      </c>
      <c r="F1264" s="33">
        <v>0</v>
      </c>
      <c r="G1264" s="33">
        <v>0.5</v>
      </c>
      <c r="H1264" s="33" t="s">
        <v>215</v>
      </c>
      <c r="I1264" s="33">
        <v>500</v>
      </c>
    </row>
    <row r="1265" spans="1:9" x14ac:dyDescent="0.3">
      <c r="A1265" s="30" t="s">
        <v>499</v>
      </c>
      <c r="B1265" s="33" t="s">
        <v>23</v>
      </c>
      <c r="C1265" s="33">
        <v>1</v>
      </c>
      <c r="D1265" s="34" t="s">
        <v>200</v>
      </c>
      <c r="E1265" s="34" t="s">
        <v>207</v>
      </c>
      <c r="F1265" s="33">
        <v>0</v>
      </c>
      <c r="G1265" s="33">
        <v>0.35</v>
      </c>
      <c r="H1265" s="33" t="s">
        <v>215</v>
      </c>
      <c r="I1265" s="33">
        <v>500</v>
      </c>
    </row>
    <row r="1266" spans="1:9" x14ac:dyDescent="0.3">
      <c r="A1266" s="30" t="s">
        <v>499</v>
      </c>
      <c r="B1266" s="33" t="s">
        <v>23</v>
      </c>
      <c r="C1266" s="33">
        <v>1</v>
      </c>
      <c r="D1266" s="34" t="s">
        <v>200</v>
      </c>
      <c r="E1266" s="34" t="s">
        <v>208</v>
      </c>
      <c r="F1266" s="33">
        <v>0</v>
      </c>
      <c r="G1266" s="33">
        <v>0.3</v>
      </c>
      <c r="H1266" s="33" t="s">
        <v>215</v>
      </c>
      <c r="I1266" s="33">
        <v>500</v>
      </c>
    </row>
    <row r="1267" spans="1:9" x14ac:dyDescent="0.3">
      <c r="A1267" s="30" t="s">
        <v>499</v>
      </c>
      <c r="B1267" s="33" t="s">
        <v>23</v>
      </c>
      <c r="C1267" s="33">
        <v>1</v>
      </c>
      <c r="D1267" s="34" t="s">
        <v>200</v>
      </c>
      <c r="E1267" s="34" t="s">
        <v>209</v>
      </c>
      <c r="F1267" s="33">
        <v>0</v>
      </c>
      <c r="G1267" s="33">
        <v>0.5</v>
      </c>
      <c r="H1267" s="33" t="s">
        <v>215</v>
      </c>
      <c r="I1267" s="33">
        <v>500</v>
      </c>
    </row>
    <row r="1268" spans="1:9" x14ac:dyDescent="0.3">
      <c r="A1268" s="30" t="s">
        <v>499</v>
      </c>
      <c r="B1268" s="33" t="s">
        <v>23</v>
      </c>
      <c r="C1268" s="33">
        <v>1</v>
      </c>
      <c r="D1268" s="34" t="s">
        <v>200</v>
      </c>
      <c r="E1268" s="34" t="s">
        <v>210</v>
      </c>
      <c r="F1268" s="33">
        <v>0</v>
      </c>
      <c r="G1268" s="33">
        <v>0.3</v>
      </c>
      <c r="H1268" s="33" t="s">
        <v>215</v>
      </c>
      <c r="I1268" s="33">
        <v>500</v>
      </c>
    </row>
    <row r="1269" spans="1:9" x14ac:dyDescent="0.3">
      <c r="A1269" s="30" t="s">
        <v>499</v>
      </c>
      <c r="B1269" s="33" t="s">
        <v>23</v>
      </c>
      <c r="C1269" s="33">
        <v>1</v>
      </c>
      <c r="D1269" s="34" t="s">
        <v>200</v>
      </c>
      <c r="E1269" s="34" t="s">
        <v>211</v>
      </c>
      <c r="F1269" s="33">
        <v>0</v>
      </c>
      <c r="G1269" s="33">
        <v>0.25</v>
      </c>
      <c r="H1269" s="33" t="s">
        <v>215</v>
      </c>
      <c r="I1269" s="33">
        <v>500</v>
      </c>
    </row>
    <row r="1270" spans="1:9" x14ac:dyDescent="0.3">
      <c r="A1270" s="30" t="s">
        <v>499</v>
      </c>
      <c r="B1270" s="33" t="s">
        <v>23</v>
      </c>
      <c r="C1270" s="33">
        <v>1</v>
      </c>
      <c r="D1270" s="34" t="s">
        <v>200</v>
      </c>
      <c r="E1270" s="34" t="s">
        <v>212</v>
      </c>
      <c r="F1270" s="33">
        <v>0</v>
      </c>
      <c r="G1270" s="33">
        <v>0.25</v>
      </c>
      <c r="H1270" s="33" t="s">
        <v>215</v>
      </c>
      <c r="I1270" s="33">
        <v>500</v>
      </c>
    </row>
    <row r="1271" spans="1:9" x14ac:dyDescent="0.3">
      <c r="A1271" s="30" t="s">
        <v>499</v>
      </c>
      <c r="B1271" s="33" t="s">
        <v>23</v>
      </c>
      <c r="C1271" s="33">
        <v>1</v>
      </c>
      <c r="D1271" s="34" t="s">
        <v>200</v>
      </c>
      <c r="E1271" s="34" t="s">
        <v>213</v>
      </c>
      <c r="F1271" s="33">
        <v>0</v>
      </c>
      <c r="G1271" s="33">
        <v>0.25</v>
      </c>
      <c r="H1271" s="33" t="s">
        <v>215</v>
      </c>
      <c r="I1271" s="33">
        <v>500</v>
      </c>
    </row>
    <row r="1272" spans="1:9" x14ac:dyDescent="0.3">
      <c r="A1272" s="30" t="s">
        <v>499</v>
      </c>
      <c r="B1272" s="33" t="s">
        <v>23</v>
      </c>
      <c r="C1272" s="33">
        <v>1</v>
      </c>
      <c r="D1272" s="34" t="s">
        <v>200</v>
      </c>
      <c r="E1272" s="34" t="s">
        <v>214</v>
      </c>
      <c r="F1272" s="33">
        <v>0</v>
      </c>
      <c r="G1272" s="33">
        <v>0.25</v>
      </c>
      <c r="H1272" s="33" t="s">
        <v>215</v>
      </c>
      <c r="I1272" s="33">
        <v>500</v>
      </c>
    </row>
    <row r="1273" spans="1:9" x14ac:dyDescent="0.3">
      <c r="A1273" s="30" t="s">
        <v>499</v>
      </c>
      <c r="B1273" s="33" t="s">
        <v>23</v>
      </c>
      <c r="C1273" s="33">
        <v>1</v>
      </c>
      <c r="D1273" s="34" t="s">
        <v>200</v>
      </c>
      <c r="E1273" s="34" t="s">
        <v>216</v>
      </c>
      <c r="F1273" s="33">
        <v>0</v>
      </c>
      <c r="G1273" s="33">
        <v>0.3</v>
      </c>
      <c r="H1273" s="33" t="s">
        <v>202</v>
      </c>
      <c r="I1273" s="33">
        <v>100</v>
      </c>
    </row>
    <row r="1274" spans="1:9" x14ac:dyDescent="0.3">
      <c r="A1274" s="30" t="s">
        <v>499</v>
      </c>
      <c r="B1274" s="33" t="s">
        <v>23</v>
      </c>
      <c r="C1274" s="33">
        <v>1</v>
      </c>
      <c r="D1274" s="34" t="s">
        <v>200</v>
      </c>
      <c r="E1274" s="34" t="s">
        <v>216</v>
      </c>
      <c r="F1274" s="33">
        <v>0</v>
      </c>
      <c r="G1274" s="33">
        <v>0.45</v>
      </c>
      <c r="H1274" s="33" t="s">
        <v>215</v>
      </c>
      <c r="I1274" s="33">
        <v>500</v>
      </c>
    </row>
    <row r="1275" spans="1:9" x14ac:dyDescent="0.3">
      <c r="A1275" s="30" t="s">
        <v>499</v>
      </c>
      <c r="B1275" s="33" t="s">
        <v>23</v>
      </c>
      <c r="C1275" s="33">
        <v>1</v>
      </c>
      <c r="D1275" s="34" t="s">
        <v>200</v>
      </c>
      <c r="E1275" s="34" t="s">
        <v>217</v>
      </c>
      <c r="F1275" s="33">
        <v>0</v>
      </c>
      <c r="G1275" s="33">
        <v>0.2</v>
      </c>
      <c r="H1275" s="33" t="s">
        <v>202</v>
      </c>
      <c r="I1275" s="33">
        <v>100</v>
      </c>
    </row>
    <row r="1276" spans="1:9" x14ac:dyDescent="0.3">
      <c r="A1276" s="30" t="s">
        <v>499</v>
      </c>
      <c r="B1276" s="33" t="s">
        <v>23</v>
      </c>
      <c r="C1276" s="33">
        <v>1</v>
      </c>
      <c r="D1276" s="34" t="s">
        <v>200</v>
      </c>
      <c r="E1276" s="34" t="s">
        <v>218</v>
      </c>
      <c r="F1276" s="33">
        <v>0</v>
      </c>
      <c r="G1276" s="33">
        <v>0.2</v>
      </c>
      <c r="H1276" s="33" t="s">
        <v>202</v>
      </c>
      <c r="I1276" s="33">
        <v>100</v>
      </c>
    </row>
    <row r="1277" spans="1:9" x14ac:dyDescent="0.3">
      <c r="A1277" s="30" t="s">
        <v>499</v>
      </c>
      <c r="B1277" s="33" t="s">
        <v>23</v>
      </c>
      <c r="C1277" s="33">
        <v>1</v>
      </c>
      <c r="D1277" s="34" t="s">
        <v>200</v>
      </c>
      <c r="E1277" s="34" t="s">
        <v>219</v>
      </c>
      <c r="F1277" s="33">
        <v>0</v>
      </c>
      <c r="G1277" s="33">
        <v>0.2</v>
      </c>
      <c r="H1277" s="33" t="s">
        <v>202</v>
      </c>
      <c r="I1277" s="33">
        <v>100</v>
      </c>
    </row>
    <row r="1278" spans="1:9" x14ac:dyDescent="0.3">
      <c r="A1278" s="30" t="s">
        <v>499</v>
      </c>
      <c r="B1278" s="33" t="s">
        <v>23</v>
      </c>
      <c r="C1278" s="33">
        <v>1</v>
      </c>
      <c r="D1278" s="34" t="s">
        <v>200</v>
      </c>
      <c r="E1278" s="34" t="s">
        <v>220</v>
      </c>
      <c r="F1278" s="33">
        <v>0</v>
      </c>
      <c r="G1278" s="33">
        <v>0.2</v>
      </c>
      <c r="H1278" s="33" t="s">
        <v>202</v>
      </c>
      <c r="I1278" s="33">
        <v>100</v>
      </c>
    </row>
    <row r="1279" spans="1:9" x14ac:dyDescent="0.3">
      <c r="A1279" s="30" t="s">
        <v>499</v>
      </c>
      <c r="B1279" s="33" t="s">
        <v>23</v>
      </c>
      <c r="C1279" s="33">
        <v>1</v>
      </c>
      <c r="D1279" s="34" t="s">
        <v>200</v>
      </c>
      <c r="E1279" s="34" t="s">
        <v>217</v>
      </c>
      <c r="F1279" s="33">
        <v>0</v>
      </c>
      <c r="G1279" s="33">
        <v>0.35</v>
      </c>
      <c r="H1279" s="33" t="s">
        <v>215</v>
      </c>
      <c r="I1279" s="33">
        <v>500</v>
      </c>
    </row>
    <row r="1280" spans="1:9" x14ac:dyDescent="0.3">
      <c r="A1280" s="30" t="s">
        <v>499</v>
      </c>
      <c r="B1280" s="33" t="s">
        <v>23</v>
      </c>
      <c r="C1280" s="33">
        <v>1</v>
      </c>
      <c r="D1280" s="34" t="s">
        <v>200</v>
      </c>
      <c r="E1280" s="34" t="s">
        <v>218</v>
      </c>
      <c r="F1280" s="33">
        <v>0</v>
      </c>
      <c r="G1280" s="33">
        <v>0.35</v>
      </c>
      <c r="H1280" s="33" t="s">
        <v>215</v>
      </c>
      <c r="I1280" s="33">
        <v>500</v>
      </c>
    </row>
    <row r="1281" spans="1:9" x14ac:dyDescent="0.3">
      <c r="A1281" s="30" t="s">
        <v>499</v>
      </c>
      <c r="B1281" s="33" t="s">
        <v>23</v>
      </c>
      <c r="C1281" s="33">
        <v>1</v>
      </c>
      <c r="D1281" s="34" t="s">
        <v>200</v>
      </c>
      <c r="E1281" s="34" t="s">
        <v>219</v>
      </c>
      <c r="F1281" s="33">
        <v>0</v>
      </c>
      <c r="G1281" s="33">
        <v>0.35</v>
      </c>
      <c r="H1281" s="33" t="s">
        <v>215</v>
      </c>
      <c r="I1281" s="33">
        <v>500</v>
      </c>
    </row>
    <row r="1282" spans="1:9" x14ac:dyDescent="0.3">
      <c r="A1282" s="30" t="s">
        <v>499</v>
      </c>
      <c r="B1282" s="33" t="s">
        <v>23</v>
      </c>
      <c r="C1282" s="33">
        <v>1</v>
      </c>
      <c r="D1282" s="34" t="s">
        <v>200</v>
      </c>
      <c r="E1282" s="34" t="s">
        <v>220</v>
      </c>
      <c r="F1282" s="33">
        <v>0</v>
      </c>
      <c r="G1282" s="33">
        <v>0.35</v>
      </c>
      <c r="H1282" s="33" t="s">
        <v>215</v>
      </c>
      <c r="I1282" s="33">
        <v>500</v>
      </c>
    </row>
    <row r="1283" spans="1:9" x14ac:dyDescent="0.3">
      <c r="A1283" s="30" t="s">
        <v>499</v>
      </c>
      <c r="B1283" s="33" t="s">
        <v>23</v>
      </c>
      <c r="C1283" s="33">
        <v>1</v>
      </c>
      <c r="D1283" s="34" t="s">
        <v>221</v>
      </c>
      <c r="E1283" s="34" t="s">
        <v>198</v>
      </c>
      <c r="F1283" s="33">
        <v>0</v>
      </c>
      <c r="G1283" s="33">
        <v>0.5</v>
      </c>
      <c r="H1283" s="33"/>
      <c r="I1283" s="33">
        <v>0</v>
      </c>
    </row>
    <row r="1284" spans="1:9" x14ac:dyDescent="0.3">
      <c r="A1284" s="32" t="s">
        <v>405</v>
      </c>
      <c r="B1284" s="33" t="s">
        <v>23</v>
      </c>
      <c r="C1284" s="33">
        <v>1</v>
      </c>
      <c r="D1284" s="34" t="s">
        <v>190</v>
      </c>
      <c r="E1284" s="34" t="s">
        <v>198</v>
      </c>
      <c r="F1284" s="33">
        <v>0</v>
      </c>
      <c r="G1284" s="33">
        <v>0.3</v>
      </c>
      <c r="H1284" s="33"/>
      <c r="I1284" s="33">
        <v>0</v>
      </c>
    </row>
    <row r="1285" spans="1:9" x14ac:dyDescent="0.3">
      <c r="A1285" s="32" t="s">
        <v>405</v>
      </c>
      <c r="B1285" s="33" t="s">
        <v>23</v>
      </c>
      <c r="C1285" s="33">
        <v>1</v>
      </c>
      <c r="D1285" s="34" t="s">
        <v>197</v>
      </c>
      <c r="E1285" s="34" t="s">
        <v>198</v>
      </c>
      <c r="F1285" s="33">
        <v>0</v>
      </c>
      <c r="G1285" s="33">
        <v>0.05</v>
      </c>
      <c r="H1285" s="33"/>
      <c r="I1285" s="33">
        <v>0</v>
      </c>
    </row>
    <row r="1286" spans="1:9" x14ac:dyDescent="0.3">
      <c r="A1286" s="32" t="s">
        <v>405</v>
      </c>
      <c r="B1286" s="33" t="s">
        <v>23</v>
      </c>
      <c r="C1286" s="33">
        <v>1</v>
      </c>
      <c r="D1286" s="34" t="s">
        <v>197</v>
      </c>
      <c r="E1286" s="34" t="s">
        <v>199</v>
      </c>
      <c r="F1286" s="33">
        <v>0</v>
      </c>
      <c r="G1286" s="33">
        <v>0</v>
      </c>
      <c r="H1286" s="33"/>
      <c r="I1286" s="33">
        <v>0</v>
      </c>
    </row>
    <row r="1287" spans="1:9" x14ac:dyDescent="0.3">
      <c r="A1287" s="32" t="s">
        <v>405</v>
      </c>
      <c r="B1287" s="33" t="s">
        <v>23</v>
      </c>
      <c r="C1287" s="33">
        <v>1</v>
      </c>
      <c r="D1287" s="34" t="s">
        <v>200</v>
      </c>
      <c r="E1287" s="34" t="s">
        <v>201</v>
      </c>
      <c r="F1287" s="33">
        <v>0</v>
      </c>
      <c r="G1287" s="33">
        <v>0.35</v>
      </c>
      <c r="H1287" s="33" t="s">
        <v>202</v>
      </c>
      <c r="I1287" s="33">
        <v>100</v>
      </c>
    </row>
    <row r="1288" spans="1:9" x14ac:dyDescent="0.3">
      <c r="A1288" s="32" t="s">
        <v>405</v>
      </c>
      <c r="B1288" s="33" t="s">
        <v>23</v>
      </c>
      <c r="C1288" s="33">
        <v>1</v>
      </c>
      <c r="D1288" s="34" t="s">
        <v>200</v>
      </c>
      <c r="E1288" s="34" t="s">
        <v>203</v>
      </c>
      <c r="F1288" s="33">
        <v>0</v>
      </c>
      <c r="G1288" s="33">
        <v>0.3</v>
      </c>
      <c r="H1288" s="33" t="s">
        <v>202</v>
      </c>
      <c r="I1288" s="33">
        <v>100</v>
      </c>
    </row>
    <row r="1289" spans="1:9" x14ac:dyDescent="0.3">
      <c r="A1289" s="32" t="s">
        <v>405</v>
      </c>
      <c r="B1289" s="33" t="s">
        <v>23</v>
      </c>
      <c r="C1289" s="33">
        <v>1</v>
      </c>
      <c r="D1289" s="34" t="s">
        <v>200</v>
      </c>
      <c r="E1289" s="34" t="s">
        <v>204</v>
      </c>
      <c r="F1289" s="33">
        <v>0</v>
      </c>
      <c r="G1289" s="33">
        <v>0.3</v>
      </c>
      <c r="H1289" s="33" t="s">
        <v>202</v>
      </c>
      <c r="I1289" s="33">
        <v>100</v>
      </c>
    </row>
    <row r="1290" spans="1:9" x14ac:dyDescent="0.3">
      <c r="A1290" s="32" t="s">
        <v>405</v>
      </c>
      <c r="B1290" s="33" t="s">
        <v>23</v>
      </c>
      <c r="C1290" s="33">
        <v>1</v>
      </c>
      <c r="D1290" s="34" t="s">
        <v>200</v>
      </c>
      <c r="E1290" s="34" t="s">
        <v>206</v>
      </c>
      <c r="F1290" s="33">
        <v>0</v>
      </c>
      <c r="G1290" s="33">
        <v>0.3</v>
      </c>
      <c r="H1290" s="33" t="s">
        <v>202</v>
      </c>
      <c r="I1290" s="33">
        <v>100</v>
      </c>
    </row>
    <row r="1291" spans="1:9" x14ac:dyDescent="0.3">
      <c r="A1291" s="32" t="s">
        <v>405</v>
      </c>
      <c r="B1291" s="33" t="s">
        <v>23</v>
      </c>
      <c r="C1291" s="33">
        <v>1</v>
      </c>
      <c r="D1291" s="34" t="s">
        <v>200</v>
      </c>
      <c r="E1291" s="34" t="s">
        <v>209</v>
      </c>
      <c r="F1291" s="33">
        <v>0</v>
      </c>
      <c r="G1291" s="33">
        <v>0.3</v>
      </c>
      <c r="H1291" s="33" t="s">
        <v>202</v>
      </c>
      <c r="I1291" s="33">
        <v>100</v>
      </c>
    </row>
    <row r="1292" spans="1:9" x14ac:dyDescent="0.3">
      <c r="A1292" s="32" t="s">
        <v>405</v>
      </c>
      <c r="B1292" s="33" t="s">
        <v>23</v>
      </c>
      <c r="C1292" s="33">
        <v>1</v>
      </c>
      <c r="D1292" s="34" t="s">
        <v>200</v>
      </c>
      <c r="E1292" s="34" t="s">
        <v>201</v>
      </c>
      <c r="F1292" s="33">
        <v>0</v>
      </c>
      <c r="G1292" s="33">
        <v>0.5</v>
      </c>
      <c r="H1292" s="33" t="s">
        <v>215</v>
      </c>
      <c r="I1292" s="33">
        <v>500</v>
      </c>
    </row>
    <row r="1293" spans="1:9" x14ac:dyDescent="0.3">
      <c r="A1293" s="32" t="s">
        <v>405</v>
      </c>
      <c r="B1293" s="33" t="s">
        <v>23</v>
      </c>
      <c r="C1293" s="33">
        <v>1</v>
      </c>
      <c r="D1293" s="34" t="s">
        <v>200</v>
      </c>
      <c r="E1293" s="34" t="s">
        <v>203</v>
      </c>
      <c r="F1293" s="33">
        <v>0</v>
      </c>
      <c r="G1293" s="33">
        <v>0.5</v>
      </c>
      <c r="H1293" s="33" t="s">
        <v>215</v>
      </c>
      <c r="I1293" s="33">
        <v>500</v>
      </c>
    </row>
    <row r="1294" spans="1:9" x14ac:dyDescent="0.3">
      <c r="A1294" s="32" t="s">
        <v>405</v>
      </c>
      <c r="B1294" s="33" t="s">
        <v>23</v>
      </c>
      <c r="C1294" s="33">
        <v>1</v>
      </c>
      <c r="D1294" s="34" t="s">
        <v>200</v>
      </c>
      <c r="E1294" s="34" t="s">
        <v>204</v>
      </c>
      <c r="F1294" s="33">
        <v>0</v>
      </c>
      <c r="G1294" s="33">
        <v>0.5</v>
      </c>
      <c r="H1294" s="33" t="s">
        <v>215</v>
      </c>
      <c r="I1294" s="33">
        <v>500</v>
      </c>
    </row>
    <row r="1295" spans="1:9" x14ac:dyDescent="0.3">
      <c r="A1295" s="32" t="s">
        <v>405</v>
      </c>
      <c r="B1295" s="33" t="s">
        <v>23</v>
      </c>
      <c r="C1295" s="33">
        <v>1</v>
      </c>
      <c r="D1295" s="34" t="s">
        <v>200</v>
      </c>
      <c r="E1295" s="34" t="s">
        <v>206</v>
      </c>
      <c r="F1295" s="33">
        <v>0</v>
      </c>
      <c r="G1295" s="33">
        <v>0.5</v>
      </c>
      <c r="H1295" s="33" t="s">
        <v>215</v>
      </c>
      <c r="I1295" s="33">
        <v>500</v>
      </c>
    </row>
    <row r="1296" spans="1:9" x14ac:dyDescent="0.3">
      <c r="A1296" s="32" t="s">
        <v>405</v>
      </c>
      <c r="B1296" s="33" t="s">
        <v>23</v>
      </c>
      <c r="C1296" s="33">
        <v>1</v>
      </c>
      <c r="D1296" s="34" t="s">
        <v>200</v>
      </c>
      <c r="E1296" s="34" t="s">
        <v>209</v>
      </c>
      <c r="F1296" s="33">
        <v>0</v>
      </c>
      <c r="G1296" s="33">
        <v>0.5</v>
      </c>
      <c r="H1296" s="33" t="s">
        <v>215</v>
      </c>
      <c r="I1296" s="33">
        <v>500</v>
      </c>
    </row>
    <row r="1297" spans="1:9" x14ac:dyDescent="0.3">
      <c r="A1297" s="32" t="s">
        <v>405</v>
      </c>
      <c r="B1297" s="33" t="s">
        <v>23</v>
      </c>
      <c r="C1297" s="33">
        <v>1</v>
      </c>
      <c r="D1297" s="34" t="s">
        <v>221</v>
      </c>
      <c r="E1297" s="34" t="s">
        <v>198</v>
      </c>
      <c r="F1297" s="33">
        <v>0</v>
      </c>
      <c r="G1297" s="33">
        <v>0.5</v>
      </c>
      <c r="H1297" s="33"/>
      <c r="I1297" s="33">
        <v>0</v>
      </c>
    </row>
    <row r="1298" spans="1:9" x14ac:dyDescent="0.3">
      <c r="A1298" s="32" t="s">
        <v>470</v>
      </c>
      <c r="B1298" s="33" t="s">
        <v>23</v>
      </c>
      <c r="C1298" s="33">
        <v>1</v>
      </c>
      <c r="D1298" s="34" t="s">
        <v>190</v>
      </c>
      <c r="E1298" s="34" t="s">
        <v>198</v>
      </c>
      <c r="F1298" s="33">
        <v>0</v>
      </c>
      <c r="G1298" s="33">
        <v>0.3</v>
      </c>
      <c r="H1298" s="33"/>
      <c r="I1298" s="33">
        <v>0</v>
      </c>
    </row>
    <row r="1299" spans="1:9" x14ac:dyDescent="0.3">
      <c r="A1299" s="32" t="s">
        <v>470</v>
      </c>
      <c r="B1299" s="33" t="s">
        <v>23</v>
      </c>
      <c r="C1299" s="33">
        <v>1</v>
      </c>
      <c r="D1299" s="34" t="s">
        <v>197</v>
      </c>
      <c r="E1299" s="34" t="s">
        <v>198</v>
      </c>
      <c r="F1299" s="33">
        <v>0</v>
      </c>
      <c r="G1299" s="33">
        <v>0.05</v>
      </c>
      <c r="H1299" s="33"/>
      <c r="I1299" s="33">
        <v>0</v>
      </c>
    </row>
    <row r="1300" spans="1:9" x14ac:dyDescent="0.3">
      <c r="A1300" s="32" t="s">
        <v>470</v>
      </c>
      <c r="B1300" s="33" t="s">
        <v>23</v>
      </c>
      <c r="C1300" s="33">
        <v>1</v>
      </c>
      <c r="D1300" s="34" t="s">
        <v>197</v>
      </c>
      <c r="E1300" s="34" t="s">
        <v>199</v>
      </c>
      <c r="F1300" s="33">
        <v>0</v>
      </c>
      <c r="G1300" s="33">
        <v>0</v>
      </c>
      <c r="H1300" s="33"/>
      <c r="I1300" s="33">
        <v>0</v>
      </c>
    </row>
    <row r="1301" spans="1:9" x14ac:dyDescent="0.3">
      <c r="A1301" s="32" t="s">
        <v>470</v>
      </c>
      <c r="B1301" s="33" t="s">
        <v>23</v>
      </c>
      <c r="C1301" s="33">
        <v>1</v>
      </c>
      <c r="D1301" s="34" t="s">
        <v>200</v>
      </c>
      <c r="E1301" s="34" t="s">
        <v>201</v>
      </c>
      <c r="F1301" s="33">
        <v>0</v>
      </c>
      <c r="G1301" s="33">
        <v>0.35</v>
      </c>
      <c r="H1301" s="33" t="s">
        <v>202</v>
      </c>
      <c r="I1301" s="33">
        <v>100</v>
      </c>
    </row>
    <row r="1302" spans="1:9" x14ac:dyDescent="0.3">
      <c r="A1302" s="32" t="s">
        <v>470</v>
      </c>
      <c r="B1302" s="33" t="s">
        <v>23</v>
      </c>
      <c r="C1302" s="33">
        <v>1</v>
      </c>
      <c r="D1302" s="34" t="s">
        <v>200</v>
      </c>
      <c r="E1302" s="34" t="s">
        <v>203</v>
      </c>
      <c r="F1302" s="33">
        <v>0</v>
      </c>
      <c r="G1302" s="33">
        <v>0.3</v>
      </c>
      <c r="H1302" s="33" t="s">
        <v>202</v>
      </c>
      <c r="I1302" s="33">
        <v>100</v>
      </c>
    </row>
    <row r="1303" spans="1:9" x14ac:dyDescent="0.3">
      <c r="A1303" s="32" t="s">
        <v>470</v>
      </c>
      <c r="B1303" s="33" t="s">
        <v>23</v>
      </c>
      <c r="C1303" s="33">
        <v>1</v>
      </c>
      <c r="D1303" s="34" t="s">
        <v>200</v>
      </c>
      <c r="E1303" s="34" t="s">
        <v>204</v>
      </c>
      <c r="F1303" s="33">
        <v>0</v>
      </c>
      <c r="G1303" s="33">
        <v>0.3</v>
      </c>
      <c r="H1303" s="33" t="s">
        <v>202</v>
      </c>
      <c r="I1303" s="33">
        <v>100</v>
      </c>
    </row>
    <row r="1304" spans="1:9" x14ac:dyDescent="0.3">
      <c r="A1304" s="32" t="s">
        <v>470</v>
      </c>
      <c r="B1304" s="33" t="s">
        <v>23</v>
      </c>
      <c r="C1304" s="33">
        <v>1</v>
      </c>
      <c r="D1304" s="34" t="s">
        <v>200</v>
      </c>
      <c r="E1304" s="34" t="s">
        <v>206</v>
      </c>
      <c r="F1304" s="33">
        <v>0</v>
      </c>
      <c r="G1304" s="33">
        <v>0.3</v>
      </c>
      <c r="H1304" s="33" t="s">
        <v>202</v>
      </c>
      <c r="I1304" s="33">
        <v>100</v>
      </c>
    </row>
    <row r="1305" spans="1:9" x14ac:dyDescent="0.3">
      <c r="A1305" s="32" t="s">
        <v>470</v>
      </c>
      <c r="B1305" s="33" t="s">
        <v>23</v>
      </c>
      <c r="C1305" s="33">
        <v>1</v>
      </c>
      <c r="D1305" s="34" t="s">
        <v>200</v>
      </c>
      <c r="E1305" s="34" t="s">
        <v>209</v>
      </c>
      <c r="F1305" s="33">
        <v>0</v>
      </c>
      <c r="G1305" s="33">
        <v>0.3</v>
      </c>
      <c r="H1305" s="33" t="s">
        <v>202</v>
      </c>
      <c r="I1305" s="33">
        <v>100</v>
      </c>
    </row>
    <row r="1306" spans="1:9" x14ac:dyDescent="0.3">
      <c r="A1306" s="32" t="s">
        <v>470</v>
      </c>
      <c r="B1306" s="33" t="s">
        <v>23</v>
      </c>
      <c r="C1306" s="33">
        <v>1</v>
      </c>
      <c r="D1306" s="34" t="s">
        <v>200</v>
      </c>
      <c r="E1306" s="34" t="s">
        <v>201</v>
      </c>
      <c r="F1306" s="33">
        <v>0</v>
      </c>
      <c r="G1306" s="33">
        <v>0.5</v>
      </c>
      <c r="H1306" s="33" t="s">
        <v>215</v>
      </c>
      <c r="I1306" s="33">
        <v>500</v>
      </c>
    </row>
    <row r="1307" spans="1:9" x14ac:dyDescent="0.3">
      <c r="A1307" s="32" t="s">
        <v>470</v>
      </c>
      <c r="B1307" s="33" t="s">
        <v>23</v>
      </c>
      <c r="C1307" s="33">
        <v>1</v>
      </c>
      <c r="D1307" s="34" t="s">
        <v>200</v>
      </c>
      <c r="E1307" s="34" t="s">
        <v>203</v>
      </c>
      <c r="F1307" s="33">
        <v>0</v>
      </c>
      <c r="G1307" s="33">
        <v>0.5</v>
      </c>
      <c r="H1307" s="33" t="s">
        <v>215</v>
      </c>
      <c r="I1307" s="33">
        <v>500</v>
      </c>
    </row>
    <row r="1308" spans="1:9" x14ac:dyDescent="0.3">
      <c r="A1308" s="32" t="s">
        <v>470</v>
      </c>
      <c r="B1308" s="33" t="s">
        <v>23</v>
      </c>
      <c r="C1308" s="33">
        <v>1</v>
      </c>
      <c r="D1308" s="34" t="s">
        <v>200</v>
      </c>
      <c r="E1308" s="34" t="s">
        <v>204</v>
      </c>
      <c r="F1308" s="33">
        <v>0</v>
      </c>
      <c r="G1308" s="33">
        <v>0.5</v>
      </c>
      <c r="H1308" s="33" t="s">
        <v>215</v>
      </c>
      <c r="I1308" s="33">
        <v>500</v>
      </c>
    </row>
    <row r="1309" spans="1:9" x14ac:dyDescent="0.3">
      <c r="A1309" s="32" t="s">
        <v>470</v>
      </c>
      <c r="B1309" s="33" t="s">
        <v>23</v>
      </c>
      <c r="C1309" s="33">
        <v>1</v>
      </c>
      <c r="D1309" s="34" t="s">
        <v>200</v>
      </c>
      <c r="E1309" s="34" t="s">
        <v>206</v>
      </c>
      <c r="F1309" s="33">
        <v>0</v>
      </c>
      <c r="G1309" s="33">
        <v>0.5</v>
      </c>
      <c r="H1309" s="33" t="s">
        <v>215</v>
      </c>
      <c r="I1309" s="33">
        <v>500</v>
      </c>
    </row>
    <row r="1310" spans="1:9" x14ac:dyDescent="0.3">
      <c r="A1310" s="32" t="s">
        <v>470</v>
      </c>
      <c r="B1310" s="33" t="s">
        <v>23</v>
      </c>
      <c r="C1310" s="33">
        <v>1</v>
      </c>
      <c r="D1310" s="34" t="s">
        <v>200</v>
      </c>
      <c r="E1310" s="34" t="s">
        <v>209</v>
      </c>
      <c r="F1310" s="33">
        <v>0</v>
      </c>
      <c r="G1310" s="33">
        <v>0.5</v>
      </c>
      <c r="H1310" s="33" t="s">
        <v>215</v>
      </c>
      <c r="I1310" s="33">
        <v>500</v>
      </c>
    </row>
    <row r="1311" spans="1:9" x14ac:dyDescent="0.3">
      <c r="A1311" s="32" t="s">
        <v>470</v>
      </c>
      <c r="B1311" s="33" t="s">
        <v>23</v>
      </c>
      <c r="C1311" s="33">
        <v>1</v>
      </c>
      <c r="D1311" s="34" t="s">
        <v>221</v>
      </c>
      <c r="E1311" s="34" t="s">
        <v>198</v>
      </c>
      <c r="F1311" s="33">
        <v>0</v>
      </c>
      <c r="G1311" s="33">
        <v>0.5</v>
      </c>
      <c r="H1311" s="33"/>
      <c r="I1311" s="33">
        <v>0</v>
      </c>
    </row>
  </sheetData>
  <mergeCells count="4">
    <mergeCell ref="A1:J1"/>
    <mergeCell ref="D2:E2"/>
    <mergeCell ref="F2:I2"/>
    <mergeCell ref="A2:B2"/>
  </mergeCells>
  <phoneticPr fontId="19" type="noConversion"/>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0"/>
  <sheetViews>
    <sheetView zoomScaleNormal="100" workbookViewId="0">
      <pane ySplit="5" topLeftCell="A27" activePane="bottomLeft" state="frozen"/>
      <selection pane="bottomLeft" activeCell="E34" sqref="E34"/>
    </sheetView>
  </sheetViews>
  <sheetFormatPr defaultColWidth="8.6640625" defaultRowHeight="14.4" x14ac:dyDescent="0.3"/>
  <cols>
    <col min="1" max="1" width="28.6640625" customWidth="1"/>
    <col min="2" max="2" width="12" customWidth="1"/>
    <col min="3" max="3" width="18" customWidth="1"/>
    <col min="4" max="4" width="12" customWidth="1"/>
    <col min="5" max="5" width="16" customWidth="1"/>
    <col min="6" max="6" width="12" customWidth="1"/>
    <col min="7" max="7" width="14" customWidth="1"/>
    <col min="8" max="8" width="20" customWidth="1"/>
    <col min="9" max="9" width="10" customWidth="1"/>
    <col min="10" max="11" width="18" customWidth="1"/>
    <col min="12" max="12" width="16" customWidth="1"/>
    <col min="13" max="13" width="22" customWidth="1"/>
    <col min="14" max="14" width="24" customWidth="1"/>
    <col min="15" max="15" width="20" customWidth="1"/>
    <col min="16" max="16" width="40" customWidth="1"/>
  </cols>
  <sheetData>
    <row r="1" spans="1:16" ht="25.5" customHeight="1" x14ac:dyDescent="0.3">
      <c r="A1" s="90" t="s">
        <v>332</v>
      </c>
      <c r="B1" s="91"/>
      <c r="C1" s="91"/>
      <c r="D1" s="91"/>
      <c r="E1" s="91"/>
      <c r="F1" s="91"/>
      <c r="G1" s="91"/>
      <c r="H1" s="91"/>
      <c r="I1" s="91"/>
      <c r="J1" s="91"/>
      <c r="K1" s="91"/>
      <c r="L1" s="91"/>
      <c r="M1" s="91"/>
      <c r="N1" s="91"/>
      <c r="O1" s="91"/>
      <c r="P1" s="91"/>
    </row>
    <row r="2" spans="1:16" ht="19.5" customHeight="1" x14ac:dyDescent="0.3">
      <c r="A2" s="92" t="s">
        <v>1</v>
      </c>
      <c r="B2" s="93"/>
      <c r="C2" s="92" t="s">
        <v>248</v>
      </c>
      <c r="D2" s="94"/>
      <c r="E2" s="94"/>
      <c r="F2" s="94"/>
      <c r="G2" s="94"/>
      <c r="H2" s="94"/>
      <c r="I2" s="94"/>
      <c r="J2" s="94"/>
      <c r="K2" s="94"/>
      <c r="L2" s="94"/>
      <c r="M2" s="94"/>
      <c r="N2" s="94"/>
      <c r="O2" s="93"/>
      <c r="P2" s="27"/>
    </row>
    <row r="3" spans="1:16" ht="36" customHeight="1" x14ac:dyDescent="0.3">
      <c r="A3" s="9" t="s">
        <v>4</v>
      </c>
      <c r="B3" s="9" t="s">
        <v>5</v>
      </c>
      <c r="C3" s="10" t="s">
        <v>249</v>
      </c>
      <c r="D3" s="10" t="s">
        <v>250</v>
      </c>
      <c r="E3" s="10" t="s">
        <v>251</v>
      </c>
      <c r="F3" s="10" t="s">
        <v>252</v>
      </c>
      <c r="G3" s="10" t="s">
        <v>253</v>
      </c>
      <c r="H3" s="10" t="s">
        <v>254</v>
      </c>
      <c r="I3" s="10" t="s">
        <v>255</v>
      </c>
      <c r="J3" s="10" t="s">
        <v>256</v>
      </c>
      <c r="K3" s="10" t="s">
        <v>257</v>
      </c>
      <c r="L3" s="10" t="s">
        <v>258</v>
      </c>
      <c r="M3" s="10" t="s">
        <v>259</v>
      </c>
      <c r="N3" s="10" t="s">
        <v>260</v>
      </c>
      <c r="O3" s="10" t="s">
        <v>261</v>
      </c>
      <c r="P3" s="10" t="s">
        <v>12</v>
      </c>
    </row>
    <row r="4" spans="1:16" ht="24" customHeight="1" x14ac:dyDescent="0.3">
      <c r="A4" s="12" t="s">
        <v>13</v>
      </c>
      <c r="B4" s="12" t="s">
        <v>233</v>
      </c>
      <c r="C4" s="12" t="s">
        <v>262</v>
      </c>
      <c r="D4" s="12" t="s">
        <v>263</v>
      </c>
      <c r="E4" s="12" t="s">
        <v>264</v>
      </c>
      <c r="F4" s="12" t="s">
        <v>265</v>
      </c>
      <c r="G4" s="12" t="s">
        <v>266</v>
      </c>
      <c r="H4" s="12" t="s">
        <v>267</v>
      </c>
      <c r="I4" s="12" t="s">
        <v>268</v>
      </c>
      <c r="J4" s="12" t="s">
        <v>269</v>
      </c>
      <c r="K4" s="12" t="s">
        <v>270</v>
      </c>
      <c r="L4" s="12" t="s">
        <v>271</v>
      </c>
      <c r="M4" s="12" t="s">
        <v>272</v>
      </c>
      <c r="N4" s="12" t="s">
        <v>273</v>
      </c>
      <c r="O4" s="12" t="s">
        <v>274</v>
      </c>
      <c r="P4" s="12" t="s">
        <v>19</v>
      </c>
    </row>
    <row r="5" spans="1:16" ht="18" customHeight="1" x14ac:dyDescent="0.3">
      <c r="A5" s="13" t="s">
        <v>20</v>
      </c>
      <c r="B5" s="13" t="s">
        <v>20</v>
      </c>
      <c r="C5" s="14" t="s">
        <v>21</v>
      </c>
      <c r="D5" s="14" t="s">
        <v>21</v>
      </c>
      <c r="E5" s="14" t="s">
        <v>21</v>
      </c>
      <c r="F5" s="14" t="s">
        <v>21</v>
      </c>
      <c r="G5" s="14" t="s">
        <v>21</v>
      </c>
      <c r="H5" s="14" t="s">
        <v>21</v>
      </c>
      <c r="I5" s="14" t="s">
        <v>21</v>
      </c>
      <c r="J5" s="14" t="s">
        <v>21</v>
      </c>
      <c r="K5" s="14" t="s">
        <v>21</v>
      </c>
      <c r="L5" s="14" t="s">
        <v>21</v>
      </c>
      <c r="M5" s="14" t="s">
        <v>21</v>
      </c>
      <c r="N5" s="14" t="s">
        <v>21</v>
      </c>
      <c r="O5" s="14" t="s">
        <v>21</v>
      </c>
      <c r="P5" s="14" t="s">
        <v>21</v>
      </c>
    </row>
    <row r="6" spans="1:16" ht="18" customHeight="1" x14ac:dyDescent="0.3">
      <c r="A6" s="30" t="s">
        <v>114</v>
      </c>
      <c r="B6" s="32" t="s">
        <v>23</v>
      </c>
      <c r="C6" s="32">
        <v>1.2E-2</v>
      </c>
      <c r="D6" s="32">
        <v>0</v>
      </c>
      <c r="E6" s="32" t="s">
        <v>275</v>
      </c>
      <c r="F6" s="32">
        <v>0</v>
      </c>
      <c r="G6" s="32">
        <v>0</v>
      </c>
      <c r="H6" s="32">
        <v>0</v>
      </c>
      <c r="I6" s="32">
        <v>0</v>
      </c>
      <c r="J6" s="32">
        <v>0</v>
      </c>
      <c r="K6" s="32">
        <v>3.8E-3</v>
      </c>
      <c r="L6" s="32">
        <v>3.8699999999999998E-2</v>
      </c>
      <c r="M6" s="32">
        <v>0</v>
      </c>
      <c r="N6" s="32">
        <v>0</v>
      </c>
      <c r="O6" s="32">
        <v>0</v>
      </c>
      <c r="P6" s="17"/>
    </row>
    <row r="7" spans="1:16" ht="18" customHeight="1" x14ac:dyDescent="0.3">
      <c r="A7" s="30" t="s">
        <v>339</v>
      </c>
      <c r="B7" s="32" t="s">
        <v>23</v>
      </c>
      <c r="C7" s="32">
        <v>1.2E-2</v>
      </c>
      <c r="D7" s="32">
        <v>0</v>
      </c>
      <c r="E7" s="32" t="s">
        <v>275</v>
      </c>
      <c r="F7" s="32">
        <v>0</v>
      </c>
      <c r="G7" s="32">
        <v>0</v>
      </c>
      <c r="H7" s="32">
        <v>0</v>
      </c>
      <c r="I7" s="32">
        <v>0</v>
      </c>
      <c r="J7" s="32">
        <v>0</v>
      </c>
      <c r="K7" s="32">
        <v>3.8E-3</v>
      </c>
      <c r="L7" s="32">
        <v>3.8699999999999998E-2</v>
      </c>
      <c r="M7" s="32">
        <v>0</v>
      </c>
      <c r="N7" s="32">
        <v>0</v>
      </c>
      <c r="O7" s="32">
        <v>0</v>
      </c>
      <c r="P7" s="17"/>
    </row>
    <row r="8" spans="1:16" x14ac:dyDescent="0.3">
      <c r="A8" s="30" t="s">
        <v>405</v>
      </c>
      <c r="B8" s="32" t="s">
        <v>23</v>
      </c>
      <c r="C8" s="32">
        <v>1.2E-2</v>
      </c>
      <c r="D8" s="32">
        <v>0</v>
      </c>
      <c r="E8" s="32" t="s">
        <v>275</v>
      </c>
      <c r="F8" s="32">
        <v>0</v>
      </c>
      <c r="G8" s="32">
        <v>0</v>
      </c>
      <c r="H8" s="32">
        <v>0</v>
      </c>
      <c r="I8" s="32">
        <v>0</v>
      </c>
      <c r="J8" s="32">
        <v>0</v>
      </c>
      <c r="K8" s="32">
        <v>3.8E-3</v>
      </c>
      <c r="L8" s="32">
        <v>3.8699999999999998E-2</v>
      </c>
      <c r="M8" s="32">
        <v>0</v>
      </c>
      <c r="N8" s="32">
        <v>0</v>
      </c>
      <c r="O8" s="32">
        <v>0</v>
      </c>
    </row>
    <row r="9" spans="1:16" x14ac:dyDescent="0.3">
      <c r="A9" s="30" t="s">
        <v>406</v>
      </c>
      <c r="B9" s="32" t="s">
        <v>23</v>
      </c>
      <c r="C9" s="32">
        <v>1.2E-2</v>
      </c>
      <c r="D9" s="32">
        <v>0</v>
      </c>
      <c r="E9" s="32" t="s">
        <v>275</v>
      </c>
      <c r="F9" s="32">
        <v>0</v>
      </c>
      <c r="G9" s="32">
        <v>0</v>
      </c>
      <c r="H9" s="32">
        <v>0</v>
      </c>
      <c r="I9" s="32">
        <v>0</v>
      </c>
      <c r="J9" s="32">
        <v>0</v>
      </c>
      <c r="K9" s="32">
        <v>3.8E-3</v>
      </c>
      <c r="L9" s="32">
        <v>3.8699999999999998E-2</v>
      </c>
      <c r="M9" s="32">
        <v>0</v>
      </c>
      <c r="N9" s="32">
        <v>0</v>
      </c>
      <c r="O9" s="32">
        <v>0</v>
      </c>
    </row>
    <row r="10" spans="1:16" x14ac:dyDescent="0.3">
      <c r="A10" s="30" t="s">
        <v>468</v>
      </c>
      <c r="B10" s="32" t="s">
        <v>23</v>
      </c>
      <c r="C10" s="32">
        <v>1.2E-2</v>
      </c>
      <c r="D10" s="32">
        <v>0</v>
      </c>
      <c r="E10" s="32" t="s">
        <v>275</v>
      </c>
      <c r="F10" s="32">
        <v>0</v>
      </c>
      <c r="G10" s="32">
        <v>0</v>
      </c>
      <c r="H10" s="32">
        <v>0</v>
      </c>
      <c r="I10" s="32">
        <v>0</v>
      </c>
      <c r="J10" s="32">
        <v>0</v>
      </c>
      <c r="K10" s="32">
        <v>3.8E-3</v>
      </c>
      <c r="L10" s="32">
        <v>3.8699999999999998E-2</v>
      </c>
      <c r="M10" s="32">
        <v>0</v>
      </c>
      <c r="N10" s="32">
        <v>0</v>
      </c>
      <c r="O10" s="32">
        <v>0</v>
      </c>
    </row>
    <row r="11" spans="1:16" x14ac:dyDescent="0.3">
      <c r="A11" s="30" t="s">
        <v>469</v>
      </c>
      <c r="B11" s="32" t="s">
        <v>23</v>
      </c>
      <c r="C11" s="32">
        <v>1.2E-2</v>
      </c>
      <c r="D11" s="32">
        <v>0</v>
      </c>
      <c r="E11" s="32" t="s">
        <v>275</v>
      </c>
      <c r="F11" s="32">
        <v>0</v>
      </c>
      <c r="G11" s="32">
        <v>0</v>
      </c>
      <c r="H11" s="32">
        <v>0</v>
      </c>
      <c r="I11" s="32">
        <v>0</v>
      </c>
      <c r="J11" s="32">
        <v>0</v>
      </c>
      <c r="K11" s="32">
        <v>3.8E-3</v>
      </c>
      <c r="L11" s="32">
        <v>3.8699999999999998E-2</v>
      </c>
      <c r="M11" s="32">
        <v>0</v>
      </c>
      <c r="N11" s="32">
        <v>0</v>
      </c>
      <c r="O11" s="32">
        <v>0</v>
      </c>
    </row>
    <row r="12" spans="1:16" x14ac:dyDescent="0.3">
      <c r="A12" s="30" t="s">
        <v>470</v>
      </c>
      <c r="B12" s="32" t="s">
        <v>23</v>
      </c>
      <c r="C12" s="32">
        <v>1.2E-2</v>
      </c>
      <c r="D12" s="32">
        <v>0</v>
      </c>
      <c r="E12" s="32" t="s">
        <v>275</v>
      </c>
      <c r="F12" s="32">
        <v>0</v>
      </c>
      <c r="G12" s="32">
        <v>0</v>
      </c>
      <c r="H12" s="32">
        <v>0</v>
      </c>
      <c r="I12" s="32">
        <v>0</v>
      </c>
      <c r="J12" s="32">
        <v>0</v>
      </c>
      <c r="K12" s="32">
        <v>3.8E-3</v>
      </c>
      <c r="L12" s="32">
        <v>3.8699999999999998E-2</v>
      </c>
      <c r="M12" s="32">
        <v>0</v>
      </c>
      <c r="N12" s="32">
        <v>0</v>
      </c>
      <c r="O12" s="32">
        <v>0</v>
      </c>
    </row>
    <row r="13" spans="1:16" x14ac:dyDescent="0.3">
      <c r="A13" s="30" t="s">
        <v>473</v>
      </c>
      <c r="B13" s="32" t="s">
        <v>23</v>
      </c>
      <c r="C13" s="32">
        <v>1.2E-2</v>
      </c>
      <c r="D13" s="32">
        <v>0</v>
      </c>
      <c r="E13" s="32" t="s">
        <v>275</v>
      </c>
      <c r="F13" s="32">
        <v>0</v>
      </c>
      <c r="G13" s="32">
        <v>0</v>
      </c>
      <c r="H13" s="32">
        <v>0</v>
      </c>
      <c r="I13" s="32">
        <v>0</v>
      </c>
      <c r="J13" s="32">
        <v>0</v>
      </c>
      <c r="K13" s="32">
        <v>3.8E-3</v>
      </c>
      <c r="L13" s="32">
        <v>3.8699999999999998E-2</v>
      </c>
      <c r="M13" s="32">
        <v>0</v>
      </c>
      <c r="N13" s="32">
        <v>0</v>
      </c>
      <c r="O13" s="32">
        <v>0</v>
      </c>
    </row>
    <row r="14" spans="1:16" x14ac:dyDescent="0.3">
      <c r="A14" s="30" t="s">
        <v>471</v>
      </c>
      <c r="B14" s="32" t="s">
        <v>23</v>
      </c>
      <c r="C14" s="32">
        <v>0.12</v>
      </c>
      <c r="D14" s="32">
        <v>0</v>
      </c>
      <c r="E14" s="32" t="s">
        <v>275</v>
      </c>
      <c r="F14" s="32">
        <v>0</v>
      </c>
      <c r="G14" s="32">
        <v>0</v>
      </c>
      <c r="H14" s="32">
        <v>0</v>
      </c>
      <c r="I14" s="32">
        <v>0</v>
      </c>
      <c r="J14" s="32">
        <v>0</v>
      </c>
      <c r="K14" s="32">
        <v>0.05</v>
      </c>
      <c r="L14" s="32">
        <v>3.8699999999999998E-2</v>
      </c>
      <c r="M14" s="32">
        <v>0</v>
      </c>
      <c r="N14" s="32">
        <v>0</v>
      </c>
      <c r="O14" s="32">
        <v>0</v>
      </c>
    </row>
    <row r="15" spans="1:16" x14ac:dyDescent="0.3">
      <c r="A15" s="30" t="s">
        <v>474</v>
      </c>
      <c r="B15" s="32" t="s">
        <v>23</v>
      </c>
      <c r="C15" s="32">
        <v>1.2E-2</v>
      </c>
      <c r="D15" s="32">
        <v>0</v>
      </c>
      <c r="E15" s="32" t="s">
        <v>275</v>
      </c>
      <c r="F15" s="32">
        <v>0</v>
      </c>
      <c r="G15" s="32">
        <v>0</v>
      </c>
      <c r="H15" s="32">
        <v>0</v>
      </c>
      <c r="I15" s="32">
        <v>0</v>
      </c>
      <c r="J15" s="32">
        <v>0</v>
      </c>
      <c r="K15" s="32">
        <v>3.8E-3</v>
      </c>
      <c r="L15" s="32">
        <v>0.05</v>
      </c>
      <c r="M15" s="32">
        <v>0</v>
      </c>
      <c r="N15" s="32">
        <v>0</v>
      </c>
      <c r="O15" s="32">
        <v>0</v>
      </c>
    </row>
    <row r="16" spans="1:16" x14ac:dyDescent="0.3">
      <c r="A16" s="30" t="s">
        <v>475</v>
      </c>
      <c r="B16" s="32" t="s">
        <v>23</v>
      </c>
      <c r="C16" s="32">
        <v>1.2E-2</v>
      </c>
      <c r="D16" s="32">
        <v>0</v>
      </c>
      <c r="E16" s="32" t="s">
        <v>275</v>
      </c>
      <c r="F16" s="32">
        <v>0.08</v>
      </c>
      <c r="G16" s="32">
        <v>0</v>
      </c>
      <c r="H16" s="32">
        <v>0</v>
      </c>
      <c r="I16" s="32">
        <v>0</v>
      </c>
      <c r="J16" s="32">
        <v>0</v>
      </c>
      <c r="K16" s="32">
        <v>3.8E-3</v>
      </c>
      <c r="L16" s="32">
        <v>0.05</v>
      </c>
      <c r="M16" s="32">
        <v>0</v>
      </c>
      <c r="N16" s="32">
        <v>0</v>
      </c>
      <c r="O16" s="32">
        <v>0</v>
      </c>
    </row>
    <row r="17" spans="1:15" x14ac:dyDescent="0.3">
      <c r="A17" s="30" t="s">
        <v>476</v>
      </c>
      <c r="B17" s="32" t="s">
        <v>23</v>
      </c>
      <c r="C17" s="32">
        <v>1.2E-2</v>
      </c>
      <c r="D17" s="32">
        <v>0</v>
      </c>
      <c r="E17" s="32" t="s">
        <v>477</v>
      </c>
      <c r="F17" s="32">
        <v>0.08</v>
      </c>
      <c r="G17" s="32">
        <v>0</v>
      </c>
      <c r="H17" s="32">
        <v>0</v>
      </c>
      <c r="I17" s="32">
        <v>0</v>
      </c>
      <c r="J17" s="32">
        <v>0</v>
      </c>
      <c r="K17" s="32">
        <v>3.8E-3</v>
      </c>
      <c r="L17" s="32">
        <v>0.05</v>
      </c>
      <c r="M17" s="32">
        <v>0</v>
      </c>
      <c r="N17" s="32">
        <v>0</v>
      </c>
      <c r="O17" s="32">
        <v>0</v>
      </c>
    </row>
    <row r="18" spans="1:15" x14ac:dyDescent="0.3">
      <c r="A18" s="30" t="s">
        <v>478</v>
      </c>
      <c r="B18" s="32" t="s">
        <v>23</v>
      </c>
      <c r="C18" s="32">
        <v>1.2E-2</v>
      </c>
      <c r="D18" s="32">
        <v>0</v>
      </c>
      <c r="E18" s="32" t="s">
        <v>477</v>
      </c>
      <c r="F18" s="32">
        <v>0.08</v>
      </c>
      <c r="G18" s="32">
        <v>0.02</v>
      </c>
      <c r="H18" s="32">
        <v>0</v>
      </c>
      <c r="I18" s="32">
        <v>0</v>
      </c>
      <c r="J18" s="32">
        <v>0</v>
      </c>
      <c r="K18" s="32">
        <v>3.8E-3</v>
      </c>
      <c r="L18" s="32">
        <v>0.05</v>
      </c>
      <c r="M18" s="32">
        <v>0</v>
      </c>
      <c r="N18" s="32">
        <v>0</v>
      </c>
      <c r="O18" s="32">
        <v>0</v>
      </c>
    </row>
    <row r="19" spans="1:15" x14ac:dyDescent="0.3">
      <c r="A19" s="30" t="s">
        <v>479</v>
      </c>
      <c r="B19" s="32" t="s">
        <v>23</v>
      </c>
      <c r="C19" s="32">
        <v>1.2E-2</v>
      </c>
      <c r="D19" s="32">
        <v>0</v>
      </c>
      <c r="E19" s="32" t="s">
        <v>477</v>
      </c>
      <c r="F19" s="32">
        <v>0.08</v>
      </c>
      <c r="G19" s="32">
        <v>0.02</v>
      </c>
      <c r="H19" s="32">
        <v>0.15</v>
      </c>
      <c r="I19" s="32">
        <v>0</v>
      </c>
      <c r="J19" s="32">
        <v>0</v>
      </c>
      <c r="K19" s="32">
        <v>3.8E-3</v>
      </c>
      <c r="L19" s="32">
        <v>0.05</v>
      </c>
      <c r="M19" s="32">
        <v>0</v>
      </c>
      <c r="N19" s="32">
        <v>0</v>
      </c>
      <c r="O19" s="32">
        <v>0</v>
      </c>
    </row>
    <row r="20" spans="1:15" x14ac:dyDescent="0.3">
      <c r="A20" s="30" t="s">
        <v>480</v>
      </c>
      <c r="B20" s="32" t="s">
        <v>23</v>
      </c>
      <c r="C20" s="32">
        <v>1.2E-2</v>
      </c>
      <c r="D20" s="32">
        <v>0</v>
      </c>
      <c r="E20" s="32" t="s">
        <v>477</v>
      </c>
      <c r="F20" s="32">
        <v>0.08</v>
      </c>
      <c r="G20" s="32">
        <v>0.02</v>
      </c>
      <c r="H20" s="32">
        <v>0.15</v>
      </c>
      <c r="I20" s="32">
        <v>0.15</v>
      </c>
      <c r="J20" s="32">
        <v>0</v>
      </c>
      <c r="K20" s="32">
        <v>3.8E-3</v>
      </c>
      <c r="L20" s="32">
        <v>0.05</v>
      </c>
      <c r="M20" s="32">
        <v>0</v>
      </c>
      <c r="N20" s="32">
        <v>0</v>
      </c>
      <c r="O20" s="32">
        <v>0</v>
      </c>
    </row>
    <row r="21" spans="1:15" x14ac:dyDescent="0.3">
      <c r="A21" s="30" t="s">
        <v>481</v>
      </c>
      <c r="B21" s="32" t="s">
        <v>23</v>
      </c>
      <c r="C21" s="32">
        <v>1.2E-2</v>
      </c>
      <c r="D21" s="32">
        <v>0</v>
      </c>
      <c r="E21" s="32" t="s">
        <v>477</v>
      </c>
      <c r="F21" s="32">
        <v>0.08</v>
      </c>
      <c r="G21" s="32">
        <v>0.02</v>
      </c>
      <c r="H21" s="32">
        <v>0.15</v>
      </c>
      <c r="I21" s="32">
        <v>0.15</v>
      </c>
      <c r="J21" s="32">
        <v>100000</v>
      </c>
      <c r="K21" s="32">
        <v>3.8E-3</v>
      </c>
      <c r="L21" s="32">
        <v>0.05</v>
      </c>
      <c r="M21" s="32">
        <v>0</v>
      </c>
      <c r="N21" s="32">
        <v>0</v>
      </c>
      <c r="O21" s="32">
        <v>0</v>
      </c>
    </row>
    <row r="22" spans="1:15" x14ac:dyDescent="0.3">
      <c r="A22" s="30" t="s">
        <v>472</v>
      </c>
      <c r="B22" s="32" t="s">
        <v>23</v>
      </c>
      <c r="C22" s="32">
        <v>1.2E-2</v>
      </c>
      <c r="D22" s="32">
        <v>0</v>
      </c>
      <c r="E22" s="32" t="s">
        <v>275</v>
      </c>
      <c r="F22" s="32">
        <v>0</v>
      </c>
      <c r="G22" s="32">
        <v>0</v>
      </c>
      <c r="H22" s="32">
        <v>0</v>
      </c>
      <c r="I22" s="32">
        <v>0</v>
      </c>
      <c r="J22" s="32">
        <v>0</v>
      </c>
      <c r="K22" s="32">
        <v>3.8E-3</v>
      </c>
      <c r="L22" s="32">
        <v>3.8699999999999998E-2</v>
      </c>
      <c r="M22" s="32">
        <v>0</v>
      </c>
      <c r="N22" s="32">
        <v>0</v>
      </c>
      <c r="O22" s="32">
        <v>0</v>
      </c>
    </row>
    <row r="23" spans="1:15" x14ac:dyDescent="0.3">
      <c r="A23" s="30" t="s">
        <v>482</v>
      </c>
      <c r="B23" s="32" t="s">
        <v>23</v>
      </c>
      <c r="C23" s="32">
        <v>1.2E-2</v>
      </c>
      <c r="D23" s="32">
        <v>0</v>
      </c>
      <c r="E23" s="32" t="s">
        <v>275</v>
      </c>
      <c r="F23" s="32">
        <v>0</v>
      </c>
      <c r="G23" s="32">
        <v>0</v>
      </c>
      <c r="H23" s="32">
        <v>0</v>
      </c>
      <c r="I23" s="32">
        <v>0</v>
      </c>
      <c r="J23" s="32">
        <v>0</v>
      </c>
      <c r="K23" s="32">
        <v>3.8E-3</v>
      </c>
      <c r="L23" s="32">
        <v>3.8699999999999998E-2</v>
      </c>
      <c r="M23" s="32">
        <v>0</v>
      </c>
      <c r="N23" s="32">
        <v>0</v>
      </c>
      <c r="O23" s="32">
        <v>0</v>
      </c>
    </row>
    <row r="24" spans="1:15" x14ac:dyDescent="0.3">
      <c r="A24" s="30" t="s">
        <v>483</v>
      </c>
      <c r="B24" s="32" t="s">
        <v>23</v>
      </c>
      <c r="C24" s="32">
        <v>1.2E-2</v>
      </c>
      <c r="D24" s="32">
        <v>0</v>
      </c>
      <c r="E24" s="32" t="s">
        <v>275</v>
      </c>
      <c r="F24" s="32">
        <v>0</v>
      </c>
      <c r="G24" s="32">
        <v>0</v>
      </c>
      <c r="H24" s="32">
        <v>0</v>
      </c>
      <c r="I24" s="32">
        <v>0</v>
      </c>
      <c r="J24" s="32">
        <v>0</v>
      </c>
      <c r="K24" s="32">
        <v>3.8E-3</v>
      </c>
      <c r="L24" s="32">
        <v>3.8699999999999998E-2</v>
      </c>
      <c r="M24" s="32">
        <v>0</v>
      </c>
      <c r="N24" s="32">
        <v>0</v>
      </c>
      <c r="O24" s="32">
        <v>0</v>
      </c>
    </row>
    <row r="25" spans="1:15" x14ac:dyDescent="0.3">
      <c r="A25" s="30" t="s">
        <v>484</v>
      </c>
      <c r="B25" s="32" t="s">
        <v>23</v>
      </c>
      <c r="C25" s="32">
        <v>1.2E-2</v>
      </c>
      <c r="D25" s="32">
        <v>0</v>
      </c>
      <c r="E25" s="32" t="s">
        <v>275</v>
      </c>
      <c r="F25" s="32">
        <v>0</v>
      </c>
      <c r="G25" s="32">
        <v>0</v>
      </c>
      <c r="H25" s="32">
        <v>0</v>
      </c>
      <c r="I25" s="32">
        <v>0</v>
      </c>
      <c r="J25" s="32">
        <v>0</v>
      </c>
      <c r="K25" s="32">
        <v>3.8E-3</v>
      </c>
      <c r="L25" s="32">
        <v>3.8699999999999998E-2</v>
      </c>
      <c r="M25" s="32">
        <v>0</v>
      </c>
      <c r="N25" s="32">
        <v>0</v>
      </c>
      <c r="O25" s="32">
        <v>0</v>
      </c>
    </row>
    <row r="26" spans="1:15" x14ac:dyDescent="0.3">
      <c r="A26" s="30" t="s">
        <v>485</v>
      </c>
      <c r="B26" s="32" t="s">
        <v>23</v>
      </c>
      <c r="C26" s="32">
        <v>1.2E-2</v>
      </c>
      <c r="D26" s="32">
        <v>0</v>
      </c>
      <c r="E26" s="32" t="s">
        <v>275</v>
      </c>
      <c r="F26" s="32">
        <v>0</v>
      </c>
      <c r="G26" s="32">
        <v>0</v>
      </c>
      <c r="H26" s="32">
        <v>0</v>
      </c>
      <c r="I26" s="32">
        <v>0</v>
      </c>
      <c r="J26" s="32">
        <v>0</v>
      </c>
      <c r="K26" s="32">
        <v>3.8E-3</v>
      </c>
      <c r="L26" s="32">
        <v>3.8699999999999998E-2</v>
      </c>
      <c r="M26" s="32">
        <v>0</v>
      </c>
      <c r="N26" s="32">
        <v>0</v>
      </c>
      <c r="O26" s="32">
        <v>0</v>
      </c>
    </row>
    <row r="27" spans="1:15" x14ac:dyDescent="0.3">
      <c r="A27" s="30" t="s">
        <v>486</v>
      </c>
      <c r="B27" s="32" t="s">
        <v>23</v>
      </c>
      <c r="C27" s="32">
        <v>1.2E-2</v>
      </c>
      <c r="D27" s="32">
        <v>0</v>
      </c>
      <c r="E27" s="32" t="s">
        <v>275</v>
      </c>
      <c r="F27" s="32">
        <v>0</v>
      </c>
      <c r="G27" s="32">
        <v>0</v>
      </c>
      <c r="H27" s="32">
        <v>0</v>
      </c>
      <c r="I27" s="32">
        <v>0</v>
      </c>
      <c r="J27" s="32">
        <v>0</v>
      </c>
      <c r="K27" s="32">
        <v>3.8E-3</v>
      </c>
      <c r="L27" s="32">
        <v>3.8699999999999998E-2</v>
      </c>
      <c r="M27" s="32">
        <v>0</v>
      </c>
      <c r="N27" s="32">
        <v>0</v>
      </c>
      <c r="O27" s="32">
        <v>0</v>
      </c>
    </row>
    <row r="28" spans="1:15" x14ac:dyDescent="0.3">
      <c r="A28" s="30" t="s">
        <v>487</v>
      </c>
      <c r="B28" s="32" t="s">
        <v>23</v>
      </c>
      <c r="C28" s="32">
        <v>1.2E-2</v>
      </c>
      <c r="D28" s="32">
        <v>0</v>
      </c>
      <c r="E28" s="32" t="s">
        <v>275</v>
      </c>
      <c r="F28" s="32">
        <v>0</v>
      </c>
      <c r="G28" s="32">
        <v>0</v>
      </c>
      <c r="H28" s="32">
        <v>0</v>
      </c>
      <c r="I28" s="32">
        <v>0</v>
      </c>
      <c r="J28" s="32">
        <v>0</v>
      </c>
      <c r="K28" s="32">
        <v>3.8E-3</v>
      </c>
      <c r="L28" s="32">
        <v>3.8699999999999998E-2</v>
      </c>
      <c r="M28" s="32">
        <v>0</v>
      </c>
      <c r="N28" s="32">
        <v>0</v>
      </c>
      <c r="O28" s="32">
        <v>0</v>
      </c>
    </row>
    <row r="29" spans="1:15" x14ac:dyDescent="0.3">
      <c r="A29" s="30" t="s">
        <v>488</v>
      </c>
      <c r="B29" s="32" t="s">
        <v>23</v>
      </c>
      <c r="C29" s="32">
        <v>1.2E-2</v>
      </c>
      <c r="D29" s="32">
        <v>0</v>
      </c>
      <c r="E29" s="32" t="s">
        <v>275</v>
      </c>
      <c r="F29" s="32">
        <v>0</v>
      </c>
      <c r="G29" s="32">
        <v>0</v>
      </c>
      <c r="H29" s="32">
        <v>0</v>
      </c>
      <c r="I29" s="32">
        <v>0</v>
      </c>
      <c r="J29" s="32">
        <v>0</v>
      </c>
      <c r="K29" s="32">
        <v>3.8E-3</v>
      </c>
      <c r="L29" s="32">
        <v>3.8699999999999998E-2</v>
      </c>
      <c r="M29" s="32">
        <v>0</v>
      </c>
      <c r="N29" s="32">
        <v>0</v>
      </c>
      <c r="O29" s="32">
        <v>0</v>
      </c>
    </row>
    <row r="30" spans="1:15" x14ac:dyDescent="0.3">
      <c r="A30" s="30" t="s">
        <v>489</v>
      </c>
      <c r="B30" s="32" t="s">
        <v>23</v>
      </c>
      <c r="C30" s="32">
        <v>1.2E-2</v>
      </c>
      <c r="D30" s="32">
        <v>0</v>
      </c>
      <c r="E30" s="32" t="s">
        <v>275</v>
      </c>
      <c r="F30" s="32">
        <v>0</v>
      </c>
      <c r="G30" s="32">
        <v>0</v>
      </c>
      <c r="H30" s="32">
        <v>0</v>
      </c>
      <c r="I30" s="32">
        <v>0</v>
      </c>
      <c r="J30" s="32">
        <v>0</v>
      </c>
      <c r="K30" s="32">
        <v>3.8E-3</v>
      </c>
      <c r="L30" s="32">
        <v>3.8699999999999998E-2</v>
      </c>
      <c r="M30" s="32">
        <v>0</v>
      </c>
      <c r="N30" s="32">
        <v>0</v>
      </c>
      <c r="O30" s="32">
        <v>0</v>
      </c>
    </row>
    <row r="31" spans="1:15" x14ac:dyDescent="0.3">
      <c r="A31" s="30" t="s">
        <v>490</v>
      </c>
      <c r="B31" s="32" t="s">
        <v>23</v>
      </c>
      <c r="C31" s="32">
        <v>1.2E-2</v>
      </c>
      <c r="D31" s="32">
        <v>0</v>
      </c>
      <c r="E31" s="32" t="s">
        <v>275</v>
      </c>
      <c r="F31" s="32">
        <v>0</v>
      </c>
      <c r="G31" s="32">
        <v>0</v>
      </c>
      <c r="H31" s="32">
        <v>0</v>
      </c>
      <c r="I31" s="32">
        <v>0</v>
      </c>
      <c r="J31" s="32">
        <v>0</v>
      </c>
      <c r="K31" s="32">
        <v>3.8E-3</v>
      </c>
      <c r="L31" s="32">
        <v>3.8699999999999998E-2</v>
      </c>
      <c r="M31" s="32">
        <v>0</v>
      </c>
      <c r="N31" s="32">
        <v>0</v>
      </c>
      <c r="O31" s="32">
        <v>0</v>
      </c>
    </row>
    <row r="32" spans="1:15" x14ac:dyDescent="0.3">
      <c r="A32" s="30" t="s">
        <v>491</v>
      </c>
      <c r="B32" s="32" t="s">
        <v>23</v>
      </c>
      <c r="C32" s="32">
        <v>1.2E-2</v>
      </c>
      <c r="D32" s="32">
        <v>0</v>
      </c>
      <c r="E32" s="32" t="s">
        <v>275</v>
      </c>
      <c r="F32" s="32">
        <v>0</v>
      </c>
      <c r="G32" s="32">
        <v>0</v>
      </c>
      <c r="H32" s="32">
        <v>0</v>
      </c>
      <c r="I32" s="32">
        <v>0</v>
      </c>
      <c r="J32" s="32">
        <v>0</v>
      </c>
      <c r="K32" s="32">
        <v>3.8E-3</v>
      </c>
      <c r="L32" s="32">
        <v>3.8699999999999998E-2</v>
      </c>
      <c r="M32" s="32">
        <v>0</v>
      </c>
      <c r="N32" s="32">
        <v>0</v>
      </c>
      <c r="O32" s="32">
        <v>0</v>
      </c>
    </row>
    <row r="33" spans="1:15" x14ac:dyDescent="0.3">
      <c r="A33" s="30" t="s">
        <v>492</v>
      </c>
      <c r="B33" s="32" t="s">
        <v>23</v>
      </c>
      <c r="C33" s="32">
        <v>1.2E-2</v>
      </c>
      <c r="D33" s="32">
        <v>0</v>
      </c>
      <c r="E33" s="32" t="s">
        <v>275</v>
      </c>
      <c r="F33" s="32">
        <v>0</v>
      </c>
      <c r="G33" s="32">
        <v>0</v>
      </c>
      <c r="H33" s="32">
        <v>0</v>
      </c>
      <c r="I33" s="32">
        <v>0</v>
      </c>
      <c r="J33" s="32">
        <v>0</v>
      </c>
      <c r="K33" s="32">
        <v>3.8E-3</v>
      </c>
      <c r="L33" s="32">
        <v>3.8699999999999998E-2</v>
      </c>
      <c r="M33" s="32">
        <v>0</v>
      </c>
      <c r="N33" s="32">
        <v>0</v>
      </c>
      <c r="O33" s="32">
        <v>0</v>
      </c>
    </row>
    <row r="34" spans="1:15" x14ac:dyDescent="0.3">
      <c r="A34" s="30" t="s">
        <v>493</v>
      </c>
      <c r="B34" s="32" t="s">
        <v>23</v>
      </c>
      <c r="C34" s="32">
        <v>1.2E-2</v>
      </c>
      <c r="D34" s="32">
        <v>0</v>
      </c>
      <c r="E34" s="32" t="s">
        <v>275</v>
      </c>
      <c r="F34" s="32">
        <v>0</v>
      </c>
      <c r="G34" s="32">
        <v>0</v>
      </c>
      <c r="H34" s="32">
        <v>0</v>
      </c>
      <c r="I34" s="32">
        <v>0</v>
      </c>
      <c r="J34" s="32">
        <v>0</v>
      </c>
      <c r="K34" s="32">
        <v>3.8E-3</v>
      </c>
      <c r="L34" s="32">
        <v>3.8699999999999998E-2</v>
      </c>
      <c r="M34" s="32">
        <v>0</v>
      </c>
      <c r="N34" s="32">
        <v>0</v>
      </c>
      <c r="O34" s="32">
        <v>0</v>
      </c>
    </row>
    <row r="35" spans="1:15" x14ac:dyDescent="0.3">
      <c r="A35" s="30" t="s">
        <v>494</v>
      </c>
      <c r="B35" s="32" t="s">
        <v>23</v>
      </c>
      <c r="C35" s="32">
        <v>1.2E-2</v>
      </c>
      <c r="D35" s="32">
        <v>0</v>
      </c>
      <c r="E35" s="32" t="s">
        <v>275</v>
      </c>
      <c r="F35" s="32">
        <v>0</v>
      </c>
      <c r="G35" s="32">
        <v>0</v>
      </c>
      <c r="H35" s="32">
        <v>0</v>
      </c>
      <c r="I35" s="32">
        <v>0</v>
      </c>
      <c r="J35" s="32">
        <v>0</v>
      </c>
      <c r="K35" s="32">
        <v>3.8E-3</v>
      </c>
      <c r="L35" s="32">
        <v>3.8699999999999998E-2</v>
      </c>
      <c r="M35" s="32">
        <v>0</v>
      </c>
      <c r="N35" s="32">
        <v>0</v>
      </c>
      <c r="O35" s="32">
        <v>0</v>
      </c>
    </row>
    <row r="36" spans="1:15" x14ac:dyDescent="0.3">
      <c r="A36" s="30" t="s">
        <v>495</v>
      </c>
      <c r="B36" s="32" t="s">
        <v>23</v>
      </c>
      <c r="C36" s="32">
        <v>1.2E-2</v>
      </c>
      <c r="D36" s="32">
        <v>0</v>
      </c>
      <c r="E36" s="32" t="s">
        <v>275</v>
      </c>
      <c r="F36" s="32">
        <v>0</v>
      </c>
      <c r="G36" s="32">
        <v>0</v>
      </c>
      <c r="H36" s="32">
        <v>0</v>
      </c>
      <c r="I36" s="32">
        <v>0</v>
      </c>
      <c r="J36" s="32">
        <v>0</v>
      </c>
      <c r="K36" s="32">
        <v>3.8E-3</v>
      </c>
      <c r="L36" s="32">
        <v>3.8699999999999998E-2</v>
      </c>
      <c r="M36" s="32">
        <v>0</v>
      </c>
      <c r="N36" s="32">
        <v>0</v>
      </c>
      <c r="O36" s="32">
        <v>0</v>
      </c>
    </row>
    <row r="37" spans="1:15" x14ac:dyDescent="0.3">
      <c r="A37" s="30" t="s">
        <v>496</v>
      </c>
      <c r="B37" s="32" t="s">
        <v>23</v>
      </c>
      <c r="C37" s="32">
        <v>1.2E-2</v>
      </c>
      <c r="D37" s="32">
        <v>0</v>
      </c>
      <c r="E37" s="32" t="s">
        <v>275</v>
      </c>
      <c r="F37" s="32">
        <v>0</v>
      </c>
      <c r="G37" s="32">
        <v>0</v>
      </c>
      <c r="H37" s="32">
        <v>0</v>
      </c>
      <c r="I37" s="32">
        <v>0</v>
      </c>
      <c r="J37" s="32">
        <v>0</v>
      </c>
      <c r="K37" s="32">
        <v>3.8E-3</v>
      </c>
      <c r="L37" s="32">
        <v>3.8699999999999998E-2</v>
      </c>
      <c r="M37" s="32">
        <v>0</v>
      </c>
      <c r="N37" s="32">
        <v>0</v>
      </c>
      <c r="O37" s="32">
        <v>0</v>
      </c>
    </row>
    <row r="38" spans="1:15" x14ac:dyDescent="0.3">
      <c r="A38" s="30" t="s">
        <v>497</v>
      </c>
      <c r="B38" s="32" t="s">
        <v>23</v>
      </c>
      <c r="C38" s="32">
        <v>1.2E-2</v>
      </c>
      <c r="D38" s="32">
        <v>0</v>
      </c>
      <c r="E38" s="32" t="s">
        <v>275</v>
      </c>
      <c r="F38" s="32">
        <v>0</v>
      </c>
      <c r="G38" s="32">
        <v>0</v>
      </c>
      <c r="H38" s="32">
        <v>0</v>
      </c>
      <c r="I38" s="32">
        <v>0</v>
      </c>
      <c r="J38" s="32">
        <v>0</v>
      </c>
      <c r="K38" s="32">
        <v>3.8E-3</v>
      </c>
      <c r="L38" s="32">
        <v>3.8699999999999998E-2</v>
      </c>
      <c r="M38" s="32">
        <v>0</v>
      </c>
      <c r="N38" s="32">
        <v>0</v>
      </c>
      <c r="O38" s="32">
        <v>0</v>
      </c>
    </row>
    <row r="39" spans="1:15" x14ac:dyDescent="0.3">
      <c r="A39" s="30" t="s">
        <v>498</v>
      </c>
      <c r="B39" s="32" t="s">
        <v>23</v>
      </c>
      <c r="C39" s="32">
        <v>1.2E-2</v>
      </c>
      <c r="D39" s="32">
        <v>0</v>
      </c>
      <c r="E39" s="32" t="s">
        <v>275</v>
      </c>
      <c r="F39" s="32">
        <v>0</v>
      </c>
      <c r="G39" s="32">
        <v>0</v>
      </c>
      <c r="H39" s="32">
        <v>0</v>
      </c>
      <c r="I39" s="32">
        <v>0</v>
      </c>
      <c r="J39" s="32">
        <v>0</v>
      </c>
      <c r="K39" s="32">
        <v>3.8E-3</v>
      </c>
      <c r="L39" s="32">
        <v>3.8699999999999998E-2</v>
      </c>
      <c r="M39" s="32">
        <v>0</v>
      </c>
      <c r="N39" s="32">
        <v>0</v>
      </c>
      <c r="O39" s="32">
        <v>0</v>
      </c>
    </row>
    <row r="40" spans="1:15" x14ac:dyDescent="0.3">
      <c r="A40" s="30" t="s">
        <v>499</v>
      </c>
      <c r="B40" s="32" t="s">
        <v>23</v>
      </c>
      <c r="C40" s="32">
        <v>1.2E-2</v>
      </c>
      <c r="D40" s="32">
        <v>0</v>
      </c>
      <c r="E40" s="32" t="s">
        <v>275</v>
      </c>
      <c r="F40" s="32">
        <v>0</v>
      </c>
      <c r="G40" s="32">
        <v>0</v>
      </c>
      <c r="H40" s="32">
        <v>0</v>
      </c>
      <c r="I40" s="32">
        <v>0</v>
      </c>
      <c r="J40" s="32">
        <v>0</v>
      </c>
      <c r="K40" s="32">
        <v>3.8E-3</v>
      </c>
      <c r="L40" s="32">
        <v>3.8699999999999998E-2</v>
      </c>
      <c r="M40" s="32">
        <v>0</v>
      </c>
      <c r="N40" s="32">
        <v>0</v>
      </c>
      <c r="O40" s="32">
        <v>0</v>
      </c>
    </row>
  </sheetData>
  <mergeCells count="3">
    <mergeCell ref="C2:O2"/>
    <mergeCell ref="A1:P1"/>
    <mergeCell ref="A2:B2"/>
  </mergeCells>
  <phoneticPr fontId="19" type="noConversion"/>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N40"/>
  <sheetViews>
    <sheetView zoomScale="98" zoomScaleNormal="100" workbookViewId="0">
      <pane ySplit="5" topLeftCell="A50" activePane="bottomLeft" state="frozen"/>
      <selection pane="bottomLeft" activeCell="F63" sqref="F63"/>
    </sheetView>
  </sheetViews>
  <sheetFormatPr defaultColWidth="8.6640625" defaultRowHeight="14.4" x14ac:dyDescent="0.3"/>
  <cols>
    <col min="1" max="1" width="14" customWidth="1"/>
    <col min="2" max="2" width="12" customWidth="1"/>
    <col min="3" max="3" width="16" customWidth="1"/>
    <col min="4" max="4" width="24" customWidth="1"/>
    <col min="5" max="6" width="14" customWidth="1"/>
    <col min="7" max="7" width="12" customWidth="1"/>
    <col min="8" max="10" width="16" customWidth="1"/>
    <col min="11" max="11" width="12" customWidth="1"/>
    <col min="12" max="13" width="14" customWidth="1"/>
    <col min="14" max="14" width="20" customWidth="1"/>
  </cols>
  <sheetData>
    <row r="1" spans="1:14" ht="25.5" customHeight="1" x14ac:dyDescent="0.3">
      <c r="A1" s="90" t="s">
        <v>333</v>
      </c>
      <c r="B1" s="91"/>
      <c r="C1" s="91"/>
      <c r="D1" s="91"/>
      <c r="E1" s="91"/>
      <c r="F1" s="91"/>
      <c r="G1" s="91"/>
      <c r="H1" s="91"/>
      <c r="I1" s="91"/>
      <c r="J1" s="91"/>
      <c r="K1" s="91"/>
      <c r="L1" s="91"/>
      <c r="M1" s="91"/>
      <c r="N1" s="91"/>
    </row>
    <row r="2" spans="1:14" ht="19.5" customHeight="1" x14ac:dyDescent="0.3">
      <c r="A2" s="92" t="s">
        <v>1</v>
      </c>
      <c r="B2" s="93"/>
      <c r="C2" s="92" t="s">
        <v>276</v>
      </c>
      <c r="D2" s="94"/>
      <c r="E2" s="94"/>
      <c r="F2" s="94"/>
      <c r="G2" s="94"/>
      <c r="H2" s="94"/>
      <c r="I2" s="94"/>
      <c r="J2" s="94"/>
      <c r="K2" s="94"/>
      <c r="L2" s="94"/>
      <c r="M2" s="94"/>
      <c r="N2" s="93"/>
    </row>
    <row r="3" spans="1:14" ht="36" customHeight="1" x14ac:dyDescent="0.3">
      <c r="A3" s="9" t="s">
        <v>4</v>
      </c>
      <c r="B3" s="9" t="s">
        <v>5</v>
      </c>
      <c r="C3" s="9" t="s">
        <v>174</v>
      </c>
      <c r="D3" s="9" t="s">
        <v>277</v>
      </c>
      <c r="E3" s="9" t="s">
        <v>109</v>
      </c>
      <c r="F3" s="9" t="s">
        <v>278</v>
      </c>
      <c r="G3" s="10" t="s">
        <v>279</v>
      </c>
      <c r="H3" s="10" t="s">
        <v>280</v>
      </c>
      <c r="I3" s="10" t="s">
        <v>281</v>
      </c>
      <c r="J3" s="10" t="s">
        <v>282</v>
      </c>
      <c r="K3" s="10" t="s">
        <v>283</v>
      </c>
      <c r="L3" s="10" t="s">
        <v>284</v>
      </c>
      <c r="M3" s="10" t="s">
        <v>285</v>
      </c>
      <c r="N3" s="10" t="s">
        <v>286</v>
      </c>
    </row>
    <row r="4" spans="1:14" ht="24" customHeight="1" x14ac:dyDescent="0.3">
      <c r="A4" s="12" t="s">
        <v>13</v>
      </c>
      <c r="B4" s="12" t="s">
        <v>14</v>
      </c>
      <c r="C4" s="12" t="s">
        <v>134</v>
      </c>
      <c r="D4" s="12" t="s">
        <v>111</v>
      </c>
      <c r="E4" s="12" t="s">
        <v>112</v>
      </c>
      <c r="F4" s="12" t="s">
        <v>287</v>
      </c>
      <c r="G4" s="12" t="s">
        <v>288</v>
      </c>
      <c r="H4" s="12" t="s">
        <v>289</v>
      </c>
      <c r="I4" s="12" t="s">
        <v>290</v>
      </c>
      <c r="J4" s="12" t="s">
        <v>291</v>
      </c>
      <c r="K4" s="12" t="s">
        <v>292</v>
      </c>
      <c r="L4" s="12" t="s">
        <v>293</v>
      </c>
      <c r="M4" s="12" t="s">
        <v>294</v>
      </c>
      <c r="N4" s="12" t="s">
        <v>295</v>
      </c>
    </row>
    <row r="5" spans="1:14" ht="18" customHeight="1" x14ac:dyDescent="0.3">
      <c r="A5" s="13" t="s">
        <v>20</v>
      </c>
      <c r="B5" s="13" t="s">
        <v>20</v>
      </c>
      <c r="C5" s="13" t="s">
        <v>20</v>
      </c>
      <c r="D5" s="13" t="s">
        <v>20</v>
      </c>
      <c r="E5" s="13" t="s">
        <v>20</v>
      </c>
      <c r="F5" s="13" t="s">
        <v>20</v>
      </c>
      <c r="G5" s="14" t="s">
        <v>21</v>
      </c>
      <c r="H5" s="14" t="s">
        <v>21</v>
      </c>
      <c r="I5" s="14" t="s">
        <v>21</v>
      </c>
      <c r="J5" s="14" t="s">
        <v>21</v>
      </c>
      <c r="K5" s="14" t="s">
        <v>21</v>
      </c>
      <c r="L5" s="14" t="s">
        <v>21</v>
      </c>
      <c r="M5" s="14" t="s">
        <v>21</v>
      </c>
      <c r="N5" s="14" t="s">
        <v>21</v>
      </c>
    </row>
    <row r="6" spans="1:14" s="35" customFormat="1" ht="18" customHeight="1" x14ac:dyDescent="0.25">
      <c r="A6" s="30" t="s">
        <v>114</v>
      </c>
      <c r="B6" s="30" t="s">
        <v>23</v>
      </c>
      <c r="C6" s="30">
        <v>1</v>
      </c>
      <c r="D6" s="30" t="s">
        <v>340</v>
      </c>
      <c r="E6" s="30" t="s">
        <v>115</v>
      </c>
      <c r="F6" s="30" t="s">
        <v>296</v>
      </c>
      <c r="G6" s="30">
        <v>0</v>
      </c>
      <c r="H6" s="30">
        <v>1</v>
      </c>
      <c r="I6" s="32">
        <v>3000000</v>
      </c>
      <c r="J6" s="32">
        <v>2500000</v>
      </c>
      <c r="K6" s="30" t="s">
        <v>297</v>
      </c>
      <c r="L6" s="31">
        <v>46226</v>
      </c>
      <c r="M6" s="30"/>
      <c r="N6" s="30"/>
    </row>
    <row r="7" spans="1:14" s="35" customFormat="1" ht="18" customHeight="1" x14ac:dyDescent="0.25">
      <c r="A7" s="30" t="s">
        <v>339</v>
      </c>
      <c r="B7" s="30" t="s">
        <v>23</v>
      </c>
      <c r="C7" s="30">
        <v>1</v>
      </c>
      <c r="D7" s="30" t="s">
        <v>340</v>
      </c>
      <c r="E7" s="30" t="s">
        <v>115</v>
      </c>
      <c r="F7" s="30" t="s">
        <v>296</v>
      </c>
      <c r="G7" s="30">
        <v>0</v>
      </c>
      <c r="H7" s="30">
        <v>1</v>
      </c>
      <c r="I7" s="32">
        <v>3000000</v>
      </c>
      <c r="J7" s="32">
        <v>2500000</v>
      </c>
      <c r="K7" s="30" t="s">
        <v>297</v>
      </c>
      <c r="L7" s="31">
        <v>46202</v>
      </c>
      <c r="M7" s="30"/>
      <c r="N7" s="30"/>
    </row>
    <row r="8" spans="1:14" s="35" customFormat="1" ht="18" customHeight="1" x14ac:dyDescent="0.25">
      <c r="A8" s="30" t="s">
        <v>405</v>
      </c>
      <c r="B8" s="30" t="s">
        <v>23</v>
      </c>
      <c r="C8" s="30">
        <v>1</v>
      </c>
      <c r="D8" s="30" t="s">
        <v>340</v>
      </c>
      <c r="E8" s="30" t="s">
        <v>115</v>
      </c>
      <c r="F8" s="30" t="s">
        <v>296</v>
      </c>
      <c r="G8" s="30">
        <v>0</v>
      </c>
      <c r="H8" s="30">
        <v>1</v>
      </c>
      <c r="I8" s="32">
        <v>3000000</v>
      </c>
      <c r="J8" s="32">
        <v>2500000</v>
      </c>
      <c r="K8" s="30" t="s">
        <v>297</v>
      </c>
      <c r="L8" s="31">
        <v>46225</v>
      </c>
      <c r="M8" s="30"/>
      <c r="N8" s="30"/>
    </row>
    <row r="9" spans="1:14" s="35" customFormat="1" ht="18" customHeight="1" x14ac:dyDescent="0.25">
      <c r="A9" s="30" t="s">
        <v>406</v>
      </c>
      <c r="B9" s="30" t="s">
        <v>23</v>
      </c>
      <c r="C9" s="30">
        <v>1</v>
      </c>
      <c r="D9" s="30" t="s">
        <v>341</v>
      </c>
      <c r="E9" s="30" t="s">
        <v>115</v>
      </c>
      <c r="F9" s="30" t="s">
        <v>296</v>
      </c>
      <c r="G9" s="30">
        <v>0</v>
      </c>
      <c r="H9" s="30">
        <v>1</v>
      </c>
      <c r="I9" s="32">
        <v>2000000</v>
      </c>
      <c r="J9" s="32">
        <v>1750000</v>
      </c>
      <c r="K9" s="30" t="s">
        <v>297</v>
      </c>
      <c r="L9" s="31">
        <v>46225</v>
      </c>
      <c r="M9" s="30"/>
      <c r="N9" s="30"/>
    </row>
    <row r="10" spans="1:14" s="35" customFormat="1" ht="18" customHeight="1" x14ac:dyDescent="0.25">
      <c r="A10" s="30" t="s">
        <v>468</v>
      </c>
      <c r="B10" s="30" t="s">
        <v>23</v>
      </c>
      <c r="C10" s="30">
        <v>1</v>
      </c>
      <c r="D10" s="30" t="s">
        <v>464</v>
      </c>
      <c r="E10" s="30" t="s">
        <v>115</v>
      </c>
      <c r="F10" s="30" t="s">
        <v>296</v>
      </c>
      <c r="G10" s="30">
        <v>0</v>
      </c>
      <c r="H10" s="30">
        <v>1</v>
      </c>
      <c r="I10" s="32">
        <v>3000000</v>
      </c>
      <c r="J10" s="32">
        <v>2500000</v>
      </c>
      <c r="K10" s="30" t="s">
        <v>297</v>
      </c>
      <c r="L10" s="31">
        <v>46225</v>
      </c>
      <c r="M10" s="30"/>
      <c r="N10" s="30"/>
    </row>
    <row r="11" spans="1:14" s="35" customFormat="1" ht="18" customHeight="1" x14ac:dyDescent="0.25">
      <c r="A11" s="30" t="s">
        <v>469</v>
      </c>
      <c r="B11" s="30" t="s">
        <v>23</v>
      </c>
      <c r="C11" s="30">
        <v>1</v>
      </c>
      <c r="D11" s="30" t="s">
        <v>407</v>
      </c>
      <c r="E11" s="30" t="s">
        <v>115</v>
      </c>
      <c r="F11" s="30" t="s">
        <v>296</v>
      </c>
      <c r="G11" s="30">
        <v>0</v>
      </c>
      <c r="H11" s="30">
        <v>1</v>
      </c>
      <c r="I11" s="32">
        <v>3000000</v>
      </c>
      <c r="J11" s="32">
        <v>2500000</v>
      </c>
      <c r="K11" s="30" t="s">
        <v>297</v>
      </c>
      <c r="L11" s="31">
        <v>46225</v>
      </c>
      <c r="M11" s="30"/>
      <c r="N11" s="30"/>
    </row>
    <row r="12" spans="1:14" ht="18" customHeight="1" x14ac:dyDescent="0.3">
      <c r="A12" s="30" t="s">
        <v>470</v>
      </c>
      <c r="B12" s="30" t="s">
        <v>23</v>
      </c>
      <c r="C12" s="30">
        <v>1</v>
      </c>
      <c r="D12" s="30" t="s">
        <v>340</v>
      </c>
      <c r="E12" s="30" t="s">
        <v>115</v>
      </c>
      <c r="F12" s="30" t="s">
        <v>296</v>
      </c>
      <c r="G12" s="30">
        <v>0</v>
      </c>
      <c r="H12" s="30">
        <v>1</v>
      </c>
      <c r="I12" s="32">
        <v>3000000</v>
      </c>
      <c r="J12" s="32">
        <v>2500000</v>
      </c>
      <c r="K12" s="30" t="s">
        <v>297</v>
      </c>
      <c r="L12" s="31">
        <v>46226</v>
      </c>
      <c r="M12" s="17"/>
      <c r="N12" s="17"/>
    </row>
    <row r="13" spans="1:14" ht="18" customHeight="1" x14ac:dyDescent="0.3">
      <c r="A13" s="30" t="s">
        <v>473</v>
      </c>
      <c r="B13" s="30" t="s">
        <v>23</v>
      </c>
      <c r="C13" s="30">
        <v>1</v>
      </c>
      <c r="D13" s="30" t="s">
        <v>341</v>
      </c>
      <c r="E13" s="30" t="s">
        <v>115</v>
      </c>
      <c r="F13" s="30" t="s">
        <v>296</v>
      </c>
      <c r="G13" s="30">
        <v>0</v>
      </c>
      <c r="H13" s="30">
        <v>1</v>
      </c>
      <c r="I13" s="32">
        <v>2000000</v>
      </c>
      <c r="J13" s="32">
        <v>1750000</v>
      </c>
      <c r="K13" s="30" t="s">
        <v>297</v>
      </c>
      <c r="L13" s="31">
        <v>46225</v>
      </c>
      <c r="M13" s="17"/>
      <c r="N13" s="17"/>
    </row>
    <row r="14" spans="1:14" ht="18" customHeight="1" x14ac:dyDescent="0.3">
      <c r="A14" s="30" t="s">
        <v>471</v>
      </c>
      <c r="B14" s="30" t="s">
        <v>23</v>
      </c>
      <c r="C14" s="30">
        <v>1</v>
      </c>
      <c r="D14" s="30" t="s">
        <v>341</v>
      </c>
      <c r="E14" s="30" t="s">
        <v>115</v>
      </c>
      <c r="F14" s="30" t="s">
        <v>296</v>
      </c>
      <c r="G14" s="30">
        <v>0</v>
      </c>
      <c r="H14" s="30">
        <v>1</v>
      </c>
      <c r="I14" s="32">
        <v>2000000</v>
      </c>
      <c r="J14" s="32">
        <v>1750000</v>
      </c>
      <c r="K14" s="30" t="s">
        <v>297</v>
      </c>
      <c r="L14" s="31">
        <v>46225</v>
      </c>
      <c r="M14" s="17"/>
      <c r="N14" s="17"/>
    </row>
    <row r="15" spans="1:14" ht="18" customHeight="1" x14ac:dyDescent="0.3">
      <c r="A15" s="30" t="s">
        <v>474</v>
      </c>
      <c r="B15" s="30" t="s">
        <v>23</v>
      </c>
      <c r="C15" s="30">
        <v>1</v>
      </c>
      <c r="D15" s="30" t="s">
        <v>341</v>
      </c>
      <c r="E15" s="30" t="s">
        <v>115</v>
      </c>
      <c r="F15" s="30" t="s">
        <v>296</v>
      </c>
      <c r="G15" s="30">
        <v>0</v>
      </c>
      <c r="H15" s="30">
        <v>1</v>
      </c>
      <c r="I15" s="32">
        <v>2000000</v>
      </c>
      <c r="J15" s="32">
        <v>1750000</v>
      </c>
      <c r="K15" s="30" t="s">
        <v>297</v>
      </c>
      <c r="L15" s="31">
        <v>46225</v>
      </c>
      <c r="M15" s="17"/>
      <c r="N15" s="17"/>
    </row>
    <row r="16" spans="1:14" ht="18" customHeight="1" x14ac:dyDescent="0.3">
      <c r="A16" s="30" t="s">
        <v>475</v>
      </c>
      <c r="B16" s="30" t="s">
        <v>23</v>
      </c>
      <c r="C16" s="30">
        <v>1</v>
      </c>
      <c r="D16" s="30" t="s">
        <v>341</v>
      </c>
      <c r="E16" s="30" t="s">
        <v>115</v>
      </c>
      <c r="F16" s="30" t="s">
        <v>296</v>
      </c>
      <c r="G16" s="30">
        <v>0</v>
      </c>
      <c r="H16" s="30">
        <v>1</v>
      </c>
      <c r="I16" s="32">
        <v>2000000</v>
      </c>
      <c r="J16" s="32">
        <v>1750000</v>
      </c>
      <c r="K16" s="30" t="s">
        <v>297</v>
      </c>
      <c r="L16" s="31">
        <v>46225</v>
      </c>
      <c r="M16" s="17"/>
      <c r="N16" s="17"/>
    </row>
    <row r="17" spans="1:14" ht="18" customHeight="1" x14ac:dyDescent="0.3">
      <c r="A17" s="30" t="s">
        <v>476</v>
      </c>
      <c r="B17" s="30" t="s">
        <v>23</v>
      </c>
      <c r="C17" s="30">
        <v>1</v>
      </c>
      <c r="D17" s="30" t="s">
        <v>341</v>
      </c>
      <c r="E17" s="30" t="s">
        <v>115</v>
      </c>
      <c r="F17" s="30" t="s">
        <v>296</v>
      </c>
      <c r="G17" s="30">
        <v>0</v>
      </c>
      <c r="H17" s="30">
        <v>1</v>
      </c>
      <c r="I17" s="32">
        <v>2000000</v>
      </c>
      <c r="J17" s="32">
        <v>1750000</v>
      </c>
      <c r="K17" s="30" t="s">
        <v>297</v>
      </c>
      <c r="L17" s="31">
        <v>46225</v>
      </c>
      <c r="M17" s="17"/>
      <c r="N17" s="17"/>
    </row>
    <row r="18" spans="1:14" ht="18" customHeight="1" x14ac:dyDescent="0.3">
      <c r="A18" s="30" t="s">
        <v>478</v>
      </c>
      <c r="B18" s="30" t="s">
        <v>23</v>
      </c>
      <c r="C18" s="30">
        <v>1</v>
      </c>
      <c r="D18" s="30" t="s">
        <v>341</v>
      </c>
      <c r="E18" s="30" t="s">
        <v>115</v>
      </c>
      <c r="F18" s="30" t="s">
        <v>296</v>
      </c>
      <c r="G18" s="30">
        <v>0</v>
      </c>
      <c r="H18" s="30">
        <v>1</v>
      </c>
      <c r="I18" s="32">
        <v>2000000</v>
      </c>
      <c r="J18" s="32">
        <v>1750000</v>
      </c>
      <c r="K18" s="30" t="s">
        <v>297</v>
      </c>
      <c r="L18" s="31">
        <v>46225</v>
      </c>
      <c r="M18" s="17"/>
      <c r="N18" s="17"/>
    </row>
    <row r="19" spans="1:14" ht="18" customHeight="1" x14ac:dyDescent="0.3">
      <c r="A19" s="30" t="s">
        <v>479</v>
      </c>
      <c r="B19" s="30" t="s">
        <v>23</v>
      </c>
      <c r="C19" s="30">
        <v>1</v>
      </c>
      <c r="D19" s="30" t="s">
        <v>341</v>
      </c>
      <c r="E19" s="30" t="s">
        <v>115</v>
      </c>
      <c r="F19" s="30" t="s">
        <v>296</v>
      </c>
      <c r="G19" s="30">
        <v>0</v>
      </c>
      <c r="H19" s="30">
        <v>1</v>
      </c>
      <c r="I19" s="32">
        <v>2000000</v>
      </c>
      <c r="J19" s="32">
        <v>1750000</v>
      </c>
      <c r="K19" s="30" t="s">
        <v>297</v>
      </c>
      <c r="L19" s="31">
        <v>46225</v>
      </c>
      <c r="M19" s="17"/>
      <c r="N19" s="17"/>
    </row>
    <row r="20" spans="1:14" ht="18" customHeight="1" x14ac:dyDescent="0.3">
      <c r="A20" s="30" t="s">
        <v>480</v>
      </c>
      <c r="B20" s="30" t="s">
        <v>23</v>
      </c>
      <c r="C20" s="30">
        <v>1</v>
      </c>
      <c r="D20" s="30" t="s">
        <v>341</v>
      </c>
      <c r="E20" s="30" t="s">
        <v>115</v>
      </c>
      <c r="F20" s="30" t="s">
        <v>296</v>
      </c>
      <c r="G20" s="30">
        <v>0</v>
      </c>
      <c r="H20" s="30">
        <v>1</v>
      </c>
      <c r="I20" s="32">
        <v>2000000</v>
      </c>
      <c r="J20" s="32">
        <v>1750000</v>
      </c>
      <c r="K20" s="30" t="s">
        <v>297</v>
      </c>
      <c r="L20" s="31">
        <v>46225</v>
      </c>
      <c r="M20" s="17"/>
      <c r="N20" s="17"/>
    </row>
    <row r="21" spans="1:14" ht="18" customHeight="1" x14ac:dyDescent="0.3">
      <c r="A21" s="30" t="s">
        <v>481</v>
      </c>
      <c r="B21" s="30" t="s">
        <v>23</v>
      </c>
      <c r="C21" s="30">
        <v>1</v>
      </c>
      <c r="D21" s="30" t="s">
        <v>341</v>
      </c>
      <c r="E21" s="30" t="s">
        <v>115</v>
      </c>
      <c r="F21" s="30" t="s">
        <v>296</v>
      </c>
      <c r="G21" s="30">
        <v>0</v>
      </c>
      <c r="H21" s="30">
        <v>1</v>
      </c>
      <c r="I21" s="32">
        <v>2000000</v>
      </c>
      <c r="J21" s="32">
        <v>1750000</v>
      </c>
      <c r="K21" s="30" t="s">
        <v>297</v>
      </c>
      <c r="L21" s="31">
        <v>46225</v>
      </c>
      <c r="M21" s="17"/>
      <c r="N21" s="17"/>
    </row>
    <row r="22" spans="1:14" ht="18" customHeight="1" x14ac:dyDescent="0.3">
      <c r="A22" s="30" t="s">
        <v>472</v>
      </c>
      <c r="B22" s="30" t="s">
        <v>23</v>
      </c>
      <c r="C22" s="30">
        <v>1</v>
      </c>
      <c r="D22" s="30" t="s">
        <v>409</v>
      </c>
      <c r="E22" s="30" t="s">
        <v>115</v>
      </c>
      <c r="F22" s="30" t="s">
        <v>296</v>
      </c>
      <c r="G22" s="30">
        <v>0</v>
      </c>
      <c r="H22" s="30">
        <v>1</v>
      </c>
      <c r="I22" s="32">
        <v>2000000</v>
      </c>
      <c r="J22" s="32">
        <v>1450000</v>
      </c>
      <c r="K22" s="30" t="s">
        <v>297</v>
      </c>
      <c r="L22" s="31">
        <v>46225</v>
      </c>
      <c r="M22" s="17"/>
      <c r="N22" s="17"/>
    </row>
    <row r="23" spans="1:14" ht="18" customHeight="1" x14ac:dyDescent="0.3">
      <c r="A23" s="30" t="s">
        <v>482</v>
      </c>
      <c r="B23" s="30" t="s">
        <v>23</v>
      </c>
      <c r="C23" s="30">
        <v>1</v>
      </c>
      <c r="D23" s="30" t="s">
        <v>412</v>
      </c>
      <c r="E23" s="30" t="s">
        <v>115</v>
      </c>
      <c r="F23" s="30" t="s">
        <v>296</v>
      </c>
      <c r="G23" s="30">
        <v>0</v>
      </c>
      <c r="H23" s="30">
        <v>1</v>
      </c>
      <c r="I23" s="32">
        <v>2000000</v>
      </c>
      <c r="J23" s="32">
        <v>1700000</v>
      </c>
      <c r="K23" s="30" t="s">
        <v>297</v>
      </c>
      <c r="L23" s="31">
        <v>46225</v>
      </c>
      <c r="M23" s="17"/>
      <c r="N23" s="17"/>
    </row>
    <row r="24" spans="1:14" ht="18" customHeight="1" x14ac:dyDescent="0.3">
      <c r="A24" s="30" t="s">
        <v>483</v>
      </c>
      <c r="B24" s="30" t="s">
        <v>23</v>
      </c>
      <c r="C24" s="30">
        <v>1</v>
      </c>
      <c r="D24" s="30" t="s">
        <v>414</v>
      </c>
      <c r="E24" s="30" t="s">
        <v>115</v>
      </c>
      <c r="F24" s="30" t="s">
        <v>296</v>
      </c>
      <c r="G24" s="30">
        <v>0</v>
      </c>
      <c r="H24" s="30">
        <v>1</v>
      </c>
      <c r="I24" s="32">
        <v>2000000</v>
      </c>
      <c r="J24" s="32">
        <v>1750000</v>
      </c>
      <c r="K24" s="30" t="s">
        <v>297</v>
      </c>
      <c r="L24" s="31">
        <v>46225</v>
      </c>
      <c r="M24" s="17"/>
      <c r="N24" s="17"/>
    </row>
    <row r="25" spans="1:14" ht="18" customHeight="1" x14ac:dyDescent="0.3">
      <c r="A25" s="30" t="s">
        <v>484</v>
      </c>
      <c r="B25" s="30" t="s">
        <v>23</v>
      </c>
      <c r="C25" s="30">
        <v>1</v>
      </c>
      <c r="D25" s="30" t="s">
        <v>415</v>
      </c>
      <c r="E25" s="30" t="s">
        <v>115</v>
      </c>
      <c r="F25" s="30" t="s">
        <v>296</v>
      </c>
      <c r="G25" s="30">
        <v>0</v>
      </c>
      <c r="H25" s="30">
        <v>1</v>
      </c>
      <c r="I25" s="32">
        <v>2000000</v>
      </c>
      <c r="J25" s="32">
        <v>1500000</v>
      </c>
      <c r="K25" s="30" t="s">
        <v>297</v>
      </c>
      <c r="L25" s="31">
        <v>46225</v>
      </c>
      <c r="M25" s="17"/>
      <c r="N25" s="17"/>
    </row>
    <row r="26" spans="1:14" ht="18" customHeight="1" x14ac:dyDescent="0.3">
      <c r="A26" s="30" t="s">
        <v>485</v>
      </c>
      <c r="B26" s="30" t="s">
        <v>23</v>
      </c>
      <c r="C26" s="30">
        <v>1</v>
      </c>
      <c r="D26" s="30" t="s">
        <v>416</v>
      </c>
      <c r="E26" s="30" t="s">
        <v>115</v>
      </c>
      <c r="F26" s="30" t="s">
        <v>296</v>
      </c>
      <c r="G26" s="30">
        <v>0</v>
      </c>
      <c r="H26" s="30">
        <v>1</v>
      </c>
      <c r="I26" s="32">
        <v>2000000</v>
      </c>
      <c r="J26" s="32">
        <v>1750000</v>
      </c>
      <c r="K26" s="30" t="s">
        <v>297</v>
      </c>
      <c r="L26" s="31">
        <v>46225</v>
      </c>
      <c r="M26" s="17"/>
      <c r="N26" s="17"/>
    </row>
    <row r="27" spans="1:14" ht="18" customHeight="1" x14ac:dyDescent="0.3">
      <c r="A27" s="30" t="s">
        <v>486</v>
      </c>
      <c r="B27" s="30" t="s">
        <v>23</v>
      </c>
      <c r="C27" s="30">
        <v>1</v>
      </c>
      <c r="D27" s="30" t="s">
        <v>417</v>
      </c>
      <c r="E27" s="30" t="s">
        <v>115</v>
      </c>
      <c r="F27" s="30" t="s">
        <v>296</v>
      </c>
      <c r="G27" s="30">
        <v>1</v>
      </c>
      <c r="H27" s="30">
        <v>1</v>
      </c>
      <c r="I27" s="32">
        <v>2000000</v>
      </c>
      <c r="J27" s="32">
        <v>1750000</v>
      </c>
      <c r="K27" s="30" t="s">
        <v>297</v>
      </c>
      <c r="L27" s="31">
        <v>46225</v>
      </c>
      <c r="M27" s="17"/>
      <c r="N27" s="17"/>
    </row>
    <row r="28" spans="1:14" ht="18" customHeight="1" x14ac:dyDescent="0.3">
      <c r="A28" s="30" t="s">
        <v>487</v>
      </c>
      <c r="B28" s="30" t="s">
        <v>23</v>
      </c>
      <c r="C28" s="30">
        <v>1</v>
      </c>
      <c r="D28" s="30" t="s">
        <v>418</v>
      </c>
      <c r="E28" s="30" t="s">
        <v>115</v>
      </c>
      <c r="F28" s="30" t="s">
        <v>296</v>
      </c>
      <c r="G28" s="30">
        <v>1</v>
      </c>
      <c r="H28" s="30">
        <v>1</v>
      </c>
      <c r="I28" s="32">
        <v>2000000</v>
      </c>
      <c r="J28" s="32">
        <v>1750000</v>
      </c>
      <c r="K28" s="30" t="s">
        <v>297</v>
      </c>
      <c r="L28" s="31">
        <v>46225</v>
      </c>
      <c r="M28" s="17"/>
      <c r="N28" s="17"/>
    </row>
    <row r="29" spans="1:14" ht="18" customHeight="1" x14ac:dyDescent="0.3">
      <c r="A29" s="30" t="s">
        <v>488</v>
      </c>
      <c r="B29" s="30" t="s">
        <v>23</v>
      </c>
      <c r="C29" s="30">
        <v>1</v>
      </c>
      <c r="D29" s="30" t="s">
        <v>419</v>
      </c>
      <c r="E29" s="30" t="s">
        <v>115</v>
      </c>
      <c r="F29" s="30" t="s">
        <v>296</v>
      </c>
      <c r="G29" s="30">
        <v>0</v>
      </c>
      <c r="H29" s="30">
        <v>1</v>
      </c>
      <c r="I29" s="32">
        <v>1500000</v>
      </c>
      <c r="J29" s="32">
        <v>1250000</v>
      </c>
      <c r="K29" s="30" t="s">
        <v>297</v>
      </c>
      <c r="L29" s="31">
        <v>46225</v>
      </c>
      <c r="M29" s="17"/>
      <c r="N29" s="17"/>
    </row>
    <row r="30" spans="1:14" ht="18" customHeight="1" x14ac:dyDescent="0.3">
      <c r="A30" s="30" t="s">
        <v>489</v>
      </c>
      <c r="B30" s="30" t="s">
        <v>23</v>
      </c>
      <c r="C30" s="30">
        <v>1</v>
      </c>
      <c r="D30" s="30" t="s">
        <v>420</v>
      </c>
      <c r="E30" s="30" t="s">
        <v>115</v>
      </c>
      <c r="F30" s="30" t="s">
        <v>296</v>
      </c>
      <c r="G30" s="30">
        <v>0</v>
      </c>
      <c r="H30" s="30">
        <v>1</v>
      </c>
      <c r="I30" s="32">
        <v>1500000</v>
      </c>
      <c r="J30" s="32">
        <v>625000</v>
      </c>
      <c r="K30" s="30" t="s">
        <v>297</v>
      </c>
      <c r="L30" s="31">
        <v>46225</v>
      </c>
      <c r="M30" s="17"/>
      <c r="N30" s="17"/>
    </row>
    <row r="31" spans="1:14" ht="18" customHeight="1" x14ac:dyDescent="0.3">
      <c r="A31" s="30" t="s">
        <v>490</v>
      </c>
      <c r="B31" s="30" t="s">
        <v>23</v>
      </c>
      <c r="C31" s="30">
        <v>1</v>
      </c>
      <c r="D31" s="30" t="s">
        <v>421</v>
      </c>
      <c r="E31" s="30" t="s">
        <v>115</v>
      </c>
      <c r="F31" s="30" t="s">
        <v>296</v>
      </c>
      <c r="G31" s="30">
        <v>0</v>
      </c>
      <c r="H31" s="30">
        <v>1</v>
      </c>
      <c r="I31" s="32">
        <v>1500000</v>
      </c>
      <c r="J31" s="32">
        <v>1250000</v>
      </c>
      <c r="K31" s="30" t="s">
        <v>297</v>
      </c>
      <c r="L31" s="31">
        <v>46225</v>
      </c>
      <c r="M31" s="17"/>
      <c r="N31" s="17"/>
    </row>
    <row r="32" spans="1:14" ht="18" customHeight="1" x14ac:dyDescent="0.3">
      <c r="A32" s="30" t="s">
        <v>491</v>
      </c>
      <c r="B32" s="30" t="s">
        <v>23</v>
      </c>
      <c r="C32" s="30">
        <v>1</v>
      </c>
      <c r="D32" s="30" t="s">
        <v>422</v>
      </c>
      <c r="E32" s="30" t="s">
        <v>115</v>
      </c>
      <c r="F32" s="30" t="s">
        <v>296</v>
      </c>
      <c r="G32" s="30">
        <v>0</v>
      </c>
      <c r="H32" s="30">
        <v>1</v>
      </c>
      <c r="I32" s="32">
        <v>4000000</v>
      </c>
      <c r="J32" s="32">
        <v>3500000</v>
      </c>
      <c r="K32" s="30" t="s">
        <v>297</v>
      </c>
      <c r="L32" s="31">
        <v>46225</v>
      </c>
      <c r="M32" s="17"/>
      <c r="N32" s="17"/>
    </row>
    <row r="33" spans="1:14" ht="18" customHeight="1" x14ac:dyDescent="0.3">
      <c r="A33" s="30" t="s">
        <v>492</v>
      </c>
      <c r="B33" s="30" t="s">
        <v>23</v>
      </c>
      <c r="C33" s="30">
        <v>1</v>
      </c>
      <c r="D33" s="30" t="s">
        <v>423</v>
      </c>
      <c r="E33" s="30" t="s">
        <v>115</v>
      </c>
      <c r="F33" s="30" t="s">
        <v>296</v>
      </c>
      <c r="G33" s="30">
        <v>0</v>
      </c>
      <c r="H33" s="30">
        <v>1</v>
      </c>
      <c r="I33" s="32">
        <v>1500000</v>
      </c>
      <c r="J33" s="32">
        <v>1250000</v>
      </c>
      <c r="K33" s="30" t="s">
        <v>297</v>
      </c>
      <c r="L33" s="31">
        <v>46225</v>
      </c>
      <c r="M33" s="17"/>
      <c r="N33" s="17"/>
    </row>
    <row r="34" spans="1:14" ht="18" customHeight="1" x14ac:dyDescent="0.3">
      <c r="A34" s="30" t="s">
        <v>493</v>
      </c>
      <c r="B34" s="30" t="s">
        <v>23</v>
      </c>
      <c r="C34" s="30">
        <v>1</v>
      </c>
      <c r="D34" s="30" t="s">
        <v>424</v>
      </c>
      <c r="E34" s="30" t="s">
        <v>115</v>
      </c>
      <c r="F34" s="30" t="s">
        <v>296</v>
      </c>
      <c r="G34" s="30">
        <v>0</v>
      </c>
      <c r="H34" s="30">
        <v>1</v>
      </c>
      <c r="I34" s="32">
        <v>1500000</v>
      </c>
      <c r="J34" s="32">
        <v>1250000</v>
      </c>
      <c r="K34" s="30" t="s">
        <v>297</v>
      </c>
      <c r="L34" s="31">
        <v>46225</v>
      </c>
      <c r="M34" s="17"/>
      <c r="N34" s="17"/>
    </row>
    <row r="35" spans="1:14" ht="18" customHeight="1" x14ac:dyDescent="0.3">
      <c r="A35" s="30" t="s">
        <v>494</v>
      </c>
      <c r="B35" s="30" t="s">
        <v>23</v>
      </c>
      <c r="C35" s="30">
        <v>1</v>
      </c>
      <c r="D35" s="30" t="s">
        <v>425</v>
      </c>
      <c r="E35" s="30" t="s">
        <v>115</v>
      </c>
      <c r="F35" s="30" t="s">
        <v>296</v>
      </c>
      <c r="G35" s="30">
        <v>0</v>
      </c>
      <c r="H35" s="30">
        <v>1</v>
      </c>
      <c r="I35" s="32">
        <v>1250000</v>
      </c>
      <c r="J35" s="32">
        <v>1250000</v>
      </c>
      <c r="K35" s="30" t="s">
        <v>297</v>
      </c>
      <c r="L35" s="31">
        <v>46225</v>
      </c>
      <c r="M35" s="17"/>
      <c r="N35" s="17"/>
    </row>
    <row r="36" spans="1:14" ht="18" customHeight="1" x14ac:dyDescent="0.3">
      <c r="A36" s="30" t="s">
        <v>495</v>
      </c>
      <c r="B36" s="30" t="s">
        <v>23</v>
      </c>
      <c r="C36" s="30">
        <v>1</v>
      </c>
      <c r="D36" s="30" t="s">
        <v>426</v>
      </c>
      <c r="E36" s="30" t="s">
        <v>115</v>
      </c>
      <c r="F36" s="30" t="s">
        <v>296</v>
      </c>
      <c r="G36" s="30">
        <v>0</v>
      </c>
      <c r="H36" s="30">
        <v>1</v>
      </c>
      <c r="I36" s="32">
        <v>1250000</v>
      </c>
      <c r="J36" s="32">
        <v>1250000</v>
      </c>
      <c r="K36" s="30" t="s">
        <v>297</v>
      </c>
      <c r="L36" s="31">
        <v>46225</v>
      </c>
      <c r="M36" s="17"/>
      <c r="N36" s="17"/>
    </row>
    <row r="37" spans="1:14" ht="18" customHeight="1" x14ac:dyDescent="0.3">
      <c r="A37" s="30" t="s">
        <v>496</v>
      </c>
      <c r="B37" s="30" t="s">
        <v>23</v>
      </c>
      <c r="C37" s="30">
        <v>1</v>
      </c>
      <c r="D37" s="30" t="s">
        <v>427</v>
      </c>
      <c r="E37" s="30" t="s">
        <v>115</v>
      </c>
      <c r="F37" s="30" t="s">
        <v>296</v>
      </c>
      <c r="G37" s="30">
        <v>0</v>
      </c>
      <c r="H37" s="30">
        <v>1</v>
      </c>
      <c r="I37" s="32">
        <v>1750000</v>
      </c>
      <c r="J37" s="32">
        <v>1750000</v>
      </c>
      <c r="K37" s="30" t="s">
        <v>297</v>
      </c>
      <c r="L37" s="31">
        <v>46225</v>
      </c>
      <c r="M37" s="17"/>
      <c r="N37" s="17"/>
    </row>
    <row r="38" spans="1:14" ht="18" customHeight="1" x14ac:dyDescent="0.3">
      <c r="A38" s="30" t="s">
        <v>497</v>
      </c>
      <c r="B38" s="30" t="s">
        <v>23</v>
      </c>
      <c r="C38" s="30">
        <v>1</v>
      </c>
      <c r="D38" s="30" t="s">
        <v>439</v>
      </c>
      <c r="E38" s="30" t="s">
        <v>115</v>
      </c>
      <c r="F38" s="30" t="s">
        <v>296</v>
      </c>
      <c r="G38" s="30">
        <v>0</v>
      </c>
      <c r="H38" s="30">
        <v>1</v>
      </c>
      <c r="I38" s="32">
        <v>2000000</v>
      </c>
      <c r="J38" s="32">
        <v>2000000</v>
      </c>
      <c r="K38" s="30" t="s">
        <v>297</v>
      </c>
      <c r="L38" s="31">
        <v>46225</v>
      </c>
      <c r="M38" s="17"/>
      <c r="N38" s="17"/>
    </row>
    <row r="39" spans="1:14" ht="18" customHeight="1" x14ac:dyDescent="0.3">
      <c r="A39" s="30" t="s">
        <v>498</v>
      </c>
      <c r="B39" s="30" t="s">
        <v>23</v>
      </c>
      <c r="C39" s="30">
        <v>1</v>
      </c>
      <c r="D39" s="30" t="s">
        <v>452</v>
      </c>
      <c r="E39" s="30" t="s">
        <v>115</v>
      </c>
      <c r="F39" s="30" t="s">
        <v>296</v>
      </c>
      <c r="G39" s="30">
        <v>0</v>
      </c>
      <c r="H39" s="30">
        <v>1</v>
      </c>
      <c r="I39" s="32">
        <v>2000000</v>
      </c>
      <c r="J39" s="32">
        <v>2000000</v>
      </c>
      <c r="K39" s="30" t="s">
        <v>297</v>
      </c>
      <c r="L39" s="31">
        <v>46225</v>
      </c>
      <c r="M39" s="17"/>
      <c r="N39" s="17"/>
    </row>
    <row r="40" spans="1:14" ht="18" customHeight="1" x14ac:dyDescent="0.3">
      <c r="A40" s="30" t="s">
        <v>499</v>
      </c>
      <c r="B40" s="30" t="s">
        <v>23</v>
      </c>
      <c r="C40" s="30">
        <v>1</v>
      </c>
      <c r="D40" s="30" t="s">
        <v>500</v>
      </c>
      <c r="E40" s="30" t="s">
        <v>115</v>
      </c>
      <c r="F40" s="30" t="s">
        <v>296</v>
      </c>
      <c r="G40" s="30">
        <v>0</v>
      </c>
      <c r="H40" s="30">
        <v>1</v>
      </c>
      <c r="I40" s="32">
        <v>2000000</v>
      </c>
      <c r="J40" s="32">
        <v>1750000</v>
      </c>
      <c r="K40" s="30" t="s">
        <v>297</v>
      </c>
      <c r="L40" s="31">
        <v>46225</v>
      </c>
      <c r="M40" s="17"/>
      <c r="N40" s="17"/>
    </row>
  </sheetData>
  <mergeCells count="3">
    <mergeCell ref="A1:N1"/>
    <mergeCell ref="A2:B2"/>
    <mergeCell ref="C2:N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B256"/>
  <sheetViews>
    <sheetView zoomScale="99" zoomScaleNormal="99" workbookViewId="0">
      <pane ySplit="5" topLeftCell="A6" activePane="bottomLeft" state="frozen"/>
      <selection pane="bottomLeft" activeCell="D5" sqref="D5"/>
    </sheetView>
  </sheetViews>
  <sheetFormatPr defaultColWidth="8.6640625" defaultRowHeight="14.4" x14ac:dyDescent="0.3"/>
  <cols>
    <col min="1" max="1" width="14" customWidth="1"/>
    <col min="2" max="2" width="12" customWidth="1"/>
    <col min="3" max="3" width="18" customWidth="1"/>
    <col min="4" max="4" width="22" customWidth="1"/>
    <col min="5" max="5" width="53.88671875" bestFit="1" customWidth="1"/>
    <col min="6" max="6" width="43.88671875" customWidth="1"/>
    <col min="7" max="8" width="14.6640625" customWidth="1"/>
    <col min="9" max="9" width="16" customWidth="1"/>
    <col min="10" max="10" width="18" customWidth="1"/>
    <col min="11" max="11" width="14" customWidth="1"/>
    <col min="12" max="12" width="16" customWidth="1"/>
    <col min="13" max="13" width="12" customWidth="1"/>
    <col min="14" max="14" width="20" customWidth="1"/>
    <col min="15" max="15" width="14" customWidth="1"/>
    <col min="16" max="16" width="18" customWidth="1"/>
    <col min="17" max="17" width="14" customWidth="1"/>
    <col min="18" max="18" width="12" customWidth="1"/>
    <col min="19" max="19" width="16" customWidth="1"/>
    <col min="20" max="20" width="18" customWidth="1"/>
    <col min="21" max="21" width="40" customWidth="1"/>
    <col min="24" max="24" width="10.5546875" bestFit="1" customWidth="1"/>
  </cols>
  <sheetData>
    <row r="1" spans="1:28" ht="25.5" customHeight="1" x14ac:dyDescent="0.3">
      <c r="A1" s="90" t="s">
        <v>334</v>
      </c>
      <c r="B1" s="91"/>
      <c r="C1" s="91"/>
      <c r="D1" s="91"/>
      <c r="E1" s="91"/>
      <c r="F1" s="91"/>
      <c r="G1" s="91"/>
      <c r="H1" s="91"/>
      <c r="I1" s="91"/>
      <c r="J1" s="91"/>
      <c r="K1" s="91"/>
      <c r="L1" s="91"/>
      <c r="M1" s="91"/>
      <c r="N1" s="91"/>
      <c r="O1" s="91"/>
      <c r="P1" s="91"/>
      <c r="Q1" s="91"/>
      <c r="R1" s="91"/>
      <c r="S1" s="91"/>
      <c r="T1" s="91"/>
      <c r="U1" s="91"/>
    </row>
    <row r="2" spans="1:28" ht="19.5" customHeight="1" x14ac:dyDescent="0.3">
      <c r="A2" s="92" t="s">
        <v>1</v>
      </c>
      <c r="B2" s="93"/>
      <c r="C2" s="27"/>
      <c r="D2" s="92" t="s">
        <v>117</v>
      </c>
      <c r="E2" s="94"/>
      <c r="F2" s="94"/>
      <c r="G2" s="94"/>
      <c r="H2" s="94"/>
      <c r="I2" s="94"/>
      <c r="J2" s="94"/>
      <c r="K2" s="93"/>
      <c r="L2" s="92" t="s">
        <v>118</v>
      </c>
      <c r="M2" s="94"/>
      <c r="N2" s="94"/>
      <c r="O2" s="94"/>
      <c r="P2" s="94"/>
      <c r="Q2" s="94"/>
      <c r="R2" s="94"/>
      <c r="S2" s="94"/>
      <c r="T2" s="93"/>
      <c r="U2" s="94"/>
      <c r="V2" s="94"/>
      <c r="W2" s="94"/>
      <c r="X2" s="94"/>
      <c r="Y2" s="94"/>
      <c r="Z2" s="94"/>
      <c r="AA2" s="94"/>
      <c r="AB2" s="93"/>
    </row>
    <row r="3" spans="1:28" ht="36" customHeight="1" x14ac:dyDescent="0.3">
      <c r="A3" s="9" t="s">
        <v>4</v>
      </c>
      <c r="B3" s="9" t="s">
        <v>5</v>
      </c>
      <c r="C3" s="9" t="s">
        <v>6</v>
      </c>
      <c r="D3" s="9" t="s">
        <v>108</v>
      </c>
      <c r="E3" s="9" t="s">
        <v>119</v>
      </c>
      <c r="F3" s="9" t="s">
        <v>120</v>
      </c>
      <c r="G3" s="9" t="s">
        <v>121</v>
      </c>
      <c r="H3" s="9" t="s">
        <v>122</v>
      </c>
      <c r="I3" s="9" t="s">
        <v>123</v>
      </c>
      <c r="J3" s="9" t="s">
        <v>124</v>
      </c>
      <c r="K3" s="9" t="s">
        <v>125</v>
      </c>
      <c r="L3" s="10" t="s">
        <v>126</v>
      </c>
      <c r="M3" s="10" t="s">
        <v>127</v>
      </c>
      <c r="N3" s="10" t="s">
        <v>128</v>
      </c>
      <c r="O3" s="10" t="s">
        <v>129</v>
      </c>
      <c r="P3" s="10" t="s">
        <v>130</v>
      </c>
      <c r="Q3" s="10" t="s">
        <v>131</v>
      </c>
      <c r="R3" s="10" t="s">
        <v>132</v>
      </c>
      <c r="S3" s="10" t="s">
        <v>133</v>
      </c>
      <c r="T3" s="10" t="s">
        <v>8</v>
      </c>
      <c r="U3" s="10" t="s">
        <v>12</v>
      </c>
    </row>
    <row r="4" spans="1:28" ht="24" customHeight="1" x14ac:dyDescent="0.3">
      <c r="A4" s="12" t="s">
        <v>13</v>
      </c>
      <c r="B4" s="12" t="s">
        <v>14</v>
      </c>
      <c r="C4" s="12" t="s">
        <v>15</v>
      </c>
      <c r="D4" s="12" t="s">
        <v>134</v>
      </c>
      <c r="E4" s="12" t="s">
        <v>16</v>
      </c>
      <c r="F4" s="12" t="s">
        <v>135</v>
      </c>
      <c r="G4" s="12" t="s">
        <v>136</v>
      </c>
      <c r="H4" s="12" t="s">
        <v>137</v>
      </c>
      <c r="I4" s="12" t="s">
        <v>138</v>
      </c>
      <c r="J4" s="12" t="s">
        <v>139</v>
      </c>
      <c r="K4" s="12" t="s">
        <v>140</v>
      </c>
      <c r="L4" s="12" t="s">
        <v>141</v>
      </c>
      <c r="M4" s="12" t="s">
        <v>142</v>
      </c>
      <c r="N4" s="12" t="s">
        <v>143</v>
      </c>
      <c r="O4" s="12" t="s">
        <v>144</v>
      </c>
      <c r="P4" s="12" t="s">
        <v>145</v>
      </c>
      <c r="Q4" s="12" t="s">
        <v>146</v>
      </c>
      <c r="R4" s="12" t="s">
        <v>147</v>
      </c>
      <c r="S4" s="12" t="s">
        <v>148</v>
      </c>
      <c r="T4" s="12" t="s">
        <v>17</v>
      </c>
      <c r="U4" s="12" t="s">
        <v>19</v>
      </c>
    </row>
    <row r="5" spans="1:28" ht="18" customHeight="1" x14ac:dyDescent="0.3">
      <c r="A5" s="23" t="s">
        <v>20</v>
      </c>
      <c r="B5" s="23" t="s">
        <v>20</v>
      </c>
      <c r="C5" s="23" t="s">
        <v>20</v>
      </c>
      <c r="D5" s="23" t="s">
        <v>20</v>
      </c>
      <c r="E5" s="23" t="s">
        <v>20</v>
      </c>
      <c r="F5" s="23" t="s">
        <v>20</v>
      </c>
      <c r="G5" s="23" t="s">
        <v>20</v>
      </c>
      <c r="H5" s="23" t="s">
        <v>20</v>
      </c>
      <c r="I5" s="23" t="s">
        <v>20</v>
      </c>
      <c r="J5" s="23" t="s">
        <v>20</v>
      </c>
      <c r="K5" s="23" t="s">
        <v>20</v>
      </c>
      <c r="L5" s="24" t="s">
        <v>21</v>
      </c>
      <c r="M5" s="24" t="s">
        <v>21</v>
      </c>
      <c r="N5" s="24" t="s">
        <v>21</v>
      </c>
      <c r="O5" s="24" t="s">
        <v>21</v>
      </c>
      <c r="P5" s="24" t="s">
        <v>21</v>
      </c>
      <c r="Q5" s="24" t="s">
        <v>21</v>
      </c>
      <c r="R5" s="24" t="s">
        <v>21</v>
      </c>
      <c r="S5" s="24" t="s">
        <v>21</v>
      </c>
      <c r="T5" s="24" t="s">
        <v>21</v>
      </c>
      <c r="U5" s="24" t="s">
        <v>21</v>
      </c>
    </row>
    <row r="6" spans="1:28" s="40" customFormat="1" ht="18" customHeight="1" x14ac:dyDescent="0.25">
      <c r="A6" s="30" t="s">
        <v>114</v>
      </c>
      <c r="B6" s="33" t="s">
        <v>23</v>
      </c>
      <c r="C6" s="33" t="s">
        <v>24</v>
      </c>
      <c r="D6" s="32" t="s">
        <v>340</v>
      </c>
      <c r="E6" s="48" t="s">
        <v>342</v>
      </c>
      <c r="F6" s="48" t="s">
        <v>149</v>
      </c>
      <c r="G6" s="48" t="s">
        <v>150</v>
      </c>
      <c r="H6" s="48" t="s">
        <v>352</v>
      </c>
      <c r="I6" s="33" t="s">
        <v>151</v>
      </c>
      <c r="J6" s="49">
        <v>45749</v>
      </c>
      <c r="K6" s="50">
        <v>250000</v>
      </c>
      <c r="L6" s="51" t="s">
        <v>152</v>
      </c>
      <c r="M6" s="33">
        <v>101</v>
      </c>
      <c r="N6" s="51" t="s">
        <v>153</v>
      </c>
      <c r="O6" s="33">
        <v>101</v>
      </c>
      <c r="P6" s="33" t="s">
        <v>154</v>
      </c>
      <c r="Q6" s="52">
        <v>6.1507199764251702E-2</v>
      </c>
      <c r="R6" s="52">
        <v>5.6114689999999995E-2</v>
      </c>
      <c r="S6" s="53">
        <v>1.6666666666666668E-3</v>
      </c>
      <c r="T6" s="33" t="s">
        <v>155</v>
      </c>
      <c r="U6" s="33"/>
      <c r="V6" s="40" t="str">
        <f>VLOOKUP(L6,[1]Sheet1!$B:$C,2,0)</f>
        <v>Earthquake / Japan</v>
      </c>
    </row>
    <row r="7" spans="1:28" s="40" customFormat="1" ht="18" customHeight="1" x14ac:dyDescent="0.25">
      <c r="A7" s="30" t="s">
        <v>114</v>
      </c>
      <c r="B7" s="33" t="s">
        <v>23</v>
      </c>
      <c r="C7" s="33" t="s">
        <v>25</v>
      </c>
      <c r="D7" s="32" t="s">
        <v>340</v>
      </c>
      <c r="E7" s="48" t="s">
        <v>343</v>
      </c>
      <c r="F7" s="48" t="s">
        <v>156</v>
      </c>
      <c r="G7" s="48" t="s">
        <v>157</v>
      </c>
      <c r="H7" s="48" t="s">
        <v>352</v>
      </c>
      <c r="I7" s="33" t="s">
        <v>151</v>
      </c>
      <c r="J7" s="49">
        <v>45751</v>
      </c>
      <c r="K7" s="50">
        <v>250000</v>
      </c>
      <c r="L7" s="51" t="s">
        <v>158</v>
      </c>
      <c r="M7" s="33">
        <v>100.2</v>
      </c>
      <c r="N7" s="51" t="s">
        <v>153</v>
      </c>
      <c r="O7" s="33">
        <v>100.2</v>
      </c>
      <c r="P7" s="33" t="s">
        <v>159</v>
      </c>
      <c r="Q7" s="52">
        <v>0.1041071997642517</v>
      </c>
      <c r="R7" s="52">
        <v>0.10300053000000001</v>
      </c>
      <c r="S7" s="53">
        <v>8.3333333333333332E-3</v>
      </c>
      <c r="T7" s="33" t="s">
        <v>155</v>
      </c>
      <c r="U7" s="33"/>
      <c r="V7" s="40" t="str">
        <f>VLOOKUP(L7,[1]Sheet1!$B:$C,2,0)</f>
        <v>Earthquake / U.S., Canada, Puerto Rico, U.S. VI ; Named Storm / U.S., Puerto Rico, U.S. VI</v>
      </c>
    </row>
    <row r="8" spans="1:28" s="40" customFormat="1" ht="18" customHeight="1" x14ac:dyDescent="0.25">
      <c r="A8" s="30" t="s">
        <v>114</v>
      </c>
      <c r="B8" s="33" t="s">
        <v>23</v>
      </c>
      <c r="C8" s="33" t="s">
        <v>26</v>
      </c>
      <c r="D8" s="32" t="s">
        <v>340</v>
      </c>
      <c r="E8" s="48" t="s">
        <v>344</v>
      </c>
      <c r="F8" s="48" t="s">
        <v>161</v>
      </c>
      <c r="G8" s="48" t="s">
        <v>162</v>
      </c>
      <c r="H8" s="48" t="s">
        <v>352</v>
      </c>
      <c r="I8" s="33" t="s">
        <v>151</v>
      </c>
      <c r="J8" s="49">
        <v>45751</v>
      </c>
      <c r="K8" s="50">
        <v>250000</v>
      </c>
      <c r="L8" s="51" t="s">
        <v>163</v>
      </c>
      <c r="M8" s="33">
        <v>102.85</v>
      </c>
      <c r="N8" s="51" t="s">
        <v>153</v>
      </c>
      <c r="O8" s="33">
        <v>102.85</v>
      </c>
      <c r="P8" s="33" t="s">
        <v>154</v>
      </c>
      <c r="Q8" s="52">
        <v>9.0999999999999998E-2</v>
      </c>
      <c r="R8" s="52">
        <v>7.670283E-2</v>
      </c>
      <c r="S8" s="53">
        <v>1.25E-3</v>
      </c>
      <c r="T8" s="33" t="s">
        <v>155</v>
      </c>
      <c r="U8" s="33"/>
      <c r="V8" s="40" t="str">
        <f>VLOOKUP(L8,[1]Sheet1!$B:$C,2,0)</f>
        <v>Named Storm / North Carolina</v>
      </c>
    </row>
    <row r="9" spans="1:28" s="40" customFormat="1" ht="18" customHeight="1" x14ac:dyDescent="0.25">
      <c r="A9" s="30" t="s">
        <v>114</v>
      </c>
      <c r="B9" s="33" t="s">
        <v>23</v>
      </c>
      <c r="C9" s="33" t="s">
        <v>28</v>
      </c>
      <c r="D9" s="32" t="s">
        <v>340</v>
      </c>
      <c r="E9" s="48" t="s">
        <v>345</v>
      </c>
      <c r="F9" s="48" t="s">
        <v>164</v>
      </c>
      <c r="G9" s="48" t="s">
        <v>165</v>
      </c>
      <c r="H9" s="48" t="s">
        <v>352</v>
      </c>
      <c r="I9" s="33" t="s">
        <v>151</v>
      </c>
      <c r="J9" s="49">
        <v>45751</v>
      </c>
      <c r="K9" s="50">
        <v>250000</v>
      </c>
      <c r="L9" s="51" t="s">
        <v>166</v>
      </c>
      <c r="M9" s="33">
        <v>101</v>
      </c>
      <c r="N9" s="51" t="s">
        <v>153</v>
      </c>
      <c r="O9" s="33">
        <v>101</v>
      </c>
      <c r="P9" s="33" t="s">
        <v>154</v>
      </c>
      <c r="Q9" s="52">
        <v>6.699999999999999E-2</v>
      </c>
      <c r="R9" s="52">
        <v>5.9638299999999998E-2</v>
      </c>
      <c r="S9" s="53">
        <v>2.0833333333333333E-3</v>
      </c>
      <c r="T9" s="33" t="s">
        <v>155</v>
      </c>
      <c r="U9" s="33"/>
      <c r="V9" s="40" t="str">
        <f>VLOOKUP(L9,[1]Sheet1!$B:$C,2,0)</f>
        <v>Typhoon ; Flood / Japan</v>
      </c>
    </row>
    <row r="10" spans="1:28" s="40" customFormat="1" ht="18" customHeight="1" x14ac:dyDescent="0.25">
      <c r="A10" s="30" t="s">
        <v>114</v>
      </c>
      <c r="B10" s="33" t="s">
        <v>23</v>
      </c>
      <c r="C10" s="33" t="s">
        <v>29</v>
      </c>
      <c r="D10" s="32" t="s">
        <v>340</v>
      </c>
      <c r="E10" s="48" t="s">
        <v>346</v>
      </c>
      <c r="F10" s="48" t="s">
        <v>167</v>
      </c>
      <c r="G10" s="48" t="s">
        <v>168</v>
      </c>
      <c r="H10" s="48" t="s">
        <v>353</v>
      </c>
      <c r="I10" s="33" t="s">
        <v>151</v>
      </c>
      <c r="J10" s="49">
        <v>45751</v>
      </c>
      <c r="K10" s="50">
        <v>250000</v>
      </c>
      <c r="L10" s="51" t="s">
        <v>169</v>
      </c>
      <c r="M10" s="33">
        <v>103.95</v>
      </c>
      <c r="N10" s="51" t="s">
        <v>153</v>
      </c>
      <c r="O10" s="33">
        <v>103.95</v>
      </c>
      <c r="P10" s="33" t="s">
        <v>159</v>
      </c>
      <c r="Q10" s="52">
        <v>9.3599999999999989E-2</v>
      </c>
      <c r="R10" s="52">
        <v>7.1220699999999998E-2</v>
      </c>
      <c r="S10" s="53">
        <v>8.3333333333333339E-4</v>
      </c>
      <c r="T10" s="33" t="s">
        <v>155</v>
      </c>
      <c r="U10" s="33"/>
      <c r="V10" s="40" t="str">
        <f>VLOOKUP(L10,[1]Sheet1!$B:$C,2,0)</f>
        <v>Earthquake / California</v>
      </c>
    </row>
    <row r="11" spans="1:28" s="40" customFormat="1" ht="18" customHeight="1" x14ac:dyDescent="0.25">
      <c r="A11" s="30" t="s">
        <v>114</v>
      </c>
      <c r="B11" s="33" t="s">
        <v>23</v>
      </c>
      <c r="C11" s="33" t="s">
        <v>30</v>
      </c>
      <c r="D11" s="32" t="s">
        <v>340</v>
      </c>
      <c r="E11" s="48" t="s">
        <v>347</v>
      </c>
      <c r="F11" s="48" t="s">
        <v>161</v>
      </c>
      <c r="G11" s="48" t="s">
        <v>157</v>
      </c>
      <c r="H11" s="48" t="s">
        <v>354</v>
      </c>
      <c r="I11" s="33" t="s">
        <v>151</v>
      </c>
      <c r="J11" s="49">
        <v>45755</v>
      </c>
      <c r="K11" s="50">
        <v>250000</v>
      </c>
      <c r="L11" s="51" t="s">
        <v>170</v>
      </c>
      <c r="M11" s="33">
        <v>100.25</v>
      </c>
      <c r="N11" s="51" t="s">
        <v>153</v>
      </c>
      <c r="O11" s="33">
        <v>100.25</v>
      </c>
      <c r="P11" s="33" t="s">
        <v>154</v>
      </c>
      <c r="Q11" s="52">
        <v>7.3784539999999996E-2</v>
      </c>
      <c r="R11" s="52">
        <v>7.5587660000000001E-2</v>
      </c>
      <c r="S11" s="53">
        <v>8.3333333333333339E-4</v>
      </c>
      <c r="T11" s="33" t="s">
        <v>155</v>
      </c>
      <c r="U11" s="33"/>
      <c r="V11" s="40" t="str">
        <f>VLOOKUP(L11,[1]Sheet1!$B:$C,2,0)</f>
        <v>Earthquake / U.S.</v>
      </c>
    </row>
    <row r="12" spans="1:28" s="40" customFormat="1" ht="18" customHeight="1" x14ac:dyDescent="0.25">
      <c r="A12" s="30" t="s">
        <v>114</v>
      </c>
      <c r="B12" s="33" t="s">
        <v>23</v>
      </c>
      <c r="C12" s="33" t="s">
        <v>31</v>
      </c>
      <c r="D12" s="32" t="s">
        <v>340</v>
      </c>
      <c r="E12" s="48" t="s">
        <v>348</v>
      </c>
      <c r="F12" s="48" t="s">
        <v>161</v>
      </c>
      <c r="G12" s="48" t="s">
        <v>150</v>
      </c>
      <c r="H12" s="48" t="s">
        <v>352</v>
      </c>
      <c r="I12" s="33" t="s">
        <v>151</v>
      </c>
      <c r="J12" s="49">
        <v>45755</v>
      </c>
      <c r="K12" s="50">
        <v>250000</v>
      </c>
      <c r="L12" s="51" t="s">
        <v>355</v>
      </c>
      <c r="M12" s="33">
        <v>100.65</v>
      </c>
      <c r="N12" s="51" t="s">
        <v>153</v>
      </c>
      <c r="O12" s="33">
        <v>100.65</v>
      </c>
      <c r="P12" s="33" t="s">
        <v>159</v>
      </c>
      <c r="Q12" s="52">
        <v>8.9900000000000008E-2</v>
      </c>
      <c r="R12" s="52">
        <v>9.0425339999999993E-2</v>
      </c>
      <c r="S12" s="53">
        <v>1.25E-3</v>
      </c>
      <c r="T12" s="33" t="s">
        <v>155</v>
      </c>
      <c r="U12" s="33"/>
      <c r="V12" s="40" t="str">
        <f>VLOOKUP(L12,[1]Sheet1!$B:$C,2,0)</f>
        <v>Earthquake ; Named Storm / U.S., Canada, Caribbean</v>
      </c>
    </row>
    <row r="13" spans="1:28" s="40" customFormat="1" ht="18" customHeight="1" x14ac:dyDescent="0.25">
      <c r="A13" s="30" t="s">
        <v>114</v>
      </c>
      <c r="B13" s="33" t="s">
        <v>23</v>
      </c>
      <c r="C13" s="33" t="s">
        <v>32</v>
      </c>
      <c r="D13" s="32" t="s">
        <v>340</v>
      </c>
      <c r="E13" s="48" t="s">
        <v>349</v>
      </c>
      <c r="F13" s="48" t="s">
        <v>161</v>
      </c>
      <c r="G13" s="48" t="s">
        <v>150</v>
      </c>
      <c r="H13" s="48" t="s">
        <v>352</v>
      </c>
      <c r="I13" s="33" t="s">
        <v>151</v>
      </c>
      <c r="J13" s="49">
        <v>45756</v>
      </c>
      <c r="K13" s="50">
        <v>250000</v>
      </c>
      <c r="L13" s="51" t="s">
        <v>356</v>
      </c>
      <c r="M13" s="33">
        <v>102.3</v>
      </c>
      <c r="N13" s="51" t="s">
        <v>153</v>
      </c>
      <c r="O13" s="33">
        <v>102.3</v>
      </c>
      <c r="P13" s="33" t="s">
        <v>154</v>
      </c>
      <c r="Q13" s="52">
        <v>7.8799999999999995E-2</v>
      </c>
      <c r="R13" s="52">
        <v>6.796395999999999E-2</v>
      </c>
      <c r="S13" s="53">
        <v>9.8039215686274508E-4</v>
      </c>
      <c r="T13" s="33" t="s">
        <v>155</v>
      </c>
      <c r="U13" s="33"/>
      <c r="V13" s="40" t="str">
        <f>VLOOKUP(L13,[1]Sheet1!$B:$C,2,0)</f>
        <v>Named Storm / Texas</v>
      </c>
    </row>
    <row r="14" spans="1:28" s="40" customFormat="1" ht="18" customHeight="1" x14ac:dyDescent="0.25">
      <c r="A14" s="30" t="s">
        <v>114</v>
      </c>
      <c r="B14" s="33" t="s">
        <v>23</v>
      </c>
      <c r="C14" s="33" t="s">
        <v>33</v>
      </c>
      <c r="D14" s="32" t="s">
        <v>340</v>
      </c>
      <c r="E14" s="48" t="s">
        <v>350</v>
      </c>
      <c r="F14" s="48" t="s">
        <v>161</v>
      </c>
      <c r="G14" s="48" t="s">
        <v>162</v>
      </c>
      <c r="H14" s="48" t="s">
        <v>352</v>
      </c>
      <c r="I14" s="33" t="s">
        <v>151</v>
      </c>
      <c r="J14" s="49">
        <v>45756</v>
      </c>
      <c r="K14" s="50">
        <v>250000</v>
      </c>
      <c r="L14" s="51" t="s">
        <v>357</v>
      </c>
      <c r="M14" s="33">
        <v>102.2</v>
      </c>
      <c r="N14" s="51" t="s">
        <v>153</v>
      </c>
      <c r="O14" s="33">
        <v>102.2</v>
      </c>
      <c r="P14" s="33" t="s">
        <v>159</v>
      </c>
      <c r="Q14" s="52">
        <v>8.9099999999999999E-2</v>
      </c>
      <c r="R14" s="52">
        <v>8.1303790000000001E-2</v>
      </c>
      <c r="S14" s="53">
        <v>2.5000000000000001E-3</v>
      </c>
      <c r="T14" s="33" t="s">
        <v>155</v>
      </c>
      <c r="U14" s="33"/>
      <c r="V14" s="40" t="str">
        <f>VLOOKUP(L14,[1]Sheet1!$B:$C,2,0)</f>
        <v>All Natural Perils / Northeast U.S.</v>
      </c>
    </row>
    <row r="15" spans="1:28" s="40" customFormat="1" ht="18" customHeight="1" x14ac:dyDescent="0.25">
      <c r="A15" s="30" t="s">
        <v>114</v>
      </c>
      <c r="B15" s="33" t="s">
        <v>23</v>
      </c>
      <c r="C15" s="33" t="s">
        <v>34</v>
      </c>
      <c r="D15" s="32" t="s">
        <v>340</v>
      </c>
      <c r="E15" s="48" t="s">
        <v>351</v>
      </c>
      <c r="F15" s="48" t="s">
        <v>161</v>
      </c>
      <c r="G15" s="48" t="s">
        <v>162</v>
      </c>
      <c r="H15" s="48" t="s">
        <v>352</v>
      </c>
      <c r="I15" s="33" t="s">
        <v>151</v>
      </c>
      <c r="J15" s="49">
        <v>45756</v>
      </c>
      <c r="K15" s="50">
        <v>250000</v>
      </c>
      <c r="L15" s="51" t="s">
        <v>358</v>
      </c>
      <c r="M15" s="33">
        <v>102.6</v>
      </c>
      <c r="N15" s="51" t="s">
        <v>153</v>
      </c>
      <c r="O15" s="33">
        <v>102.6</v>
      </c>
      <c r="P15" s="33" t="s">
        <v>159</v>
      </c>
      <c r="Q15" s="52">
        <v>9.3299999999999994E-2</v>
      </c>
      <c r="R15" s="52">
        <v>8.2204429999999995E-2</v>
      </c>
      <c r="S15" s="53">
        <v>2.5000000000000001E-3</v>
      </c>
      <c r="T15" s="33" t="s">
        <v>155</v>
      </c>
      <c r="U15" s="33"/>
      <c r="V15" s="40" t="str">
        <f>VLOOKUP(L15,[1]Sheet1!$B:$C,2,0)</f>
        <v>All Natural Perils / U.S. (excl. FL)</v>
      </c>
    </row>
    <row r="16" spans="1:28" s="40" customFormat="1" ht="12" x14ac:dyDescent="0.25">
      <c r="A16" s="30" t="s">
        <v>339</v>
      </c>
      <c r="B16" s="33" t="s">
        <v>23</v>
      </c>
      <c r="C16" s="33" t="s">
        <v>24</v>
      </c>
      <c r="D16" s="32" t="s">
        <v>340</v>
      </c>
      <c r="E16" s="48" t="s">
        <v>342</v>
      </c>
      <c r="F16" s="48" t="s">
        <v>149</v>
      </c>
      <c r="G16" s="48" t="s">
        <v>150</v>
      </c>
      <c r="H16" s="48" t="s">
        <v>352</v>
      </c>
      <c r="I16" s="33" t="s">
        <v>151</v>
      </c>
      <c r="J16" s="49">
        <v>45749</v>
      </c>
      <c r="K16" s="50">
        <v>250000</v>
      </c>
      <c r="L16" s="51" t="s">
        <v>152</v>
      </c>
      <c r="M16" s="33">
        <v>101</v>
      </c>
      <c r="N16" s="51" t="s">
        <v>153</v>
      </c>
      <c r="O16" s="33">
        <v>101</v>
      </c>
      <c r="P16" s="33" t="s">
        <v>154</v>
      </c>
      <c r="Q16" s="52">
        <v>6.1507199764251702E-2</v>
      </c>
      <c r="R16" s="52">
        <v>5.6114689999999995E-2</v>
      </c>
      <c r="S16" s="53">
        <v>1.6666666666666668E-3</v>
      </c>
      <c r="T16" s="33" t="s">
        <v>155</v>
      </c>
      <c r="U16" s="33"/>
      <c r="V16" s="40" t="str">
        <f>VLOOKUP(L16,[1]Sheet1!$B:$C,2,0)</f>
        <v>Earthquake / Japan</v>
      </c>
    </row>
    <row r="17" spans="1:22" s="40" customFormat="1" ht="12" x14ac:dyDescent="0.25">
      <c r="A17" s="30" t="s">
        <v>339</v>
      </c>
      <c r="B17" s="33" t="s">
        <v>23</v>
      </c>
      <c r="C17" s="33" t="s">
        <v>25</v>
      </c>
      <c r="D17" s="32" t="s">
        <v>340</v>
      </c>
      <c r="E17" s="48" t="s">
        <v>343</v>
      </c>
      <c r="F17" s="48" t="s">
        <v>156</v>
      </c>
      <c r="G17" s="48" t="s">
        <v>157</v>
      </c>
      <c r="H17" s="48" t="s">
        <v>352</v>
      </c>
      <c r="I17" s="33" t="s">
        <v>151</v>
      </c>
      <c r="J17" s="49">
        <v>45751</v>
      </c>
      <c r="K17" s="50">
        <v>250000</v>
      </c>
      <c r="L17" s="51" t="s">
        <v>158</v>
      </c>
      <c r="M17" s="33">
        <v>100.2</v>
      </c>
      <c r="N17" s="51" t="s">
        <v>153</v>
      </c>
      <c r="O17" s="33">
        <v>100.2</v>
      </c>
      <c r="P17" s="33" t="s">
        <v>159</v>
      </c>
      <c r="Q17" s="52">
        <v>0.1041071997642517</v>
      </c>
      <c r="R17" s="52">
        <v>0.10300053000000001</v>
      </c>
      <c r="S17" s="53">
        <v>8.3333333333333332E-3</v>
      </c>
      <c r="T17" s="33" t="s">
        <v>155</v>
      </c>
      <c r="U17" s="33"/>
      <c r="V17" s="40" t="str">
        <f>VLOOKUP(L17,[1]Sheet1!$B:$C,2,0)</f>
        <v>Earthquake / U.S., Canada, Puerto Rico, U.S. VI ; Named Storm / U.S., Puerto Rico, U.S. VI</v>
      </c>
    </row>
    <row r="18" spans="1:22" s="40" customFormat="1" ht="12" x14ac:dyDescent="0.25">
      <c r="A18" s="30" t="s">
        <v>339</v>
      </c>
      <c r="B18" s="33" t="s">
        <v>23</v>
      </c>
      <c r="C18" s="33" t="s">
        <v>26</v>
      </c>
      <c r="D18" s="32" t="s">
        <v>340</v>
      </c>
      <c r="E18" s="48" t="s">
        <v>344</v>
      </c>
      <c r="F18" s="48" t="s">
        <v>161</v>
      </c>
      <c r="G18" s="48" t="s">
        <v>162</v>
      </c>
      <c r="H18" s="48" t="s">
        <v>352</v>
      </c>
      <c r="I18" s="33" t="s">
        <v>151</v>
      </c>
      <c r="J18" s="49">
        <v>45751</v>
      </c>
      <c r="K18" s="50">
        <v>250000</v>
      </c>
      <c r="L18" s="51" t="s">
        <v>163</v>
      </c>
      <c r="M18" s="33">
        <v>102.85</v>
      </c>
      <c r="N18" s="51" t="s">
        <v>153</v>
      </c>
      <c r="O18" s="33">
        <v>102.85</v>
      </c>
      <c r="P18" s="33" t="s">
        <v>154</v>
      </c>
      <c r="Q18" s="52">
        <v>9.0999999999999998E-2</v>
      </c>
      <c r="R18" s="52">
        <v>7.670283E-2</v>
      </c>
      <c r="S18" s="53">
        <v>1.25E-3</v>
      </c>
      <c r="T18" s="33" t="s">
        <v>155</v>
      </c>
      <c r="U18" s="33"/>
      <c r="V18" s="40" t="str">
        <f>VLOOKUP(L18,[1]Sheet1!$B:$C,2,0)</f>
        <v>Named Storm / North Carolina</v>
      </c>
    </row>
    <row r="19" spans="1:22" s="40" customFormat="1" ht="12" x14ac:dyDescent="0.25">
      <c r="A19" s="30" t="s">
        <v>339</v>
      </c>
      <c r="B19" s="33" t="s">
        <v>23</v>
      </c>
      <c r="C19" s="33" t="s">
        <v>28</v>
      </c>
      <c r="D19" s="32" t="s">
        <v>340</v>
      </c>
      <c r="E19" s="48" t="s">
        <v>345</v>
      </c>
      <c r="F19" s="48" t="s">
        <v>164</v>
      </c>
      <c r="G19" s="48" t="s">
        <v>165</v>
      </c>
      <c r="H19" s="48" t="s">
        <v>352</v>
      </c>
      <c r="I19" s="33" t="s">
        <v>151</v>
      </c>
      <c r="J19" s="49">
        <v>45751</v>
      </c>
      <c r="K19" s="50">
        <v>250000</v>
      </c>
      <c r="L19" s="51" t="s">
        <v>166</v>
      </c>
      <c r="M19" s="33">
        <v>101</v>
      </c>
      <c r="N19" s="51" t="s">
        <v>153</v>
      </c>
      <c r="O19" s="33">
        <v>101</v>
      </c>
      <c r="P19" s="33" t="s">
        <v>154</v>
      </c>
      <c r="Q19" s="52">
        <v>6.699999999999999E-2</v>
      </c>
      <c r="R19" s="52">
        <v>5.9638299999999998E-2</v>
      </c>
      <c r="S19" s="53">
        <v>2.0833333333333333E-3</v>
      </c>
      <c r="T19" s="33" t="s">
        <v>155</v>
      </c>
      <c r="U19" s="33"/>
      <c r="V19" s="40" t="str">
        <f>VLOOKUP(L19,[1]Sheet1!$B:$C,2,0)</f>
        <v>Typhoon ; Flood / Japan</v>
      </c>
    </row>
    <row r="20" spans="1:22" s="40" customFormat="1" ht="12" x14ac:dyDescent="0.25">
      <c r="A20" s="30" t="s">
        <v>339</v>
      </c>
      <c r="B20" s="33" t="s">
        <v>23</v>
      </c>
      <c r="C20" s="33" t="s">
        <v>29</v>
      </c>
      <c r="D20" s="32" t="s">
        <v>340</v>
      </c>
      <c r="E20" s="48" t="s">
        <v>346</v>
      </c>
      <c r="F20" s="48" t="s">
        <v>167</v>
      </c>
      <c r="G20" s="48" t="s">
        <v>168</v>
      </c>
      <c r="H20" s="48" t="s">
        <v>353</v>
      </c>
      <c r="I20" s="33" t="s">
        <v>151</v>
      </c>
      <c r="J20" s="49">
        <v>45751</v>
      </c>
      <c r="K20" s="50">
        <v>250000</v>
      </c>
      <c r="L20" s="51" t="s">
        <v>169</v>
      </c>
      <c r="M20" s="33">
        <v>103.95</v>
      </c>
      <c r="N20" s="51" t="s">
        <v>153</v>
      </c>
      <c r="O20" s="33">
        <v>103.95</v>
      </c>
      <c r="P20" s="33" t="s">
        <v>159</v>
      </c>
      <c r="Q20" s="52">
        <v>9.3599999999999989E-2</v>
      </c>
      <c r="R20" s="52">
        <v>7.1220699999999998E-2</v>
      </c>
      <c r="S20" s="53">
        <v>8.3333333333333339E-4</v>
      </c>
      <c r="T20" s="33" t="s">
        <v>155</v>
      </c>
      <c r="U20" s="33"/>
      <c r="V20" s="40" t="str">
        <f>VLOOKUP(L20,[1]Sheet1!$B:$C,2,0)</f>
        <v>Earthquake / California</v>
      </c>
    </row>
    <row r="21" spans="1:22" s="40" customFormat="1" ht="12" x14ac:dyDescent="0.25">
      <c r="A21" s="30" t="s">
        <v>339</v>
      </c>
      <c r="B21" s="33" t="s">
        <v>23</v>
      </c>
      <c r="C21" s="33" t="s">
        <v>30</v>
      </c>
      <c r="D21" s="32" t="s">
        <v>340</v>
      </c>
      <c r="E21" s="48" t="s">
        <v>347</v>
      </c>
      <c r="F21" s="48" t="s">
        <v>161</v>
      </c>
      <c r="G21" s="48" t="s">
        <v>157</v>
      </c>
      <c r="H21" s="48" t="s">
        <v>354</v>
      </c>
      <c r="I21" s="33" t="s">
        <v>151</v>
      </c>
      <c r="J21" s="49">
        <v>45755</v>
      </c>
      <c r="K21" s="50">
        <v>250000</v>
      </c>
      <c r="L21" s="51" t="s">
        <v>170</v>
      </c>
      <c r="M21" s="33">
        <v>100.25</v>
      </c>
      <c r="N21" s="51" t="s">
        <v>153</v>
      </c>
      <c r="O21" s="33">
        <v>100.25</v>
      </c>
      <c r="P21" s="33" t="s">
        <v>154</v>
      </c>
      <c r="Q21" s="52">
        <v>7.3784539999999996E-2</v>
      </c>
      <c r="R21" s="52">
        <v>7.5587660000000001E-2</v>
      </c>
      <c r="S21" s="53">
        <v>8.3333333333333339E-4</v>
      </c>
      <c r="T21" s="33" t="s">
        <v>155</v>
      </c>
      <c r="U21" s="33"/>
      <c r="V21" s="40" t="str">
        <f>VLOOKUP(L21,[1]Sheet1!$B:$C,2,0)</f>
        <v>Earthquake / U.S.</v>
      </c>
    </row>
    <row r="22" spans="1:22" s="40" customFormat="1" ht="12" x14ac:dyDescent="0.25">
      <c r="A22" s="30" t="s">
        <v>339</v>
      </c>
      <c r="B22" s="33" t="s">
        <v>23</v>
      </c>
      <c r="C22" s="33" t="s">
        <v>31</v>
      </c>
      <c r="D22" s="32" t="s">
        <v>340</v>
      </c>
      <c r="E22" s="48" t="s">
        <v>348</v>
      </c>
      <c r="F22" s="48" t="s">
        <v>161</v>
      </c>
      <c r="G22" s="48" t="s">
        <v>150</v>
      </c>
      <c r="H22" s="48" t="s">
        <v>352</v>
      </c>
      <c r="I22" s="33" t="s">
        <v>151</v>
      </c>
      <c r="J22" s="49">
        <v>45755</v>
      </c>
      <c r="K22" s="50">
        <v>250000</v>
      </c>
      <c r="L22" s="51" t="s">
        <v>355</v>
      </c>
      <c r="M22" s="33">
        <v>100.65</v>
      </c>
      <c r="N22" s="51" t="s">
        <v>153</v>
      </c>
      <c r="O22" s="33">
        <v>100.65</v>
      </c>
      <c r="P22" s="33" t="s">
        <v>159</v>
      </c>
      <c r="Q22" s="52">
        <v>8.9900000000000008E-2</v>
      </c>
      <c r="R22" s="52">
        <v>9.0425339999999993E-2</v>
      </c>
      <c r="S22" s="53">
        <v>1.25E-3</v>
      </c>
      <c r="T22" s="33" t="s">
        <v>155</v>
      </c>
      <c r="U22" s="33"/>
      <c r="V22" s="40" t="str">
        <f>VLOOKUP(L22,[1]Sheet1!$B:$C,2,0)</f>
        <v>Earthquake ; Named Storm / U.S., Canada, Caribbean</v>
      </c>
    </row>
    <row r="23" spans="1:22" s="40" customFormat="1" ht="12" x14ac:dyDescent="0.25">
      <c r="A23" s="30" t="s">
        <v>339</v>
      </c>
      <c r="B23" s="33" t="s">
        <v>23</v>
      </c>
      <c r="C23" s="33" t="s">
        <v>32</v>
      </c>
      <c r="D23" s="32" t="s">
        <v>340</v>
      </c>
      <c r="E23" s="48" t="s">
        <v>349</v>
      </c>
      <c r="F23" s="48" t="s">
        <v>161</v>
      </c>
      <c r="G23" s="48" t="s">
        <v>150</v>
      </c>
      <c r="H23" s="48" t="s">
        <v>352</v>
      </c>
      <c r="I23" s="33" t="s">
        <v>151</v>
      </c>
      <c r="J23" s="49">
        <v>45756</v>
      </c>
      <c r="K23" s="50">
        <v>250000</v>
      </c>
      <c r="L23" s="51" t="s">
        <v>356</v>
      </c>
      <c r="M23" s="33">
        <v>102.3</v>
      </c>
      <c r="N23" s="51" t="s">
        <v>153</v>
      </c>
      <c r="O23" s="33">
        <v>102.3</v>
      </c>
      <c r="P23" s="33" t="s">
        <v>154</v>
      </c>
      <c r="Q23" s="52">
        <v>7.8799999999999995E-2</v>
      </c>
      <c r="R23" s="52">
        <v>6.796395999999999E-2</v>
      </c>
      <c r="S23" s="53">
        <v>9.8039215686274508E-4</v>
      </c>
      <c r="T23" s="33" t="s">
        <v>155</v>
      </c>
      <c r="U23" s="33"/>
      <c r="V23" s="40" t="str">
        <f>VLOOKUP(L23,[1]Sheet1!$B:$C,2,0)</f>
        <v>Named Storm / Texas</v>
      </c>
    </row>
    <row r="24" spans="1:22" s="40" customFormat="1" ht="12" x14ac:dyDescent="0.25">
      <c r="A24" s="30" t="s">
        <v>339</v>
      </c>
      <c r="B24" s="33" t="s">
        <v>23</v>
      </c>
      <c r="C24" s="33" t="s">
        <v>33</v>
      </c>
      <c r="D24" s="32" t="s">
        <v>340</v>
      </c>
      <c r="E24" s="48" t="s">
        <v>350</v>
      </c>
      <c r="F24" s="48" t="s">
        <v>161</v>
      </c>
      <c r="G24" s="48" t="s">
        <v>162</v>
      </c>
      <c r="H24" s="48" t="s">
        <v>352</v>
      </c>
      <c r="I24" s="33" t="s">
        <v>151</v>
      </c>
      <c r="J24" s="49">
        <v>45756</v>
      </c>
      <c r="K24" s="50">
        <v>250000</v>
      </c>
      <c r="L24" s="51" t="s">
        <v>357</v>
      </c>
      <c r="M24" s="33">
        <v>102.2</v>
      </c>
      <c r="N24" s="51" t="s">
        <v>153</v>
      </c>
      <c r="O24" s="33">
        <v>102.2</v>
      </c>
      <c r="P24" s="33" t="s">
        <v>159</v>
      </c>
      <c r="Q24" s="52">
        <v>8.9099999999999999E-2</v>
      </c>
      <c r="R24" s="52">
        <v>8.1303790000000001E-2</v>
      </c>
      <c r="S24" s="53">
        <v>2.5000000000000001E-3</v>
      </c>
      <c r="T24" s="33" t="s">
        <v>155</v>
      </c>
      <c r="U24" s="33"/>
      <c r="V24" s="40" t="str">
        <f>VLOOKUP(L24,[1]Sheet1!$B:$C,2,0)</f>
        <v>All Natural Perils / Northeast U.S.</v>
      </c>
    </row>
    <row r="25" spans="1:22" s="40" customFormat="1" ht="12" x14ac:dyDescent="0.25">
      <c r="A25" s="30" t="s">
        <v>339</v>
      </c>
      <c r="B25" s="33" t="s">
        <v>23</v>
      </c>
      <c r="C25" s="33" t="s">
        <v>34</v>
      </c>
      <c r="D25" s="32" t="s">
        <v>340</v>
      </c>
      <c r="E25" s="48" t="s">
        <v>351</v>
      </c>
      <c r="F25" s="48" t="s">
        <v>161</v>
      </c>
      <c r="G25" s="48" t="s">
        <v>162</v>
      </c>
      <c r="H25" s="48" t="s">
        <v>352</v>
      </c>
      <c r="I25" s="33" t="s">
        <v>151</v>
      </c>
      <c r="J25" s="49">
        <v>45756</v>
      </c>
      <c r="K25" s="50">
        <v>250000</v>
      </c>
      <c r="L25" s="51" t="s">
        <v>358</v>
      </c>
      <c r="M25" s="33">
        <v>102.6</v>
      </c>
      <c r="N25" s="51" t="s">
        <v>153</v>
      </c>
      <c r="O25" s="33">
        <v>102.6</v>
      </c>
      <c r="P25" s="33" t="s">
        <v>159</v>
      </c>
      <c r="Q25" s="52">
        <v>9.3299999999999994E-2</v>
      </c>
      <c r="R25" s="52">
        <v>8.2204429999999995E-2</v>
      </c>
      <c r="S25" s="53">
        <v>2.5000000000000001E-3</v>
      </c>
      <c r="T25" s="33" t="s">
        <v>155</v>
      </c>
      <c r="U25" s="33"/>
      <c r="V25" s="40" t="str">
        <f>VLOOKUP(L25,[1]Sheet1!$B:$C,2,0)</f>
        <v>All Natural Perils / U.S. (excl. FL)</v>
      </c>
    </row>
    <row r="26" spans="1:22" s="40" customFormat="1" ht="12" x14ac:dyDescent="0.25">
      <c r="A26" s="30" t="s">
        <v>405</v>
      </c>
      <c r="B26" s="33" t="s">
        <v>23</v>
      </c>
      <c r="C26" s="33" t="s">
        <v>24</v>
      </c>
      <c r="D26" s="32" t="s">
        <v>340</v>
      </c>
      <c r="E26" s="48" t="s">
        <v>342</v>
      </c>
      <c r="F26" s="48" t="s">
        <v>149</v>
      </c>
      <c r="G26" s="48" t="s">
        <v>150</v>
      </c>
      <c r="H26" s="48" t="s">
        <v>352</v>
      </c>
      <c r="I26" s="33" t="s">
        <v>151</v>
      </c>
      <c r="J26" s="49">
        <v>45749</v>
      </c>
      <c r="K26" s="50">
        <v>250000</v>
      </c>
      <c r="L26" s="51" t="s">
        <v>152</v>
      </c>
      <c r="M26" s="33">
        <v>101</v>
      </c>
      <c r="N26" s="51" t="s">
        <v>153</v>
      </c>
      <c r="O26" s="33">
        <v>101</v>
      </c>
      <c r="P26" s="33" t="s">
        <v>154</v>
      </c>
      <c r="Q26" s="52">
        <v>6.1507199764251702E-2</v>
      </c>
      <c r="R26" s="52">
        <v>5.6114689999999995E-2</v>
      </c>
      <c r="S26" s="53">
        <v>1.6666666666666668E-3</v>
      </c>
      <c r="T26" s="33" t="s">
        <v>155</v>
      </c>
      <c r="U26" s="33"/>
      <c r="V26" s="40" t="str">
        <f>VLOOKUP(L26,[1]Sheet1!$B:$C,2,0)</f>
        <v>Earthquake / Japan</v>
      </c>
    </row>
    <row r="27" spans="1:22" s="40" customFormat="1" ht="12" x14ac:dyDescent="0.25">
      <c r="A27" s="30" t="s">
        <v>405</v>
      </c>
      <c r="B27" s="33" t="s">
        <v>23</v>
      </c>
      <c r="C27" s="33" t="s">
        <v>25</v>
      </c>
      <c r="D27" s="32" t="s">
        <v>340</v>
      </c>
      <c r="E27" s="48" t="s">
        <v>343</v>
      </c>
      <c r="F27" s="48" t="s">
        <v>156</v>
      </c>
      <c r="G27" s="48" t="s">
        <v>157</v>
      </c>
      <c r="H27" s="48" t="s">
        <v>352</v>
      </c>
      <c r="I27" s="33" t="s">
        <v>151</v>
      </c>
      <c r="J27" s="49">
        <v>45751</v>
      </c>
      <c r="K27" s="50">
        <v>250000</v>
      </c>
      <c r="L27" s="51" t="s">
        <v>158</v>
      </c>
      <c r="M27" s="33">
        <v>100.2</v>
      </c>
      <c r="N27" s="51" t="s">
        <v>153</v>
      </c>
      <c r="O27" s="33">
        <v>100.2</v>
      </c>
      <c r="P27" s="33" t="s">
        <v>159</v>
      </c>
      <c r="Q27" s="52">
        <v>0.1041071997642517</v>
      </c>
      <c r="R27" s="52">
        <v>0.10300053000000001</v>
      </c>
      <c r="S27" s="53">
        <v>8.3333333333333332E-3</v>
      </c>
      <c r="T27" s="33" t="s">
        <v>155</v>
      </c>
      <c r="U27" s="33"/>
      <c r="V27" s="40" t="str">
        <f>VLOOKUP(L27,[1]Sheet1!$B:$C,2,0)</f>
        <v>Earthquake / U.S., Canada, Puerto Rico, U.S. VI ; Named Storm / U.S., Puerto Rico, U.S. VI</v>
      </c>
    </row>
    <row r="28" spans="1:22" s="40" customFormat="1" ht="12" x14ac:dyDescent="0.25">
      <c r="A28" s="30" t="s">
        <v>405</v>
      </c>
      <c r="B28" s="33" t="s">
        <v>23</v>
      </c>
      <c r="C28" s="33" t="s">
        <v>26</v>
      </c>
      <c r="D28" s="32" t="s">
        <v>340</v>
      </c>
      <c r="E28" s="48" t="s">
        <v>344</v>
      </c>
      <c r="F28" s="48" t="s">
        <v>161</v>
      </c>
      <c r="G28" s="48" t="s">
        <v>162</v>
      </c>
      <c r="H28" s="48" t="s">
        <v>352</v>
      </c>
      <c r="I28" s="33" t="s">
        <v>151</v>
      </c>
      <c r="J28" s="49">
        <v>45751</v>
      </c>
      <c r="K28" s="50">
        <v>250000</v>
      </c>
      <c r="L28" s="51" t="s">
        <v>163</v>
      </c>
      <c r="M28" s="33">
        <v>102.85</v>
      </c>
      <c r="N28" s="51" t="s">
        <v>153</v>
      </c>
      <c r="O28" s="33">
        <v>102.85</v>
      </c>
      <c r="P28" s="33" t="s">
        <v>154</v>
      </c>
      <c r="Q28" s="52">
        <v>9.0999999999999998E-2</v>
      </c>
      <c r="R28" s="52">
        <v>7.670283E-2</v>
      </c>
      <c r="S28" s="53">
        <v>1.25E-3</v>
      </c>
      <c r="T28" s="33" t="s">
        <v>155</v>
      </c>
      <c r="U28" s="33"/>
      <c r="V28" s="40" t="str">
        <f>VLOOKUP(L28,[1]Sheet1!$B:$C,2,0)</f>
        <v>Named Storm / North Carolina</v>
      </c>
    </row>
    <row r="29" spans="1:22" s="40" customFormat="1" ht="12" x14ac:dyDescent="0.25">
      <c r="A29" s="30" t="s">
        <v>405</v>
      </c>
      <c r="B29" s="33" t="s">
        <v>23</v>
      </c>
      <c r="C29" s="33" t="s">
        <v>28</v>
      </c>
      <c r="D29" s="32" t="s">
        <v>340</v>
      </c>
      <c r="E29" s="48" t="s">
        <v>345</v>
      </c>
      <c r="F29" s="48" t="s">
        <v>164</v>
      </c>
      <c r="G29" s="48" t="s">
        <v>165</v>
      </c>
      <c r="H29" s="48" t="s">
        <v>352</v>
      </c>
      <c r="I29" s="33" t="s">
        <v>151</v>
      </c>
      <c r="J29" s="49">
        <v>45751</v>
      </c>
      <c r="K29" s="50">
        <v>250000</v>
      </c>
      <c r="L29" s="51" t="s">
        <v>166</v>
      </c>
      <c r="M29" s="33">
        <v>101</v>
      </c>
      <c r="N29" s="51" t="s">
        <v>153</v>
      </c>
      <c r="O29" s="33">
        <v>101</v>
      </c>
      <c r="P29" s="33" t="s">
        <v>154</v>
      </c>
      <c r="Q29" s="52">
        <v>6.699999999999999E-2</v>
      </c>
      <c r="R29" s="52">
        <v>5.9638299999999998E-2</v>
      </c>
      <c r="S29" s="53">
        <v>2.0833333333333333E-3</v>
      </c>
      <c r="T29" s="33" t="s">
        <v>155</v>
      </c>
      <c r="U29" s="33"/>
      <c r="V29" s="40" t="str">
        <f>VLOOKUP(L29,[1]Sheet1!$B:$C,2,0)</f>
        <v>Typhoon ; Flood / Japan</v>
      </c>
    </row>
    <row r="30" spans="1:22" s="40" customFormat="1" ht="12" x14ac:dyDescent="0.25">
      <c r="A30" s="30" t="s">
        <v>405</v>
      </c>
      <c r="B30" s="33" t="s">
        <v>23</v>
      </c>
      <c r="C30" s="33" t="s">
        <v>29</v>
      </c>
      <c r="D30" s="32" t="s">
        <v>340</v>
      </c>
      <c r="E30" s="48" t="s">
        <v>346</v>
      </c>
      <c r="F30" s="48" t="s">
        <v>167</v>
      </c>
      <c r="G30" s="48" t="s">
        <v>168</v>
      </c>
      <c r="H30" s="48" t="s">
        <v>353</v>
      </c>
      <c r="I30" s="33" t="s">
        <v>151</v>
      </c>
      <c r="J30" s="49">
        <v>45751</v>
      </c>
      <c r="K30" s="50">
        <v>250000</v>
      </c>
      <c r="L30" s="51" t="s">
        <v>169</v>
      </c>
      <c r="M30" s="33">
        <v>103.95</v>
      </c>
      <c r="N30" s="51" t="s">
        <v>153</v>
      </c>
      <c r="O30" s="33">
        <v>103.95</v>
      </c>
      <c r="P30" s="33" t="s">
        <v>159</v>
      </c>
      <c r="Q30" s="52">
        <v>9.3599999999999989E-2</v>
      </c>
      <c r="R30" s="52">
        <v>7.1220699999999998E-2</v>
      </c>
      <c r="S30" s="53">
        <v>8.3333333333333339E-4</v>
      </c>
      <c r="T30" s="33" t="s">
        <v>155</v>
      </c>
      <c r="U30" s="33"/>
      <c r="V30" s="40" t="str">
        <f>VLOOKUP(L30,[1]Sheet1!$B:$C,2,0)</f>
        <v>Earthquake / California</v>
      </c>
    </row>
    <row r="31" spans="1:22" s="40" customFormat="1" ht="12" x14ac:dyDescent="0.25">
      <c r="A31" s="30" t="s">
        <v>405</v>
      </c>
      <c r="B31" s="33" t="s">
        <v>23</v>
      </c>
      <c r="C31" s="33" t="s">
        <v>30</v>
      </c>
      <c r="D31" s="32" t="s">
        <v>340</v>
      </c>
      <c r="E31" s="48" t="s">
        <v>347</v>
      </c>
      <c r="F31" s="48" t="s">
        <v>161</v>
      </c>
      <c r="G31" s="48" t="s">
        <v>157</v>
      </c>
      <c r="H31" s="48" t="s">
        <v>354</v>
      </c>
      <c r="I31" s="33" t="s">
        <v>151</v>
      </c>
      <c r="J31" s="49">
        <v>45755</v>
      </c>
      <c r="K31" s="50">
        <v>250000</v>
      </c>
      <c r="L31" s="51" t="s">
        <v>170</v>
      </c>
      <c r="M31" s="33">
        <v>100.25</v>
      </c>
      <c r="N31" s="51" t="s">
        <v>153</v>
      </c>
      <c r="O31" s="33">
        <v>100.25</v>
      </c>
      <c r="P31" s="33" t="s">
        <v>154</v>
      </c>
      <c r="Q31" s="52">
        <v>7.3784539999999996E-2</v>
      </c>
      <c r="R31" s="52">
        <v>7.5587660000000001E-2</v>
      </c>
      <c r="S31" s="53">
        <v>8.3333333333333339E-4</v>
      </c>
      <c r="T31" s="33" t="s">
        <v>155</v>
      </c>
      <c r="U31" s="33"/>
      <c r="V31" s="40" t="str">
        <f>VLOOKUP(L31,[1]Sheet1!$B:$C,2,0)</f>
        <v>Earthquake / U.S.</v>
      </c>
    </row>
    <row r="32" spans="1:22" s="40" customFormat="1" ht="12" x14ac:dyDescent="0.25">
      <c r="A32" s="30" t="s">
        <v>405</v>
      </c>
      <c r="B32" s="33" t="s">
        <v>23</v>
      </c>
      <c r="C32" s="33" t="s">
        <v>31</v>
      </c>
      <c r="D32" s="32" t="s">
        <v>340</v>
      </c>
      <c r="E32" s="48" t="s">
        <v>348</v>
      </c>
      <c r="F32" s="48" t="s">
        <v>161</v>
      </c>
      <c r="G32" s="48" t="s">
        <v>150</v>
      </c>
      <c r="H32" s="48" t="s">
        <v>352</v>
      </c>
      <c r="I32" s="33" t="s">
        <v>151</v>
      </c>
      <c r="J32" s="49">
        <v>45755</v>
      </c>
      <c r="K32" s="50">
        <v>250000</v>
      </c>
      <c r="L32" s="51" t="s">
        <v>355</v>
      </c>
      <c r="M32" s="33">
        <v>100.65</v>
      </c>
      <c r="N32" s="51" t="s">
        <v>153</v>
      </c>
      <c r="O32" s="33">
        <v>100.65</v>
      </c>
      <c r="P32" s="33" t="s">
        <v>159</v>
      </c>
      <c r="Q32" s="52">
        <v>8.9900000000000008E-2</v>
      </c>
      <c r="R32" s="52">
        <v>9.0425339999999993E-2</v>
      </c>
      <c r="S32" s="53">
        <v>1.25E-3</v>
      </c>
      <c r="T32" s="33" t="s">
        <v>155</v>
      </c>
      <c r="U32" s="33"/>
      <c r="V32" s="40" t="str">
        <f>VLOOKUP(L32,[1]Sheet1!$B:$C,2,0)</f>
        <v>Earthquake ; Named Storm / U.S., Canada, Caribbean</v>
      </c>
    </row>
    <row r="33" spans="1:22" s="40" customFormat="1" ht="12" x14ac:dyDescent="0.25">
      <c r="A33" s="30" t="s">
        <v>405</v>
      </c>
      <c r="B33" s="33" t="s">
        <v>23</v>
      </c>
      <c r="C33" s="33" t="s">
        <v>32</v>
      </c>
      <c r="D33" s="32" t="s">
        <v>340</v>
      </c>
      <c r="E33" s="48" t="s">
        <v>349</v>
      </c>
      <c r="F33" s="48" t="s">
        <v>161</v>
      </c>
      <c r="G33" s="48" t="s">
        <v>150</v>
      </c>
      <c r="H33" s="48" t="s">
        <v>352</v>
      </c>
      <c r="I33" s="33" t="s">
        <v>151</v>
      </c>
      <c r="J33" s="49">
        <v>45756</v>
      </c>
      <c r="K33" s="50">
        <v>250000</v>
      </c>
      <c r="L33" s="51" t="s">
        <v>356</v>
      </c>
      <c r="M33" s="33">
        <v>102.3</v>
      </c>
      <c r="N33" s="51" t="s">
        <v>153</v>
      </c>
      <c r="O33" s="33">
        <v>102.3</v>
      </c>
      <c r="P33" s="33" t="s">
        <v>154</v>
      </c>
      <c r="Q33" s="52">
        <v>7.8799999999999995E-2</v>
      </c>
      <c r="R33" s="52">
        <v>6.796395999999999E-2</v>
      </c>
      <c r="S33" s="53">
        <v>9.8039215686274508E-4</v>
      </c>
      <c r="T33" s="33" t="s">
        <v>155</v>
      </c>
      <c r="U33" s="33"/>
      <c r="V33" s="40" t="str">
        <f>VLOOKUP(L33,[1]Sheet1!$B:$C,2,0)</f>
        <v>Named Storm / Texas</v>
      </c>
    </row>
    <row r="34" spans="1:22" s="40" customFormat="1" ht="12" x14ac:dyDescent="0.25">
      <c r="A34" s="30" t="s">
        <v>405</v>
      </c>
      <c r="B34" s="33" t="s">
        <v>23</v>
      </c>
      <c r="C34" s="33" t="s">
        <v>33</v>
      </c>
      <c r="D34" s="32" t="s">
        <v>340</v>
      </c>
      <c r="E34" s="48" t="s">
        <v>350</v>
      </c>
      <c r="F34" s="48" t="s">
        <v>161</v>
      </c>
      <c r="G34" s="48" t="s">
        <v>162</v>
      </c>
      <c r="H34" s="48" t="s">
        <v>352</v>
      </c>
      <c r="I34" s="33" t="s">
        <v>151</v>
      </c>
      <c r="J34" s="49">
        <v>45756</v>
      </c>
      <c r="K34" s="50">
        <v>250000</v>
      </c>
      <c r="L34" s="51" t="s">
        <v>357</v>
      </c>
      <c r="M34" s="33">
        <v>102.2</v>
      </c>
      <c r="N34" s="51" t="s">
        <v>153</v>
      </c>
      <c r="O34" s="33">
        <v>102.2</v>
      </c>
      <c r="P34" s="33" t="s">
        <v>159</v>
      </c>
      <c r="Q34" s="52">
        <v>8.9099999999999999E-2</v>
      </c>
      <c r="R34" s="52">
        <v>8.1303790000000001E-2</v>
      </c>
      <c r="S34" s="53">
        <v>2.5000000000000001E-3</v>
      </c>
      <c r="T34" s="33" t="s">
        <v>155</v>
      </c>
      <c r="U34" s="33"/>
      <c r="V34" s="40" t="str">
        <f>VLOOKUP(L34,[1]Sheet1!$B:$C,2,0)</f>
        <v>All Natural Perils / Northeast U.S.</v>
      </c>
    </row>
    <row r="35" spans="1:22" s="40" customFormat="1" ht="12" x14ac:dyDescent="0.25">
      <c r="A35" s="30" t="s">
        <v>405</v>
      </c>
      <c r="B35" s="33" t="s">
        <v>23</v>
      </c>
      <c r="C35" s="33" t="s">
        <v>34</v>
      </c>
      <c r="D35" s="32" t="s">
        <v>340</v>
      </c>
      <c r="E35" s="48" t="s">
        <v>351</v>
      </c>
      <c r="F35" s="48" t="s">
        <v>161</v>
      </c>
      <c r="G35" s="48" t="s">
        <v>162</v>
      </c>
      <c r="H35" s="48" t="s">
        <v>352</v>
      </c>
      <c r="I35" s="33" t="s">
        <v>151</v>
      </c>
      <c r="J35" s="49">
        <v>45756</v>
      </c>
      <c r="K35" s="50">
        <v>250000</v>
      </c>
      <c r="L35" s="51" t="s">
        <v>358</v>
      </c>
      <c r="M35" s="33">
        <v>102.6</v>
      </c>
      <c r="N35" s="51" t="s">
        <v>153</v>
      </c>
      <c r="O35" s="33">
        <v>102.6</v>
      </c>
      <c r="P35" s="33" t="s">
        <v>159</v>
      </c>
      <c r="Q35" s="52">
        <v>9.3299999999999994E-2</v>
      </c>
      <c r="R35" s="52">
        <v>8.2204429999999995E-2</v>
      </c>
      <c r="S35" s="53">
        <v>2.5000000000000001E-3</v>
      </c>
      <c r="T35" s="33" t="s">
        <v>155</v>
      </c>
      <c r="U35" s="33"/>
      <c r="V35" s="40" t="str">
        <f>VLOOKUP(L35,[1]Sheet1!$B:$C,2,0)</f>
        <v>All Natural Perils / U.S. (excl. FL)</v>
      </c>
    </row>
    <row r="36" spans="1:22" s="40" customFormat="1" ht="12" x14ac:dyDescent="0.25">
      <c r="A36" s="30" t="s">
        <v>406</v>
      </c>
      <c r="B36" s="33" t="s">
        <v>23</v>
      </c>
      <c r="C36" s="33" t="s">
        <v>371</v>
      </c>
      <c r="D36" s="32" t="s">
        <v>341</v>
      </c>
      <c r="E36" s="48" t="s">
        <v>374</v>
      </c>
      <c r="F36" s="48" t="s">
        <v>161</v>
      </c>
      <c r="G36" s="48" t="s">
        <v>162</v>
      </c>
      <c r="H36" s="48" t="s">
        <v>352</v>
      </c>
      <c r="I36" s="33" t="s">
        <v>151</v>
      </c>
      <c r="J36" s="49">
        <v>46515</v>
      </c>
      <c r="K36" s="50">
        <v>250000</v>
      </c>
      <c r="L36" s="48" t="s">
        <v>375</v>
      </c>
      <c r="M36" s="33">
        <v>101.95</v>
      </c>
      <c r="N36" s="51" t="s">
        <v>153</v>
      </c>
      <c r="O36" s="33">
        <v>101.95</v>
      </c>
      <c r="P36" s="33" t="s">
        <v>393</v>
      </c>
      <c r="Q36" s="52">
        <v>9.3081216812133785E-2</v>
      </c>
      <c r="R36" s="52">
        <v>6.6261989999999993E-2</v>
      </c>
      <c r="S36" s="53">
        <v>1.6666666666666668E-3</v>
      </c>
      <c r="T36" s="33" t="s">
        <v>155</v>
      </c>
      <c r="U36" s="33"/>
      <c r="V36" s="40" t="str">
        <f>VLOOKUP(L36,[1]Sheet1!$B:$C,2,0)</f>
        <v>Earthquake / California</v>
      </c>
    </row>
    <row r="37" spans="1:22" s="40" customFormat="1" ht="12" x14ac:dyDescent="0.25">
      <c r="A37" s="30" t="s">
        <v>406</v>
      </c>
      <c r="B37" s="33" t="s">
        <v>23</v>
      </c>
      <c r="C37" s="33" t="s">
        <v>373</v>
      </c>
      <c r="D37" s="32" t="s">
        <v>341</v>
      </c>
      <c r="E37" s="48" t="s">
        <v>382</v>
      </c>
      <c r="F37" s="48" t="s">
        <v>161</v>
      </c>
      <c r="G37" s="48" t="s">
        <v>150</v>
      </c>
      <c r="H37" s="48" t="s">
        <v>354</v>
      </c>
      <c r="I37" s="33" t="s">
        <v>151</v>
      </c>
      <c r="J37" s="49">
        <v>46527</v>
      </c>
      <c r="K37" s="50">
        <v>250000</v>
      </c>
      <c r="L37" s="48" t="s">
        <v>383</v>
      </c>
      <c r="M37" s="33">
        <v>101.85</v>
      </c>
      <c r="N37" s="51" t="s">
        <v>153</v>
      </c>
      <c r="O37" s="33">
        <v>101.85</v>
      </c>
      <c r="P37" s="33" t="s">
        <v>393</v>
      </c>
      <c r="Q37" s="52">
        <v>0.10002121925354004</v>
      </c>
      <c r="R37" s="52">
        <v>9.1009530000000005E-2</v>
      </c>
      <c r="S37" s="53">
        <v>2.631578947368421E-3</v>
      </c>
      <c r="T37" s="33" t="s">
        <v>155</v>
      </c>
      <c r="U37" s="33"/>
      <c r="V37" s="40" t="str">
        <f>VLOOKUP(L37,[1]Sheet1!$B:$C,2,0)</f>
        <v>Earthquake / U.S. (excl. AK, HI)</v>
      </c>
    </row>
    <row r="38" spans="1:22" s="40" customFormat="1" ht="12" x14ac:dyDescent="0.25">
      <c r="A38" s="30" t="s">
        <v>406</v>
      </c>
      <c r="B38" s="33" t="s">
        <v>23</v>
      </c>
      <c r="C38" s="33" t="s">
        <v>376</v>
      </c>
      <c r="D38" s="32" t="s">
        <v>341</v>
      </c>
      <c r="E38" s="48" t="s">
        <v>387</v>
      </c>
      <c r="F38" s="48" t="s">
        <v>156</v>
      </c>
      <c r="G38" s="48" t="s">
        <v>162</v>
      </c>
      <c r="H38" s="48" t="s">
        <v>352</v>
      </c>
      <c r="I38" s="33" t="s">
        <v>151</v>
      </c>
      <c r="J38" s="49">
        <v>46223</v>
      </c>
      <c r="K38" s="50">
        <v>250000</v>
      </c>
      <c r="L38" s="48" t="s">
        <v>454</v>
      </c>
      <c r="M38" s="33">
        <v>102.87</v>
      </c>
      <c r="N38" s="51" t="s">
        <v>153</v>
      </c>
      <c r="O38" s="33">
        <v>102.87</v>
      </c>
      <c r="P38" s="33" t="s">
        <v>393</v>
      </c>
      <c r="Q38" s="52">
        <v>0.1648</v>
      </c>
      <c r="R38" s="52">
        <v>0.1148</v>
      </c>
      <c r="S38" s="53">
        <v>3.3333333333333335E-3</v>
      </c>
      <c r="T38" s="33" t="s">
        <v>155</v>
      </c>
      <c r="U38" s="33"/>
      <c r="V38" s="40" t="str">
        <f>VLOOKUP(L38,[1]Sheet1!$B:$C,2,0)</f>
        <v>NULL</v>
      </c>
    </row>
    <row r="39" spans="1:22" s="40" customFormat="1" ht="12" x14ac:dyDescent="0.25">
      <c r="A39" s="30" t="s">
        <v>406</v>
      </c>
      <c r="B39" s="33" t="s">
        <v>23</v>
      </c>
      <c r="C39" s="33" t="s">
        <v>379</v>
      </c>
      <c r="D39" s="32" t="s">
        <v>341</v>
      </c>
      <c r="E39" s="48" t="s">
        <v>455</v>
      </c>
      <c r="F39" s="48" t="s">
        <v>456</v>
      </c>
      <c r="G39" s="48" t="s">
        <v>157</v>
      </c>
      <c r="H39" s="48" t="s">
        <v>354</v>
      </c>
      <c r="I39" s="33" t="s">
        <v>151</v>
      </c>
      <c r="J39" s="49">
        <v>46223</v>
      </c>
      <c r="K39" s="50">
        <v>250000</v>
      </c>
      <c r="L39" s="48" t="s">
        <v>457</v>
      </c>
      <c r="M39" s="33">
        <v>102.03</v>
      </c>
      <c r="N39" s="51" t="s">
        <v>153</v>
      </c>
      <c r="O39" s="33">
        <v>102.03</v>
      </c>
      <c r="P39" s="33" t="s">
        <v>393</v>
      </c>
      <c r="Q39" s="52">
        <v>0.1285</v>
      </c>
      <c r="R39" s="52">
        <v>7.85E-2</v>
      </c>
      <c r="S39" s="53">
        <v>6.2500000000000001E-4</v>
      </c>
      <c r="T39" s="33" t="s">
        <v>155</v>
      </c>
      <c r="U39" s="33"/>
      <c r="V39" s="40" t="str">
        <f>VLOOKUP(L39,[1]Sheet1!$B:$C,2,0)</f>
        <v>Earthquake / California</v>
      </c>
    </row>
    <row r="40" spans="1:22" s="40" customFormat="1" ht="12" x14ac:dyDescent="0.25">
      <c r="A40" s="30" t="s">
        <v>406</v>
      </c>
      <c r="B40" s="33" t="s">
        <v>23</v>
      </c>
      <c r="C40" s="33" t="s">
        <v>384</v>
      </c>
      <c r="D40" s="32" t="s">
        <v>341</v>
      </c>
      <c r="E40" s="48" t="s">
        <v>458</v>
      </c>
      <c r="F40" s="48" t="s">
        <v>459</v>
      </c>
      <c r="G40" s="48" t="s">
        <v>157</v>
      </c>
      <c r="H40" s="48" t="s">
        <v>354</v>
      </c>
      <c r="I40" s="33" t="s">
        <v>151</v>
      </c>
      <c r="J40" s="49">
        <v>46223</v>
      </c>
      <c r="K40" s="50">
        <v>250000</v>
      </c>
      <c r="L40" s="48" t="s">
        <v>460</v>
      </c>
      <c r="M40" s="33">
        <v>101.69</v>
      </c>
      <c r="N40" s="51" t="s">
        <v>153</v>
      </c>
      <c r="O40" s="33">
        <v>101.69</v>
      </c>
      <c r="P40" s="33" t="s">
        <v>393</v>
      </c>
      <c r="Q40" s="52">
        <v>0.11366956</v>
      </c>
      <c r="R40" s="52">
        <v>6.366956E-2</v>
      </c>
      <c r="S40" s="53">
        <v>6.2500000000000001E-4</v>
      </c>
      <c r="T40" s="33" t="s">
        <v>155</v>
      </c>
      <c r="U40" s="33"/>
      <c r="V40" s="40" t="str">
        <f>VLOOKUP(L40,[1]Sheet1!$B:$C,2,0)</f>
        <v>Earthquake / California</v>
      </c>
    </row>
    <row r="41" spans="1:22" s="40" customFormat="1" ht="12" x14ac:dyDescent="0.25">
      <c r="A41" s="30" t="s">
        <v>406</v>
      </c>
      <c r="B41" s="33" t="s">
        <v>23</v>
      </c>
      <c r="C41" s="33" t="s">
        <v>385</v>
      </c>
      <c r="D41" s="32" t="s">
        <v>341</v>
      </c>
      <c r="E41" s="48" t="s">
        <v>368</v>
      </c>
      <c r="F41" s="48" t="s">
        <v>156</v>
      </c>
      <c r="G41" s="48" t="s">
        <v>162</v>
      </c>
      <c r="H41" s="48" t="s">
        <v>352</v>
      </c>
      <c r="I41" s="33" t="s">
        <v>151</v>
      </c>
      <c r="J41" s="49">
        <v>46223</v>
      </c>
      <c r="K41" s="50">
        <v>250000</v>
      </c>
      <c r="L41" s="48" t="s">
        <v>461</v>
      </c>
      <c r="M41" s="33">
        <v>103.06</v>
      </c>
      <c r="N41" s="51" t="s">
        <v>153</v>
      </c>
      <c r="O41" s="33">
        <v>103.06</v>
      </c>
      <c r="P41" s="33" t="s">
        <v>393</v>
      </c>
      <c r="Q41" s="52">
        <v>0.10539999999999999</v>
      </c>
      <c r="R41" s="52">
        <v>5.5399999999999991E-2</v>
      </c>
      <c r="S41" s="53">
        <v>1.6666666666666668E-3</v>
      </c>
      <c r="T41" s="33" t="s">
        <v>155</v>
      </c>
      <c r="U41" s="33"/>
      <c r="V41" s="40" t="str">
        <f>VLOOKUP(L41,[1]Sheet1!$B:$C,2,0)</f>
        <v>Earthquake / California</v>
      </c>
    </row>
    <row r="42" spans="1:22" s="40" customFormat="1" ht="12" x14ac:dyDescent="0.25">
      <c r="A42" s="30" t="s">
        <v>406</v>
      </c>
      <c r="B42" s="33" t="s">
        <v>23</v>
      </c>
      <c r="C42" s="33" t="s">
        <v>386</v>
      </c>
      <c r="D42" s="32" t="s">
        <v>341</v>
      </c>
      <c r="E42" s="48" t="s">
        <v>462</v>
      </c>
      <c r="F42" s="48" t="s">
        <v>156</v>
      </c>
      <c r="G42" s="48" t="s">
        <v>162</v>
      </c>
      <c r="H42" s="48" t="s">
        <v>352</v>
      </c>
      <c r="I42" s="33" t="s">
        <v>151</v>
      </c>
      <c r="J42" s="49">
        <v>46223</v>
      </c>
      <c r="K42" s="50">
        <v>250000</v>
      </c>
      <c r="L42" s="48" t="s">
        <v>463</v>
      </c>
      <c r="M42" s="33">
        <v>102.08</v>
      </c>
      <c r="N42" s="51" t="s">
        <v>153</v>
      </c>
      <c r="O42" s="33">
        <v>102.08</v>
      </c>
      <c r="P42" s="33" t="s">
        <v>393</v>
      </c>
      <c r="Q42" s="52">
        <v>0.10589999999999999</v>
      </c>
      <c r="R42" s="52">
        <v>5.5899999999999991E-2</v>
      </c>
      <c r="S42" s="53">
        <v>1.1111111111111111E-3</v>
      </c>
      <c r="T42" s="33" t="s">
        <v>155</v>
      </c>
      <c r="U42" s="33"/>
      <c r="V42" s="40" t="str">
        <f>VLOOKUP(L42,[1]Sheet1!$B:$C,2,0)</f>
        <v>Earthquake / California</v>
      </c>
    </row>
    <row r="43" spans="1:22" s="40" customFormat="1" ht="12" x14ac:dyDescent="0.25">
      <c r="A43" s="30" t="s">
        <v>468</v>
      </c>
      <c r="B43" s="33" t="s">
        <v>23</v>
      </c>
      <c r="C43" s="33" t="s">
        <v>24</v>
      </c>
      <c r="D43" s="32" t="s">
        <v>464</v>
      </c>
      <c r="E43" s="48" t="s">
        <v>343</v>
      </c>
      <c r="F43" s="48" t="s">
        <v>156</v>
      </c>
      <c r="G43" s="48" t="s">
        <v>157</v>
      </c>
      <c r="H43" s="48" t="s">
        <v>352</v>
      </c>
      <c r="I43" s="33" t="s">
        <v>151</v>
      </c>
      <c r="J43" s="49">
        <v>46481</v>
      </c>
      <c r="K43" s="50">
        <v>250000</v>
      </c>
      <c r="L43" s="48" t="s">
        <v>158</v>
      </c>
      <c r="M43" s="33">
        <v>100.2</v>
      </c>
      <c r="N43" s="51" t="s">
        <v>153</v>
      </c>
      <c r="O43" s="33">
        <v>100.2</v>
      </c>
      <c r="P43" s="33" t="s">
        <v>393</v>
      </c>
      <c r="Q43" s="52">
        <v>0.10612121925354004</v>
      </c>
      <c r="R43" s="52">
        <v>0.10523115000000001</v>
      </c>
      <c r="S43" s="53">
        <v>8.3333333333333332E-3</v>
      </c>
      <c r="T43" s="33" t="s">
        <v>155</v>
      </c>
      <c r="U43" s="33"/>
      <c r="V43" s="40" t="str">
        <f>VLOOKUP(L43,[1]Sheet1!$B:$C,2,0)</f>
        <v>Earthquake / U.S., Canada, Puerto Rico, U.S. VI ; Named Storm / U.S., Puerto Rico, U.S. VI</v>
      </c>
    </row>
    <row r="44" spans="1:22" s="40" customFormat="1" ht="12" x14ac:dyDescent="0.25">
      <c r="A44" s="30" t="s">
        <v>468</v>
      </c>
      <c r="B44" s="33" t="s">
        <v>23</v>
      </c>
      <c r="C44" s="33" t="s">
        <v>25</v>
      </c>
      <c r="D44" s="32" t="s">
        <v>464</v>
      </c>
      <c r="E44" s="48" t="s">
        <v>344</v>
      </c>
      <c r="F44" s="48" t="s">
        <v>161</v>
      </c>
      <c r="G44" s="48" t="s">
        <v>162</v>
      </c>
      <c r="H44" s="48" t="s">
        <v>352</v>
      </c>
      <c r="I44" s="33" t="s">
        <v>151</v>
      </c>
      <c r="J44" s="49">
        <v>46481</v>
      </c>
      <c r="K44" s="50">
        <v>250000</v>
      </c>
      <c r="L44" s="48" t="s">
        <v>163</v>
      </c>
      <c r="M44" s="33">
        <v>102.85</v>
      </c>
      <c r="N44" s="51" t="s">
        <v>153</v>
      </c>
      <c r="O44" s="33">
        <v>102.85</v>
      </c>
      <c r="P44" s="33" t="s">
        <v>393</v>
      </c>
      <c r="Q44" s="52">
        <v>9.2521219253540038E-2</v>
      </c>
      <c r="R44" s="52">
        <v>6.5428009999999995E-2</v>
      </c>
      <c r="S44" s="53">
        <v>1.25E-3</v>
      </c>
      <c r="T44" s="33" t="s">
        <v>155</v>
      </c>
      <c r="U44" s="33"/>
      <c r="V44" s="40" t="str">
        <f>VLOOKUP(L44,[1]Sheet1!$B:$C,2,0)</f>
        <v>Named Storm / North Carolina</v>
      </c>
    </row>
    <row r="45" spans="1:22" s="40" customFormat="1" ht="12" x14ac:dyDescent="0.25">
      <c r="A45" s="30" t="s">
        <v>468</v>
      </c>
      <c r="B45" s="33" t="s">
        <v>23</v>
      </c>
      <c r="C45" s="33" t="s">
        <v>26</v>
      </c>
      <c r="D45" s="32" t="s">
        <v>464</v>
      </c>
      <c r="E45" s="48" t="s">
        <v>350</v>
      </c>
      <c r="F45" s="48" t="s">
        <v>161</v>
      </c>
      <c r="G45" s="48" t="s">
        <v>162</v>
      </c>
      <c r="H45" s="48" t="s">
        <v>352</v>
      </c>
      <c r="I45" s="33" t="s">
        <v>151</v>
      </c>
      <c r="J45" s="49">
        <v>46486</v>
      </c>
      <c r="K45" s="50">
        <v>250000</v>
      </c>
      <c r="L45" s="48" t="s">
        <v>357</v>
      </c>
      <c r="M45" s="33">
        <v>102.2</v>
      </c>
      <c r="N45" s="51" t="s">
        <v>153</v>
      </c>
      <c r="O45" s="33">
        <v>102.2</v>
      </c>
      <c r="P45" s="33" t="s">
        <v>393</v>
      </c>
      <c r="Q45" s="52">
        <v>9.052121925354005E-2</v>
      </c>
      <c r="R45" s="52">
        <v>7.7633049999999995E-2</v>
      </c>
      <c r="S45" s="53">
        <v>2.5000000000000001E-3</v>
      </c>
      <c r="T45" s="33" t="s">
        <v>155</v>
      </c>
      <c r="U45" s="33"/>
      <c r="V45" s="40" t="str">
        <f>VLOOKUP(L45,[1]Sheet1!$B:$C,2,0)</f>
        <v>All Natural Perils / Northeast U.S.</v>
      </c>
    </row>
    <row r="46" spans="1:22" s="40" customFormat="1" ht="12" x14ac:dyDescent="0.25">
      <c r="A46" s="30" t="s">
        <v>468</v>
      </c>
      <c r="B46" s="33" t="s">
        <v>23</v>
      </c>
      <c r="C46" s="33" t="s">
        <v>28</v>
      </c>
      <c r="D46" s="32" t="s">
        <v>464</v>
      </c>
      <c r="E46" s="48" t="s">
        <v>364</v>
      </c>
      <c r="F46" s="48" t="s">
        <v>161</v>
      </c>
      <c r="G46" s="48" t="s">
        <v>150</v>
      </c>
      <c r="H46" s="48" t="s">
        <v>352</v>
      </c>
      <c r="I46" s="33" t="s">
        <v>151</v>
      </c>
      <c r="J46" s="49">
        <v>46491</v>
      </c>
      <c r="K46" s="50">
        <v>250000</v>
      </c>
      <c r="L46" s="48" t="s">
        <v>365</v>
      </c>
      <c r="M46" s="33">
        <v>102.6</v>
      </c>
      <c r="N46" s="51" t="s">
        <v>153</v>
      </c>
      <c r="O46" s="33">
        <v>102.6</v>
      </c>
      <c r="P46" s="33" t="s">
        <v>393</v>
      </c>
      <c r="Q46" s="52">
        <v>0.13128121681213378</v>
      </c>
      <c r="R46" s="52">
        <v>0.11496279</v>
      </c>
      <c r="S46" s="53">
        <v>1.1904761904761906E-3</v>
      </c>
      <c r="T46" s="33" t="s">
        <v>155</v>
      </c>
      <c r="U46" s="33"/>
      <c r="V46" s="40" t="str">
        <f>VLOOKUP(L46,[1]Sheet1!$B:$C,2,0)</f>
        <v>Named Storm / Florida, South Carolina</v>
      </c>
    </row>
    <row r="47" spans="1:22" s="40" customFormat="1" ht="12" x14ac:dyDescent="0.25">
      <c r="A47" s="30" t="s">
        <v>468</v>
      </c>
      <c r="B47" s="33" t="s">
        <v>23</v>
      </c>
      <c r="C47" s="33" t="s">
        <v>29</v>
      </c>
      <c r="D47" s="32" t="s">
        <v>464</v>
      </c>
      <c r="E47" s="48" t="s">
        <v>369</v>
      </c>
      <c r="F47" s="48" t="s">
        <v>161</v>
      </c>
      <c r="G47" s="48" t="s">
        <v>150</v>
      </c>
      <c r="H47" s="48" t="s">
        <v>352</v>
      </c>
      <c r="I47" s="33" t="s">
        <v>151</v>
      </c>
      <c r="J47" s="49">
        <v>46507</v>
      </c>
      <c r="K47" s="50">
        <v>250000</v>
      </c>
      <c r="L47" s="48" t="s">
        <v>370</v>
      </c>
      <c r="M47" s="33">
        <v>102</v>
      </c>
      <c r="N47" s="51" t="s">
        <v>153</v>
      </c>
      <c r="O47" s="33">
        <v>102</v>
      </c>
      <c r="P47" s="33" t="s">
        <v>393</v>
      </c>
      <c r="Q47" s="52">
        <v>0.11634122047424317</v>
      </c>
      <c r="R47" s="52">
        <v>0.10341628999999999</v>
      </c>
      <c r="S47" s="53">
        <v>2E-3</v>
      </c>
      <c r="T47" s="33" t="s">
        <v>155</v>
      </c>
      <c r="U47" s="33"/>
      <c r="V47" s="40" t="str">
        <f>VLOOKUP(L47,[1]Sheet1!$B:$C,2,0)</f>
        <v>Named Storm / Massachusetts, New Jersey, New York, South Carolina</v>
      </c>
    </row>
    <row r="48" spans="1:22" s="40" customFormat="1" ht="12" x14ac:dyDescent="0.25">
      <c r="A48" s="30" t="s">
        <v>468</v>
      </c>
      <c r="B48" s="33" t="s">
        <v>23</v>
      </c>
      <c r="C48" s="33" t="s">
        <v>30</v>
      </c>
      <c r="D48" s="32" t="s">
        <v>464</v>
      </c>
      <c r="E48" s="48" t="s">
        <v>377</v>
      </c>
      <c r="F48" s="48" t="s">
        <v>161</v>
      </c>
      <c r="G48" s="48" t="s">
        <v>162</v>
      </c>
      <c r="H48" s="48" t="s">
        <v>352</v>
      </c>
      <c r="I48" s="33" t="s">
        <v>151</v>
      </c>
      <c r="J48" s="49">
        <v>46520</v>
      </c>
      <c r="K48" s="50">
        <v>250000</v>
      </c>
      <c r="L48" s="48" t="s">
        <v>378</v>
      </c>
      <c r="M48" s="33">
        <v>104.6</v>
      </c>
      <c r="N48" s="51" t="s">
        <v>153</v>
      </c>
      <c r="O48" s="33">
        <v>104.6</v>
      </c>
      <c r="P48" s="33" t="s">
        <v>393</v>
      </c>
      <c r="Q48" s="52">
        <v>0.16392121925354006</v>
      </c>
      <c r="R48" s="52">
        <v>9.7166349999999999E-2</v>
      </c>
      <c r="S48" s="53">
        <v>2.0833333333333333E-3</v>
      </c>
      <c r="T48" s="33" t="s">
        <v>155</v>
      </c>
      <c r="U48" s="33"/>
      <c r="V48" s="40" t="str">
        <f>VLOOKUP(L48,[1]Sheet1!$B:$C,2,0)</f>
        <v>Named Storm / Louisiana</v>
      </c>
    </row>
    <row r="49" spans="1:22" s="40" customFormat="1" ht="12" x14ac:dyDescent="0.25">
      <c r="A49" s="30" t="s">
        <v>468</v>
      </c>
      <c r="B49" s="33" t="s">
        <v>23</v>
      </c>
      <c r="C49" s="33" t="s">
        <v>31</v>
      </c>
      <c r="D49" s="32" t="s">
        <v>464</v>
      </c>
      <c r="E49" s="48" t="s">
        <v>388</v>
      </c>
      <c r="F49" s="48" t="s">
        <v>156</v>
      </c>
      <c r="G49" s="48" t="s">
        <v>162</v>
      </c>
      <c r="H49" s="48" t="s">
        <v>352</v>
      </c>
      <c r="I49" s="33" t="s">
        <v>151</v>
      </c>
      <c r="J49" s="49">
        <v>46638</v>
      </c>
      <c r="K49" s="50">
        <v>250000</v>
      </c>
      <c r="L49" s="48" t="s">
        <v>389</v>
      </c>
      <c r="M49" s="33">
        <v>103.85</v>
      </c>
      <c r="N49" s="51" t="s">
        <v>153</v>
      </c>
      <c r="O49" s="33">
        <v>103.85</v>
      </c>
      <c r="P49" s="33" t="s">
        <v>393</v>
      </c>
      <c r="Q49" s="52">
        <v>0.12712121925354006</v>
      </c>
      <c r="R49" s="52">
        <v>7.397630999999999E-2</v>
      </c>
      <c r="S49" s="53">
        <v>2.1739130434782609E-3</v>
      </c>
      <c r="T49" s="33" t="s">
        <v>155</v>
      </c>
      <c r="U49" s="33"/>
      <c r="V49" s="40" t="str">
        <f>VLOOKUP(L49,[1]Sheet1!$B:$C,2,0)</f>
        <v>Named Storm / Northeast U.S.</v>
      </c>
    </row>
    <row r="50" spans="1:22" s="40" customFormat="1" ht="12" x14ac:dyDescent="0.25">
      <c r="A50" s="30" t="s">
        <v>468</v>
      </c>
      <c r="B50" s="33" t="s">
        <v>23</v>
      </c>
      <c r="C50" s="33" t="s">
        <v>360</v>
      </c>
      <c r="D50" s="32" t="s">
        <v>464</v>
      </c>
      <c r="E50" s="48" t="s">
        <v>377</v>
      </c>
      <c r="F50" s="48" t="s">
        <v>161</v>
      </c>
      <c r="G50" s="48" t="s">
        <v>162</v>
      </c>
      <c r="H50" s="48" t="s">
        <v>352</v>
      </c>
      <c r="I50" s="33" t="s">
        <v>151</v>
      </c>
      <c r="J50" s="49">
        <v>46520</v>
      </c>
      <c r="K50" s="50">
        <v>250000</v>
      </c>
      <c r="L50" s="48" t="s">
        <v>378</v>
      </c>
      <c r="M50" s="33">
        <v>104.6</v>
      </c>
      <c r="N50" s="51" t="s">
        <v>153</v>
      </c>
      <c r="O50" s="33">
        <v>104.6</v>
      </c>
      <c r="P50" s="33" t="s">
        <v>393</v>
      </c>
      <c r="Q50" s="52">
        <v>0.16392121925354006</v>
      </c>
      <c r="R50" s="52">
        <v>9.7166349999999999E-2</v>
      </c>
      <c r="S50" s="53">
        <v>2.0833333333333333E-3</v>
      </c>
      <c r="T50" s="33" t="s">
        <v>155</v>
      </c>
      <c r="U50" s="33"/>
      <c r="V50" s="40" t="str">
        <f>VLOOKUP(L50,[1]Sheet1!$B:$C,2,0)</f>
        <v>Named Storm / Louisiana</v>
      </c>
    </row>
    <row r="51" spans="1:22" s="40" customFormat="1" ht="12" x14ac:dyDescent="0.25">
      <c r="A51" s="30" t="s">
        <v>468</v>
      </c>
      <c r="B51" s="33" t="s">
        <v>23</v>
      </c>
      <c r="C51" s="33" t="s">
        <v>361</v>
      </c>
      <c r="D51" s="32" t="s">
        <v>464</v>
      </c>
      <c r="E51" s="48" t="s">
        <v>362</v>
      </c>
      <c r="F51" s="48" t="s">
        <v>161</v>
      </c>
      <c r="G51" s="48" t="s">
        <v>157</v>
      </c>
      <c r="H51" s="48" t="s">
        <v>354</v>
      </c>
      <c r="I51" s="33" t="s">
        <v>151</v>
      </c>
      <c r="J51" s="49">
        <v>46223</v>
      </c>
      <c r="K51" s="50">
        <v>250000</v>
      </c>
      <c r="L51" s="48" t="s">
        <v>465</v>
      </c>
      <c r="M51" s="33">
        <v>107.38</v>
      </c>
      <c r="N51" s="51" t="s">
        <v>153</v>
      </c>
      <c r="O51" s="33">
        <v>107.38</v>
      </c>
      <c r="P51" s="33" t="s">
        <v>393</v>
      </c>
      <c r="Q51" s="52">
        <v>0.14330316781997701</v>
      </c>
      <c r="R51" s="52">
        <v>9.3303167819977009E-2</v>
      </c>
      <c r="S51" s="53">
        <v>3.1250000000000002E-3</v>
      </c>
      <c r="T51" s="33" t="s">
        <v>155</v>
      </c>
      <c r="U51" s="33"/>
      <c r="V51" s="40" t="str">
        <f>VLOOKUP(L51,[1]Sheet1!$B:$C,2,0)</f>
        <v>Named Storm / Alabama, Florida, Louisiana, Mississippi, New York, North Carolina, South Carolina, Texas</v>
      </c>
    </row>
    <row r="52" spans="1:22" s="40" customFormat="1" ht="12" x14ac:dyDescent="0.25">
      <c r="A52" s="30" t="s">
        <v>468</v>
      </c>
      <c r="B52" s="33" t="s">
        <v>23</v>
      </c>
      <c r="C52" s="33" t="s">
        <v>363</v>
      </c>
      <c r="D52" s="32" t="s">
        <v>464</v>
      </c>
      <c r="E52" s="48" t="s">
        <v>466</v>
      </c>
      <c r="F52" s="48" t="s">
        <v>156</v>
      </c>
      <c r="G52" s="48" t="s">
        <v>150</v>
      </c>
      <c r="H52" s="48" t="s">
        <v>352</v>
      </c>
      <c r="I52" s="33" t="s">
        <v>151</v>
      </c>
      <c r="J52" s="49">
        <v>46223</v>
      </c>
      <c r="K52" s="50">
        <v>250000</v>
      </c>
      <c r="L52" s="48" t="s">
        <v>467</v>
      </c>
      <c r="M52" s="33">
        <v>111.2</v>
      </c>
      <c r="N52" s="51" t="s">
        <v>153</v>
      </c>
      <c r="O52" s="33">
        <v>111.2</v>
      </c>
      <c r="P52" s="33" t="s">
        <v>393</v>
      </c>
      <c r="Q52" s="52">
        <v>0.21840000000000001</v>
      </c>
      <c r="R52" s="52">
        <v>0.16839999999999999</v>
      </c>
      <c r="S52" s="53">
        <v>4.1666666666666666E-3</v>
      </c>
      <c r="T52" s="33" t="s">
        <v>155</v>
      </c>
      <c r="U52" s="33"/>
      <c r="V52" s="40" t="str">
        <f>VLOOKUP(L52,[1]Sheet1!$B:$C,2,0)</f>
        <v>Named Storm / Alabama, Louisiana, Mississippi, Texas</v>
      </c>
    </row>
    <row r="53" spans="1:22" s="40" customFormat="1" ht="12" x14ac:dyDescent="0.25">
      <c r="A53" s="30" t="s">
        <v>469</v>
      </c>
      <c r="B53" s="33" t="s">
        <v>23</v>
      </c>
      <c r="C53" s="33" t="s">
        <v>24</v>
      </c>
      <c r="D53" s="32" t="s">
        <v>407</v>
      </c>
      <c r="E53" s="48" t="s">
        <v>343</v>
      </c>
      <c r="F53" s="48" t="s">
        <v>156</v>
      </c>
      <c r="G53" s="48" t="s">
        <v>157</v>
      </c>
      <c r="H53" s="48" t="s">
        <v>352</v>
      </c>
      <c r="I53" s="33" t="s">
        <v>151</v>
      </c>
      <c r="J53" s="49">
        <v>46481</v>
      </c>
      <c r="K53" s="50">
        <v>250000</v>
      </c>
      <c r="L53" s="48" t="s">
        <v>158</v>
      </c>
      <c r="M53" s="33">
        <v>100.2</v>
      </c>
      <c r="N53" s="51" t="s">
        <v>153</v>
      </c>
      <c r="O53" s="33">
        <v>100.2</v>
      </c>
      <c r="P53" s="33" t="s">
        <v>393</v>
      </c>
      <c r="Q53" s="52">
        <v>0.10612121925354004</v>
      </c>
      <c r="R53" s="52">
        <v>0.10523115000000001</v>
      </c>
      <c r="S53" s="53">
        <v>8.3333333333333332E-3</v>
      </c>
      <c r="T53" s="33" t="s">
        <v>155</v>
      </c>
      <c r="U53" s="33"/>
      <c r="V53" s="40" t="str">
        <f>VLOOKUP(L53,[1]Sheet1!$B:$C,2,0)</f>
        <v>Earthquake / U.S., Canada, Puerto Rico, U.S. VI ; Named Storm / U.S., Puerto Rico, U.S. VI</v>
      </c>
    </row>
    <row r="54" spans="1:22" s="40" customFormat="1" ht="12" x14ac:dyDescent="0.25">
      <c r="A54" s="30" t="s">
        <v>469</v>
      </c>
      <c r="B54" s="33" t="s">
        <v>23</v>
      </c>
      <c r="C54" s="33" t="s">
        <v>25</v>
      </c>
      <c r="D54" s="32" t="s">
        <v>407</v>
      </c>
      <c r="E54" s="48" t="s">
        <v>344</v>
      </c>
      <c r="F54" s="48" t="s">
        <v>161</v>
      </c>
      <c r="G54" s="48" t="s">
        <v>162</v>
      </c>
      <c r="H54" s="48" t="s">
        <v>352</v>
      </c>
      <c r="I54" s="33" t="s">
        <v>151</v>
      </c>
      <c r="J54" s="49">
        <v>46481</v>
      </c>
      <c r="K54" s="50">
        <v>250000</v>
      </c>
      <c r="L54" s="48" t="s">
        <v>163</v>
      </c>
      <c r="M54" s="33">
        <v>102.85</v>
      </c>
      <c r="N54" s="51" t="s">
        <v>153</v>
      </c>
      <c r="O54" s="33">
        <v>102.85</v>
      </c>
      <c r="P54" s="33" t="s">
        <v>393</v>
      </c>
      <c r="Q54" s="52">
        <v>9.2521219253540038E-2</v>
      </c>
      <c r="R54" s="52">
        <v>6.5428009999999995E-2</v>
      </c>
      <c r="S54" s="53">
        <v>1.25E-3</v>
      </c>
      <c r="T54" s="33" t="s">
        <v>155</v>
      </c>
      <c r="U54" s="33"/>
      <c r="V54" s="40" t="str">
        <f>VLOOKUP(L54,[1]Sheet1!$B:$C,2,0)</f>
        <v>Named Storm / North Carolina</v>
      </c>
    </row>
    <row r="55" spans="1:22" s="40" customFormat="1" ht="12" x14ac:dyDescent="0.25">
      <c r="A55" s="30" t="s">
        <v>469</v>
      </c>
      <c r="B55" s="33" t="s">
        <v>23</v>
      </c>
      <c r="C55" s="33" t="s">
        <v>26</v>
      </c>
      <c r="D55" s="32" t="s">
        <v>407</v>
      </c>
      <c r="E55" s="48" t="s">
        <v>350</v>
      </c>
      <c r="F55" s="48" t="s">
        <v>161</v>
      </c>
      <c r="G55" s="48" t="s">
        <v>162</v>
      </c>
      <c r="H55" s="48" t="s">
        <v>352</v>
      </c>
      <c r="I55" s="33" t="s">
        <v>151</v>
      </c>
      <c r="J55" s="49">
        <v>46486</v>
      </c>
      <c r="K55" s="50">
        <v>250000</v>
      </c>
      <c r="L55" s="48" t="s">
        <v>357</v>
      </c>
      <c r="M55" s="33">
        <v>102.2</v>
      </c>
      <c r="N55" s="51" t="s">
        <v>153</v>
      </c>
      <c r="O55" s="33">
        <v>102.2</v>
      </c>
      <c r="P55" s="33" t="s">
        <v>393</v>
      </c>
      <c r="Q55" s="52">
        <v>9.052121925354005E-2</v>
      </c>
      <c r="R55" s="52">
        <v>7.7633049999999995E-2</v>
      </c>
      <c r="S55" s="53">
        <v>2.5000000000000001E-3</v>
      </c>
      <c r="T55" s="33" t="s">
        <v>155</v>
      </c>
      <c r="U55" s="33"/>
      <c r="V55" s="40" t="str">
        <f>VLOOKUP(L55,[1]Sheet1!$B:$C,2,0)</f>
        <v>All Natural Perils / Northeast U.S.</v>
      </c>
    </row>
    <row r="56" spans="1:22" s="40" customFormat="1" ht="12" x14ac:dyDescent="0.25">
      <c r="A56" s="30" t="s">
        <v>469</v>
      </c>
      <c r="B56" s="33" t="s">
        <v>23</v>
      </c>
      <c r="C56" s="33" t="s">
        <v>28</v>
      </c>
      <c r="D56" s="32" t="s">
        <v>407</v>
      </c>
      <c r="E56" s="48" t="s">
        <v>364</v>
      </c>
      <c r="F56" s="48" t="s">
        <v>161</v>
      </c>
      <c r="G56" s="48" t="s">
        <v>150</v>
      </c>
      <c r="H56" s="48" t="s">
        <v>352</v>
      </c>
      <c r="I56" s="33" t="s">
        <v>151</v>
      </c>
      <c r="J56" s="49">
        <v>46491</v>
      </c>
      <c r="K56" s="50">
        <v>250000</v>
      </c>
      <c r="L56" s="48" t="s">
        <v>365</v>
      </c>
      <c r="M56" s="33">
        <v>102.6</v>
      </c>
      <c r="N56" s="51" t="s">
        <v>153</v>
      </c>
      <c r="O56" s="33">
        <v>102.6</v>
      </c>
      <c r="P56" s="33" t="s">
        <v>393</v>
      </c>
      <c r="Q56" s="52">
        <v>0.13128121681213378</v>
      </c>
      <c r="R56" s="52">
        <v>0.11496279</v>
      </c>
      <c r="S56" s="53">
        <v>1.1904761904761906E-3</v>
      </c>
      <c r="T56" s="33" t="s">
        <v>155</v>
      </c>
      <c r="U56" s="33"/>
      <c r="V56" s="40" t="str">
        <f>VLOOKUP(L56,[1]Sheet1!$B:$C,2,0)</f>
        <v>Named Storm / Florida, South Carolina</v>
      </c>
    </row>
    <row r="57" spans="1:22" s="40" customFormat="1" ht="12" x14ac:dyDescent="0.25">
      <c r="A57" s="30" t="s">
        <v>469</v>
      </c>
      <c r="B57" s="33" t="s">
        <v>23</v>
      </c>
      <c r="C57" s="33" t="s">
        <v>29</v>
      </c>
      <c r="D57" s="32" t="s">
        <v>407</v>
      </c>
      <c r="E57" s="48" t="s">
        <v>369</v>
      </c>
      <c r="F57" s="48" t="s">
        <v>161</v>
      </c>
      <c r="G57" s="48" t="s">
        <v>150</v>
      </c>
      <c r="H57" s="48" t="s">
        <v>352</v>
      </c>
      <c r="I57" s="33" t="s">
        <v>151</v>
      </c>
      <c r="J57" s="49">
        <v>46507</v>
      </c>
      <c r="K57" s="50">
        <v>250000</v>
      </c>
      <c r="L57" s="48" t="s">
        <v>370</v>
      </c>
      <c r="M57" s="33">
        <v>102</v>
      </c>
      <c r="N57" s="51" t="s">
        <v>153</v>
      </c>
      <c r="O57" s="33">
        <v>102</v>
      </c>
      <c r="P57" s="33" t="s">
        <v>393</v>
      </c>
      <c r="Q57" s="52">
        <v>0.11634122047424317</v>
      </c>
      <c r="R57" s="52">
        <v>0.10341628999999999</v>
      </c>
      <c r="S57" s="53">
        <v>2E-3</v>
      </c>
      <c r="T57" s="33" t="s">
        <v>155</v>
      </c>
      <c r="U57" s="33"/>
      <c r="V57" s="40" t="str">
        <f>VLOOKUP(L57,[1]Sheet1!$B:$C,2,0)</f>
        <v>Named Storm / Massachusetts, New Jersey, New York, South Carolina</v>
      </c>
    </row>
    <row r="58" spans="1:22" s="40" customFormat="1" ht="12" x14ac:dyDescent="0.25">
      <c r="A58" s="30" t="s">
        <v>469</v>
      </c>
      <c r="B58" s="33" t="s">
        <v>23</v>
      </c>
      <c r="C58" s="33" t="s">
        <v>30</v>
      </c>
      <c r="D58" s="32" t="s">
        <v>407</v>
      </c>
      <c r="E58" s="48" t="s">
        <v>372</v>
      </c>
      <c r="F58" s="48" t="s">
        <v>161</v>
      </c>
      <c r="G58" s="48" t="s">
        <v>157</v>
      </c>
      <c r="H58" s="48" t="s">
        <v>354</v>
      </c>
      <c r="I58" s="33" t="s">
        <v>151</v>
      </c>
      <c r="J58" s="49">
        <v>46514</v>
      </c>
      <c r="K58" s="50">
        <v>250000</v>
      </c>
      <c r="L58" s="48" t="s">
        <v>408</v>
      </c>
      <c r="M58" s="33">
        <v>99.85</v>
      </c>
      <c r="N58" s="51" t="s">
        <v>153</v>
      </c>
      <c r="O58" s="33">
        <v>99.85</v>
      </c>
      <c r="P58" s="33" t="s">
        <v>393</v>
      </c>
      <c r="Q58" s="52">
        <v>0.10502121925354004</v>
      </c>
      <c r="R58" s="52">
        <v>0.10572052</v>
      </c>
      <c r="S58" s="53">
        <v>1.4285714285714286E-3</v>
      </c>
      <c r="T58" s="33" t="s">
        <v>155</v>
      </c>
      <c r="U58" s="33"/>
      <c r="V58" s="40" t="str">
        <f>VLOOKUP(L58,[1]Sheet1!$B:$C,2,0)</f>
        <v>Named Storm / Florida</v>
      </c>
    </row>
    <row r="59" spans="1:22" s="40" customFormat="1" ht="12" x14ac:dyDescent="0.25">
      <c r="A59" s="30" t="s">
        <v>469</v>
      </c>
      <c r="B59" s="33" t="s">
        <v>23</v>
      </c>
      <c r="C59" s="33" t="s">
        <v>31</v>
      </c>
      <c r="D59" s="32" t="s">
        <v>407</v>
      </c>
      <c r="E59" s="48" t="s">
        <v>377</v>
      </c>
      <c r="F59" s="48" t="s">
        <v>161</v>
      </c>
      <c r="G59" s="48" t="s">
        <v>162</v>
      </c>
      <c r="H59" s="48" t="s">
        <v>352</v>
      </c>
      <c r="I59" s="33" t="s">
        <v>151</v>
      </c>
      <c r="J59" s="49">
        <v>46520</v>
      </c>
      <c r="K59" s="50">
        <v>250000</v>
      </c>
      <c r="L59" s="48" t="s">
        <v>378</v>
      </c>
      <c r="M59" s="33">
        <v>104.6</v>
      </c>
      <c r="N59" s="51" t="s">
        <v>153</v>
      </c>
      <c r="O59" s="33">
        <v>104.6</v>
      </c>
      <c r="P59" s="33" t="s">
        <v>393</v>
      </c>
      <c r="Q59" s="52">
        <v>0.16392121925354006</v>
      </c>
      <c r="R59" s="52">
        <v>9.7166349999999999E-2</v>
      </c>
      <c r="S59" s="53">
        <v>2.0833333333333333E-3</v>
      </c>
      <c r="T59" s="33" t="s">
        <v>155</v>
      </c>
      <c r="U59" s="33"/>
      <c r="V59" s="40" t="str">
        <f>VLOOKUP(L59,[1]Sheet1!$B:$C,2,0)</f>
        <v>Named Storm / Louisiana</v>
      </c>
    </row>
    <row r="60" spans="1:22" s="40" customFormat="1" ht="12" x14ac:dyDescent="0.25">
      <c r="A60" s="30" t="s">
        <v>469</v>
      </c>
      <c r="B60" s="33" t="s">
        <v>23</v>
      </c>
      <c r="C60" s="33" t="s">
        <v>32</v>
      </c>
      <c r="D60" s="32" t="s">
        <v>407</v>
      </c>
      <c r="E60" s="48" t="s">
        <v>380</v>
      </c>
      <c r="F60" s="48" t="s">
        <v>161</v>
      </c>
      <c r="G60" s="48" t="s">
        <v>150</v>
      </c>
      <c r="H60" s="48" t="s">
        <v>352</v>
      </c>
      <c r="I60" s="33" t="s">
        <v>151</v>
      </c>
      <c r="J60" s="49">
        <v>46521</v>
      </c>
      <c r="K60" s="50">
        <v>250000</v>
      </c>
      <c r="L60" s="48" t="s">
        <v>381</v>
      </c>
      <c r="M60" s="33">
        <v>102.85</v>
      </c>
      <c r="N60" s="51" t="s">
        <v>153</v>
      </c>
      <c r="O60" s="33">
        <v>102.85</v>
      </c>
      <c r="P60" s="33" t="s">
        <v>393</v>
      </c>
      <c r="Q60" s="52">
        <v>0.13702121925354002</v>
      </c>
      <c r="R60" s="52">
        <v>0.11910928</v>
      </c>
      <c r="S60" s="53">
        <v>1.6666666666666668E-3</v>
      </c>
      <c r="T60" s="33" t="s">
        <v>155</v>
      </c>
      <c r="U60" s="33"/>
      <c r="V60" s="40" t="str">
        <f>VLOOKUP(L60,[1]Sheet1!$B:$C,2,0)</f>
        <v>Named Storm / Florida</v>
      </c>
    </row>
    <row r="61" spans="1:22" s="40" customFormat="1" ht="12" x14ac:dyDescent="0.25">
      <c r="A61" s="30" t="s">
        <v>469</v>
      </c>
      <c r="B61" s="33" t="s">
        <v>23</v>
      </c>
      <c r="C61" s="33" t="s">
        <v>33</v>
      </c>
      <c r="D61" s="32" t="s">
        <v>407</v>
      </c>
      <c r="E61" s="48" t="s">
        <v>388</v>
      </c>
      <c r="F61" s="48" t="s">
        <v>156</v>
      </c>
      <c r="G61" s="48" t="s">
        <v>162</v>
      </c>
      <c r="H61" s="48" t="s">
        <v>352</v>
      </c>
      <c r="I61" s="33" t="s">
        <v>151</v>
      </c>
      <c r="J61" s="49">
        <v>46638</v>
      </c>
      <c r="K61" s="50">
        <v>250000</v>
      </c>
      <c r="L61" s="48" t="s">
        <v>389</v>
      </c>
      <c r="M61" s="33">
        <v>103.85</v>
      </c>
      <c r="N61" s="51" t="s">
        <v>153</v>
      </c>
      <c r="O61" s="33">
        <v>103.85</v>
      </c>
      <c r="P61" s="33" t="s">
        <v>393</v>
      </c>
      <c r="Q61" s="52">
        <v>0.12712121925354006</v>
      </c>
      <c r="R61" s="52">
        <v>7.397630999999999E-2</v>
      </c>
      <c r="S61" s="53">
        <v>2.1739130434782609E-3</v>
      </c>
      <c r="T61" s="33" t="s">
        <v>155</v>
      </c>
      <c r="U61" s="33"/>
      <c r="V61" s="40" t="str">
        <f>VLOOKUP(L61,[1]Sheet1!$B:$C,2,0)</f>
        <v>Named Storm / Northeast U.S.</v>
      </c>
    </row>
    <row r="62" spans="1:22" s="40" customFormat="1" ht="12" x14ac:dyDescent="0.25">
      <c r="A62" s="30" t="s">
        <v>469</v>
      </c>
      <c r="B62" s="33" t="s">
        <v>23</v>
      </c>
      <c r="C62" s="33" t="s">
        <v>34</v>
      </c>
      <c r="D62" s="32" t="s">
        <v>407</v>
      </c>
      <c r="E62" s="48" t="s">
        <v>390</v>
      </c>
      <c r="F62" s="48" t="s">
        <v>161</v>
      </c>
      <c r="G62" s="48" t="s">
        <v>391</v>
      </c>
      <c r="H62" s="48" t="s">
        <v>352</v>
      </c>
      <c r="I62" s="33" t="s">
        <v>151</v>
      </c>
      <c r="J62" s="49">
        <v>46638</v>
      </c>
      <c r="K62" s="50">
        <v>250000</v>
      </c>
      <c r="L62" s="48" t="s">
        <v>392</v>
      </c>
      <c r="M62" s="33">
        <v>102.9</v>
      </c>
      <c r="N62" s="51" t="s">
        <v>153</v>
      </c>
      <c r="O62" s="33">
        <v>102.9</v>
      </c>
      <c r="P62" s="33" t="s">
        <v>393</v>
      </c>
      <c r="Q62" s="52">
        <v>0.14582121925354005</v>
      </c>
      <c r="R62" s="52">
        <v>0.10549349</v>
      </c>
      <c r="S62" s="53">
        <v>2.5000000000000001E-3</v>
      </c>
      <c r="T62" s="33" t="s">
        <v>155</v>
      </c>
      <c r="U62" s="33"/>
      <c r="V62" s="40" t="str">
        <f>VLOOKUP(L62,[1]Sheet1!$B:$C,2,0)</f>
        <v>Named Storm / Florida, South Carolina</v>
      </c>
    </row>
    <row r="63" spans="1:22" s="40" customFormat="1" ht="12" x14ac:dyDescent="0.25">
      <c r="A63" s="30" t="s">
        <v>470</v>
      </c>
      <c r="B63" s="33" t="s">
        <v>23</v>
      </c>
      <c r="C63" s="33" t="s">
        <v>24</v>
      </c>
      <c r="D63" s="32" t="s">
        <v>340</v>
      </c>
      <c r="E63" s="48" t="s">
        <v>342</v>
      </c>
      <c r="F63" s="48" t="s">
        <v>149</v>
      </c>
      <c r="G63" s="48" t="s">
        <v>150</v>
      </c>
      <c r="H63" s="48" t="s">
        <v>352</v>
      </c>
      <c r="I63" s="33" t="s">
        <v>151</v>
      </c>
      <c r="J63" s="49">
        <v>45749</v>
      </c>
      <c r="K63" s="50">
        <v>250000</v>
      </c>
      <c r="L63" s="51" t="s">
        <v>152</v>
      </c>
      <c r="M63" s="33">
        <v>101</v>
      </c>
      <c r="N63" s="51" t="s">
        <v>153</v>
      </c>
      <c r="O63" s="33">
        <v>101</v>
      </c>
      <c r="P63" s="33" t="s">
        <v>154</v>
      </c>
      <c r="Q63" s="52">
        <v>6.1507199764251702E-2</v>
      </c>
      <c r="R63" s="52">
        <v>5.6114689999999995E-2</v>
      </c>
      <c r="S63" s="53">
        <v>1.6666666666666668E-3</v>
      </c>
      <c r="T63" s="33" t="s">
        <v>155</v>
      </c>
      <c r="U63" s="33"/>
      <c r="V63" s="40" t="str">
        <f>VLOOKUP(L63,[1]Sheet1!$B:$C,2,0)</f>
        <v>Earthquake / Japan</v>
      </c>
    </row>
    <row r="64" spans="1:22" s="40" customFormat="1" ht="12" x14ac:dyDescent="0.25">
      <c r="A64" s="30" t="s">
        <v>470</v>
      </c>
      <c r="B64" s="33" t="s">
        <v>23</v>
      </c>
      <c r="C64" s="33" t="s">
        <v>25</v>
      </c>
      <c r="D64" s="32" t="s">
        <v>340</v>
      </c>
      <c r="E64" s="48" t="s">
        <v>343</v>
      </c>
      <c r="F64" s="48" t="s">
        <v>156</v>
      </c>
      <c r="G64" s="48" t="s">
        <v>157</v>
      </c>
      <c r="H64" s="48" t="s">
        <v>352</v>
      </c>
      <c r="I64" s="33" t="s">
        <v>151</v>
      </c>
      <c r="J64" s="49">
        <v>45751</v>
      </c>
      <c r="K64" s="50">
        <v>250000</v>
      </c>
      <c r="L64" s="51" t="s">
        <v>158</v>
      </c>
      <c r="M64" s="33">
        <v>100.2</v>
      </c>
      <c r="N64" s="51" t="s">
        <v>153</v>
      </c>
      <c r="O64" s="33">
        <v>100.2</v>
      </c>
      <c r="P64" s="33" t="s">
        <v>159</v>
      </c>
      <c r="Q64" s="52">
        <v>0.1041071997642517</v>
      </c>
      <c r="R64" s="52">
        <v>0.10300053000000001</v>
      </c>
      <c r="S64" s="53">
        <v>8.3333333333333332E-3</v>
      </c>
      <c r="T64" s="33" t="s">
        <v>155</v>
      </c>
      <c r="U64" s="33"/>
      <c r="V64" s="40" t="str">
        <f>VLOOKUP(L64,[1]Sheet1!$B:$C,2,0)</f>
        <v>Earthquake / U.S., Canada, Puerto Rico, U.S. VI ; Named Storm / U.S., Puerto Rico, U.S. VI</v>
      </c>
    </row>
    <row r="65" spans="1:22" s="40" customFormat="1" ht="12" x14ac:dyDescent="0.25">
      <c r="A65" s="30" t="s">
        <v>470</v>
      </c>
      <c r="B65" s="33" t="s">
        <v>23</v>
      </c>
      <c r="C65" s="33" t="s">
        <v>26</v>
      </c>
      <c r="D65" s="32" t="s">
        <v>340</v>
      </c>
      <c r="E65" s="48" t="s">
        <v>344</v>
      </c>
      <c r="F65" s="48" t="s">
        <v>161</v>
      </c>
      <c r="G65" s="48" t="s">
        <v>162</v>
      </c>
      <c r="H65" s="48" t="s">
        <v>352</v>
      </c>
      <c r="I65" s="33" t="s">
        <v>151</v>
      </c>
      <c r="J65" s="49">
        <v>45751</v>
      </c>
      <c r="K65" s="50">
        <v>250000</v>
      </c>
      <c r="L65" s="51" t="s">
        <v>163</v>
      </c>
      <c r="M65" s="33">
        <v>102.85</v>
      </c>
      <c r="N65" s="51" t="s">
        <v>153</v>
      </c>
      <c r="O65" s="33">
        <v>102.85</v>
      </c>
      <c r="P65" s="33" t="s">
        <v>154</v>
      </c>
      <c r="Q65" s="52">
        <v>9.0999999999999998E-2</v>
      </c>
      <c r="R65" s="52">
        <v>7.670283E-2</v>
      </c>
      <c r="S65" s="53">
        <v>1.25E-3</v>
      </c>
      <c r="T65" s="33" t="s">
        <v>155</v>
      </c>
      <c r="U65" s="33"/>
      <c r="V65" s="40" t="str">
        <f>VLOOKUP(L65,[1]Sheet1!$B:$C,2,0)</f>
        <v>Named Storm / North Carolina</v>
      </c>
    </row>
    <row r="66" spans="1:22" s="40" customFormat="1" ht="12" x14ac:dyDescent="0.25">
      <c r="A66" s="30" t="s">
        <v>470</v>
      </c>
      <c r="B66" s="33" t="s">
        <v>23</v>
      </c>
      <c r="C66" s="33" t="s">
        <v>28</v>
      </c>
      <c r="D66" s="32" t="s">
        <v>340</v>
      </c>
      <c r="E66" s="48" t="s">
        <v>345</v>
      </c>
      <c r="F66" s="48" t="s">
        <v>164</v>
      </c>
      <c r="G66" s="48" t="s">
        <v>165</v>
      </c>
      <c r="H66" s="48" t="s">
        <v>352</v>
      </c>
      <c r="I66" s="33" t="s">
        <v>151</v>
      </c>
      <c r="J66" s="49">
        <v>45751</v>
      </c>
      <c r="K66" s="50">
        <v>250000</v>
      </c>
      <c r="L66" s="51" t="s">
        <v>166</v>
      </c>
      <c r="M66" s="33">
        <v>101</v>
      </c>
      <c r="N66" s="51" t="s">
        <v>153</v>
      </c>
      <c r="O66" s="33">
        <v>101</v>
      </c>
      <c r="P66" s="33" t="s">
        <v>154</v>
      </c>
      <c r="Q66" s="52">
        <v>6.699999999999999E-2</v>
      </c>
      <c r="R66" s="52">
        <v>5.9638299999999998E-2</v>
      </c>
      <c r="S66" s="53">
        <v>2.0833333333333333E-3</v>
      </c>
      <c r="T66" s="33" t="s">
        <v>155</v>
      </c>
      <c r="U66" s="33"/>
      <c r="V66" s="40" t="str">
        <f>VLOOKUP(L66,[1]Sheet1!$B:$C,2,0)</f>
        <v>Typhoon ; Flood / Japan</v>
      </c>
    </row>
    <row r="67" spans="1:22" s="40" customFormat="1" ht="12" x14ac:dyDescent="0.25">
      <c r="A67" s="30" t="s">
        <v>470</v>
      </c>
      <c r="B67" s="33" t="s">
        <v>23</v>
      </c>
      <c r="C67" s="33" t="s">
        <v>29</v>
      </c>
      <c r="D67" s="32" t="s">
        <v>340</v>
      </c>
      <c r="E67" s="48" t="s">
        <v>346</v>
      </c>
      <c r="F67" s="48" t="s">
        <v>167</v>
      </c>
      <c r="G67" s="48" t="s">
        <v>168</v>
      </c>
      <c r="H67" s="48" t="s">
        <v>353</v>
      </c>
      <c r="I67" s="33" t="s">
        <v>151</v>
      </c>
      <c r="J67" s="49">
        <v>45751</v>
      </c>
      <c r="K67" s="50">
        <v>250000</v>
      </c>
      <c r="L67" s="51" t="s">
        <v>169</v>
      </c>
      <c r="M67" s="33">
        <v>103.95</v>
      </c>
      <c r="N67" s="51" t="s">
        <v>153</v>
      </c>
      <c r="O67" s="33">
        <v>103.95</v>
      </c>
      <c r="P67" s="33" t="s">
        <v>159</v>
      </c>
      <c r="Q67" s="52">
        <v>9.3599999999999989E-2</v>
      </c>
      <c r="R67" s="52">
        <v>7.1220699999999998E-2</v>
      </c>
      <c r="S67" s="53">
        <v>8.3333333333333339E-4</v>
      </c>
      <c r="T67" s="33" t="s">
        <v>155</v>
      </c>
      <c r="U67" s="33"/>
      <c r="V67" s="40" t="str">
        <f>VLOOKUP(L67,[1]Sheet1!$B:$C,2,0)</f>
        <v>Earthquake / California</v>
      </c>
    </row>
    <row r="68" spans="1:22" s="40" customFormat="1" ht="12" x14ac:dyDescent="0.25">
      <c r="A68" s="30" t="s">
        <v>470</v>
      </c>
      <c r="B68" s="33" t="s">
        <v>23</v>
      </c>
      <c r="C68" s="33" t="s">
        <v>30</v>
      </c>
      <c r="D68" s="32" t="s">
        <v>340</v>
      </c>
      <c r="E68" s="48" t="s">
        <v>347</v>
      </c>
      <c r="F68" s="48" t="s">
        <v>161</v>
      </c>
      <c r="G68" s="48" t="s">
        <v>157</v>
      </c>
      <c r="H68" s="48" t="s">
        <v>354</v>
      </c>
      <c r="I68" s="33" t="s">
        <v>151</v>
      </c>
      <c r="J68" s="49">
        <v>45755</v>
      </c>
      <c r="K68" s="50">
        <v>250000</v>
      </c>
      <c r="L68" s="51" t="s">
        <v>170</v>
      </c>
      <c r="M68" s="33">
        <v>100.25</v>
      </c>
      <c r="N68" s="51" t="s">
        <v>153</v>
      </c>
      <c r="O68" s="33">
        <v>100.25</v>
      </c>
      <c r="P68" s="33" t="s">
        <v>154</v>
      </c>
      <c r="Q68" s="52">
        <v>7.3784539999999996E-2</v>
      </c>
      <c r="R68" s="52">
        <v>7.5587660000000001E-2</v>
      </c>
      <c r="S68" s="53">
        <v>8.3333333333333339E-4</v>
      </c>
      <c r="T68" s="33" t="s">
        <v>155</v>
      </c>
      <c r="U68" s="33"/>
      <c r="V68" s="40" t="str">
        <f>VLOOKUP(L68,[1]Sheet1!$B:$C,2,0)</f>
        <v>Earthquake / U.S.</v>
      </c>
    </row>
    <row r="69" spans="1:22" s="40" customFormat="1" ht="12" x14ac:dyDescent="0.25">
      <c r="A69" s="30" t="s">
        <v>470</v>
      </c>
      <c r="B69" s="33" t="s">
        <v>23</v>
      </c>
      <c r="C69" s="33" t="s">
        <v>31</v>
      </c>
      <c r="D69" s="32" t="s">
        <v>340</v>
      </c>
      <c r="E69" s="48" t="s">
        <v>348</v>
      </c>
      <c r="F69" s="48" t="s">
        <v>161</v>
      </c>
      <c r="G69" s="48" t="s">
        <v>150</v>
      </c>
      <c r="H69" s="48" t="s">
        <v>352</v>
      </c>
      <c r="I69" s="33" t="s">
        <v>151</v>
      </c>
      <c r="J69" s="49">
        <v>45755</v>
      </c>
      <c r="K69" s="50">
        <v>250000</v>
      </c>
      <c r="L69" s="51" t="s">
        <v>355</v>
      </c>
      <c r="M69" s="33">
        <v>100.65</v>
      </c>
      <c r="N69" s="51" t="s">
        <v>153</v>
      </c>
      <c r="O69" s="33">
        <v>100.65</v>
      </c>
      <c r="P69" s="33" t="s">
        <v>159</v>
      </c>
      <c r="Q69" s="52">
        <v>8.9900000000000008E-2</v>
      </c>
      <c r="R69" s="52">
        <v>9.0425339999999993E-2</v>
      </c>
      <c r="S69" s="53">
        <v>1.25E-3</v>
      </c>
      <c r="T69" s="33" t="s">
        <v>155</v>
      </c>
      <c r="U69" s="33"/>
      <c r="V69" s="40" t="str">
        <f>VLOOKUP(L69,[1]Sheet1!$B:$C,2,0)</f>
        <v>Earthquake ; Named Storm / U.S., Canada, Caribbean</v>
      </c>
    </row>
    <row r="70" spans="1:22" s="40" customFormat="1" ht="12" x14ac:dyDescent="0.25">
      <c r="A70" s="30" t="s">
        <v>470</v>
      </c>
      <c r="B70" s="33" t="s">
        <v>23</v>
      </c>
      <c r="C70" s="33" t="s">
        <v>32</v>
      </c>
      <c r="D70" s="32" t="s">
        <v>340</v>
      </c>
      <c r="E70" s="48" t="s">
        <v>349</v>
      </c>
      <c r="F70" s="48" t="s">
        <v>161</v>
      </c>
      <c r="G70" s="48" t="s">
        <v>150</v>
      </c>
      <c r="H70" s="48" t="s">
        <v>352</v>
      </c>
      <c r="I70" s="33" t="s">
        <v>151</v>
      </c>
      <c r="J70" s="49">
        <v>45756</v>
      </c>
      <c r="K70" s="50">
        <v>250000</v>
      </c>
      <c r="L70" s="51" t="s">
        <v>356</v>
      </c>
      <c r="M70" s="33">
        <v>102.3</v>
      </c>
      <c r="N70" s="51" t="s">
        <v>153</v>
      </c>
      <c r="O70" s="33">
        <v>102.3</v>
      </c>
      <c r="P70" s="33" t="s">
        <v>154</v>
      </c>
      <c r="Q70" s="52">
        <v>7.8799999999999995E-2</v>
      </c>
      <c r="R70" s="52">
        <v>6.796395999999999E-2</v>
      </c>
      <c r="S70" s="53">
        <v>9.8039215686274508E-4</v>
      </c>
      <c r="T70" s="33" t="s">
        <v>155</v>
      </c>
      <c r="U70" s="33"/>
      <c r="V70" s="40" t="str">
        <f>VLOOKUP(L70,[1]Sheet1!$B:$C,2,0)</f>
        <v>Named Storm / Texas</v>
      </c>
    </row>
    <row r="71" spans="1:22" s="40" customFormat="1" ht="12" x14ac:dyDescent="0.25">
      <c r="A71" s="30" t="s">
        <v>470</v>
      </c>
      <c r="B71" s="33" t="s">
        <v>23</v>
      </c>
      <c r="C71" s="33" t="s">
        <v>33</v>
      </c>
      <c r="D71" s="32" t="s">
        <v>340</v>
      </c>
      <c r="E71" s="48" t="s">
        <v>350</v>
      </c>
      <c r="F71" s="48" t="s">
        <v>161</v>
      </c>
      <c r="G71" s="48" t="s">
        <v>162</v>
      </c>
      <c r="H71" s="48" t="s">
        <v>352</v>
      </c>
      <c r="I71" s="33" t="s">
        <v>151</v>
      </c>
      <c r="J71" s="49">
        <v>45756</v>
      </c>
      <c r="K71" s="50">
        <v>250000</v>
      </c>
      <c r="L71" s="51" t="s">
        <v>357</v>
      </c>
      <c r="M71" s="33">
        <v>102.2</v>
      </c>
      <c r="N71" s="51" t="s">
        <v>153</v>
      </c>
      <c r="O71" s="33">
        <v>102.2</v>
      </c>
      <c r="P71" s="33" t="s">
        <v>159</v>
      </c>
      <c r="Q71" s="52">
        <v>8.9099999999999999E-2</v>
      </c>
      <c r="R71" s="52">
        <v>8.1303790000000001E-2</v>
      </c>
      <c r="S71" s="53">
        <v>2.5000000000000001E-3</v>
      </c>
      <c r="T71" s="33" t="s">
        <v>155</v>
      </c>
      <c r="U71" s="33"/>
      <c r="V71" s="40" t="str">
        <f>VLOOKUP(L71,[1]Sheet1!$B:$C,2,0)</f>
        <v>All Natural Perils / Northeast U.S.</v>
      </c>
    </row>
    <row r="72" spans="1:22" s="40" customFormat="1" ht="12" x14ac:dyDescent="0.25">
      <c r="A72" s="30" t="s">
        <v>470</v>
      </c>
      <c r="B72" s="33" t="s">
        <v>23</v>
      </c>
      <c r="C72" s="33" t="s">
        <v>34</v>
      </c>
      <c r="D72" s="32" t="s">
        <v>340</v>
      </c>
      <c r="E72" s="48" t="s">
        <v>351</v>
      </c>
      <c r="F72" s="48" t="s">
        <v>161</v>
      </c>
      <c r="G72" s="48" t="s">
        <v>162</v>
      </c>
      <c r="H72" s="48" t="s">
        <v>352</v>
      </c>
      <c r="I72" s="33" t="s">
        <v>151</v>
      </c>
      <c r="J72" s="49">
        <v>45756</v>
      </c>
      <c r="K72" s="50">
        <v>250000</v>
      </c>
      <c r="L72" s="51" t="s">
        <v>358</v>
      </c>
      <c r="M72" s="33">
        <v>102.6</v>
      </c>
      <c r="N72" s="51" t="s">
        <v>153</v>
      </c>
      <c r="O72" s="33">
        <v>102.6</v>
      </c>
      <c r="P72" s="33" t="s">
        <v>159</v>
      </c>
      <c r="Q72" s="52">
        <v>9.3299999999999994E-2</v>
      </c>
      <c r="R72" s="52">
        <v>8.2204429999999995E-2</v>
      </c>
      <c r="S72" s="53">
        <v>2.5000000000000001E-3</v>
      </c>
      <c r="T72" s="33" t="s">
        <v>155</v>
      </c>
      <c r="U72" s="33"/>
      <c r="V72" s="40" t="str">
        <f>VLOOKUP(L72,[1]Sheet1!$B:$C,2,0)</f>
        <v>All Natural Perils / U.S. (excl. FL)</v>
      </c>
    </row>
    <row r="73" spans="1:22" s="40" customFormat="1" ht="12" x14ac:dyDescent="0.25">
      <c r="A73" s="30" t="s">
        <v>473</v>
      </c>
      <c r="B73" s="33" t="s">
        <v>23</v>
      </c>
      <c r="C73" s="33" t="s">
        <v>371</v>
      </c>
      <c r="D73" s="32" t="s">
        <v>341</v>
      </c>
      <c r="E73" s="48" t="s">
        <v>374</v>
      </c>
      <c r="F73" s="48" t="s">
        <v>161</v>
      </c>
      <c r="G73" s="48" t="s">
        <v>162</v>
      </c>
      <c r="H73" s="48" t="s">
        <v>352</v>
      </c>
      <c r="I73" s="33" t="s">
        <v>151</v>
      </c>
      <c r="J73" s="49">
        <v>46515</v>
      </c>
      <c r="K73" s="50">
        <v>250000</v>
      </c>
      <c r="L73" s="48" t="s">
        <v>375</v>
      </c>
      <c r="M73" s="33">
        <v>101.95</v>
      </c>
      <c r="N73" s="51" t="s">
        <v>153</v>
      </c>
      <c r="O73" s="33">
        <v>101.95</v>
      </c>
      <c r="P73" s="33" t="s">
        <v>393</v>
      </c>
      <c r="Q73" s="52">
        <v>9.3081216812133785E-2</v>
      </c>
      <c r="R73" s="52">
        <v>6.6261989999999993E-2</v>
      </c>
      <c r="S73" s="53">
        <v>1.6666666666666668E-3</v>
      </c>
      <c r="T73" s="33" t="s">
        <v>155</v>
      </c>
      <c r="V73" s="40" t="str">
        <f>VLOOKUP(L73,[1]Sheet1!$B:$C,2,0)</f>
        <v>Earthquake / California</v>
      </c>
    </row>
    <row r="74" spans="1:22" s="40" customFormat="1" ht="12" x14ac:dyDescent="0.25">
      <c r="A74" s="30" t="s">
        <v>473</v>
      </c>
      <c r="B74" s="33" t="s">
        <v>23</v>
      </c>
      <c r="C74" s="33" t="s">
        <v>373</v>
      </c>
      <c r="D74" s="32" t="s">
        <v>341</v>
      </c>
      <c r="E74" s="48" t="s">
        <v>382</v>
      </c>
      <c r="F74" s="48" t="s">
        <v>161</v>
      </c>
      <c r="G74" s="48" t="s">
        <v>150</v>
      </c>
      <c r="H74" s="48" t="s">
        <v>354</v>
      </c>
      <c r="I74" s="33" t="s">
        <v>151</v>
      </c>
      <c r="J74" s="49">
        <v>46527</v>
      </c>
      <c r="K74" s="50">
        <v>250000</v>
      </c>
      <c r="L74" s="48" t="s">
        <v>383</v>
      </c>
      <c r="M74" s="33">
        <v>101.85</v>
      </c>
      <c r="N74" s="51" t="s">
        <v>153</v>
      </c>
      <c r="O74" s="33">
        <v>101.85</v>
      </c>
      <c r="P74" s="33" t="s">
        <v>393</v>
      </c>
      <c r="Q74" s="52">
        <v>0.10002121925354004</v>
      </c>
      <c r="R74" s="52">
        <v>9.1009530000000005E-2</v>
      </c>
      <c r="S74" s="53">
        <v>2.631578947368421E-3</v>
      </c>
      <c r="T74" s="33" t="s">
        <v>155</v>
      </c>
      <c r="V74" s="40" t="str">
        <f>VLOOKUP(L74,[1]Sheet1!$B:$C,2,0)</f>
        <v>Earthquake / U.S. (excl. AK, HI)</v>
      </c>
    </row>
    <row r="75" spans="1:22" s="40" customFormat="1" ht="12" x14ac:dyDescent="0.25">
      <c r="A75" s="30" t="s">
        <v>473</v>
      </c>
      <c r="B75" s="33" t="s">
        <v>23</v>
      </c>
      <c r="C75" s="33" t="s">
        <v>376</v>
      </c>
      <c r="D75" s="32" t="s">
        <v>341</v>
      </c>
      <c r="E75" s="48" t="s">
        <v>387</v>
      </c>
      <c r="F75" s="48" t="s">
        <v>156</v>
      </c>
      <c r="G75" s="48" t="s">
        <v>162</v>
      </c>
      <c r="H75" s="48" t="s">
        <v>352</v>
      </c>
      <c r="I75" s="33" t="s">
        <v>151</v>
      </c>
      <c r="J75" s="49">
        <v>46223</v>
      </c>
      <c r="K75" s="50">
        <v>250000</v>
      </c>
      <c r="L75" s="48" t="s">
        <v>454</v>
      </c>
      <c r="M75" s="33">
        <v>102.87</v>
      </c>
      <c r="N75" s="51" t="s">
        <v>153</v>
      </c>
      <c r="O75" s="33">
        <v>102.87</v>
      </c>
      <c r="P75" s="33" t="s">
        <v>393</v>
      </c>
      <c r="Q75" s="52">
        <v>0.1648</v>
      </c>
      <c r="R75" s="52">
        <v>0.1148</v>
      </c>
      <c r="S75" s="53">
        <v>3.3333333333333335E-3</v>
      </c>
      <c r="T75" s="33" t="s">
        <v>155</v>
      </c>
      <c r="V75" s="40" t="str">
        <f>VLOOKUP(L75,[1]Sheet1!$B:$C,2,0)</f>
        <v>NULL</v>
      </c>
    </row>
    <row r="76" spans="1:22" s="40" customFormat="1" ht="12" x14ac:dyDescent="0.25">
      <c r="A76" s="30" t="s">
        <v>473</v>
      </c>
      <c r="B76" s="33" t="s">
        <v>23</v>
      </c>
      <c r="C76" s="33" t="s">
        <v>379</v>
      </c>
      <c r="D76" s="32" t="s">
        <v>341</v>
      </c>
      <c r="E76" s="48" t="s">
        <v>455</v>
      </c>
      <c r="F76" s="48" t="s">
        <v>456</v>
      </c>
      <c r="G76" s="48" t="s">
        <v>157</v>
      </c>
      <c r="H76" s="48" t="s">
        <v>354</v>
      </c>
      <c r="I76" s="33" t="s">
        <v>151</v>
      </c>
      <c r="J76" s="49">
        <v>46223</v>
      </c>
      <c r="K76" s="50">
        <v>250000</v>
      </c>
      <c r="L76" s="48" t="s">
        <v>457</v>
      </c>
      <c r="M76" s="33">
        <v>102.03</v>
      </c>
      <c r="N76" s="51" t="s">
        <v>153</v>
      </c>
      <c r="O76" s="33">
        <v>102.03</v>
      </c>
      <c r="P76" s="33" t="s">
        <v>393</v>
      </c>
      <c r="Q76" s="52">
        <v>0.1285</v>
      </c>
      <c r="R76" s="52">
        <v>7.85E-2</v>
      </c>
      <c r="S76" s="53">
        <v>6.2500000000000001E-4</v>
      </c>
      <c r="T76" s="33" t="s">
        <v>155</v>
      </c>
      <c r="V76" s="40" t="str">
        <f>VLOOKUP(L76,[1]Sheet1!$B:$C,2,0)</f>
        <v>Earthquake / California</v>
      </c>
    </row>
    <row r="77" spans="1:22" s="40" customFormat="1" ht="12" x14ac:dyDescent="0.25">
      <c r="A77" s="30" t="s">
        <v>473</v>
      </c>
      <c r="B77" s="33" t="s">
        <v>23</v>
      </c>
      <c r="C77" s="33" t="s">
        <v>384</v>
      </c>
      <c r="D77" s="32" t="s">
        <v>341</v>
      </c>
      <c r="E77" s="48" t="s">
        <v>458</v>
      </c>
      <c r="F77" s="48" t="s">
        <v>459</v>
      </c>
      <c r="G77" s="48" t="s">
        <v>157</v>
      </c>
      <c r="H77" s="48" t="s">
        <v>354</v>
      </c>
      <c r="I77" s="33" t="s">
        <v>151</v>
      </c>
      <c r="J77" s="49">
        <v>46223</v>
      </c>
      <c r="K77" s="50">
        <v>250000</v>
      </c>
      <c r="L77" s="48" t="s">
        <v>460</v>
      </c>
      <c r="M77" s="33">
        <v>101.69</v>
      </c>
      <c r="N77" s="51" t="s">
        <v>153</v>
      </c>
      <c r="O77" s="33">
        <v>101.69</v>
      </c>
      <c r="P77" s="33" t="s">
        <v>393</v>
      </c>
      <c r="Q77" s="52">
        <v>0.11366956</v>
      </c>
      <c r="R77" s="52">
        <v>6.366956E-2</v>
      </c>
      <c r="S77" s="53">
        <v>6.2500000000000001E-4</v>
      </c>
      <c r="T77" s="33" t="s">
        <v>155</v>
      </c>
      <c r="V77" s="40" t="str">
        <f>VLOOKUP(L77,[1]Sheet1!$B:$C,2,0)</f>
        <v>Earthquake / California</v>
      </c>
    </row>
    <row r="78" spans="1:22" s="40" customFormat="1" ht="12" x14ac:dyDescent="0.25">
      <c r="A78" s="30" t="s">
        <v>473</v>
      </c>
      <c r="B78" s="33" t="s">
        <v>23</v>
      </c>
      <c r="C78" s="33" t="s">
        <v>385</v>
      </c>
      <c r="D78" s="32" t="s">
        <v>341</v>
      </c>
      <c r="E78" s="48" t="s">
        <v>368</v>
      </c>
      <c r="F78" s="48" t="s">
        <v>156</v>
      </c>
      <c r="G78" s="48" t="s">
        <v>162</v>
      </c>
      <c r="H78" s="48" t="s">
        <v>352</v>
      </c>
      <c r="I78" s="33" t="s">
        <v>151</v>
      </c>
      <c r="J78" s="49">
        <v>46223</v>
      </c>
      <c r="K78" s="50">
        <v>250000</v>
      </c>
      <c r="L78" s="48" t="s">
        <v>461</v>
      </c>
      <c r="M78" s="33">
        <v>103.06</v>
      </c>
      <c r="N78" s="51" t="s">
        <v>153</v>
      </c>
      <c r="O78" s="33">
        <v>103.06</v>
      </c>
      <c r="P78" s="33" t="s">
        <v>393</v>
      </c>
      <c r="Q78" s="52">
        <v>0.10539999999999999</v>
      </c>
      <c r="R78" s="52">
        <v>5.5399999999999991E-2</v>
      </c>
      <c r="S78" s="53">
        <v>1.6666666666666668E-3</v>
      </c>
      <c r="T78" s="33" t="s">
        <v>155</v>
      </c>
      <c r="V78" s="40" t="str">
        <f>VLOOKUP(L78,[1]Sheet1!$B:$C,2,0)</f>
        <v>Earthquake / California</v>
      </c>
    </row>
    <row r="79" spans="1:22" s="40" customFormat="1" ht="12" x14ac:dyDescent="0.25">
      <c r="A79" s="30" t="s">
        <v>473</v>
      </c>
      <c r="B79" s="33" t="s">
        <v>23</v>
      </c>
      <c r="C79" s="33" t="s">
        <v>386</v>
      </c>
      <c r="D79" s="32" t="s">
        <v>341</v>
      </c>
      <c r="E79" s="48" t="s">
        <v>462</v>
      </c>
      <c r="F79" s="48" t="s">
        <v>156</v>
      </c>
      <c r="G79" s="48" t="s">
        <v>162</v>
      </c>
      <c r="H79" s="48" t="s">
        <v>352</v>
      </c>
      <c r="I79" s="33" t="s">
        <v>151</v>
      </c>
      <c r="J79" s="49">
        <v>46223</v>
      </c>
      <c r="K79" s="50">
        <v>250000</v>
      </c>
      <c r="L79" s="48" t="s">
        <v>463</v>
      </c>
      <c r="M79" s="33">
        <v>102.08</v>
      </c>
      <c r="N79" s="51" t="s">
        <v>153</v>
      </c>
      <c r="O79" s="33">
        <v>102.08</v>
      </c>
      <c r="P79" s="33" t="s">
        <v>393</v>
      </c>
      <c r="Q79" s="52">
        <v>0.10589999999999999</v>
      </c>
      <c r="R79" s="52">
        <v>5.5899999999999991E-2</v>
      </c>
      <c r="S79" s="53">
        <v>1.1111111111111111E-3</v>
      </c>
      <c r="T79" s="33" t="s">
        <v>155</v>
      </c>
      <c r="V79" s="40" t="str">
        <f>VLOOKUP(L79,[1]Sheet1!$B:$C,2,0)</f>
        <v>Earthquake / California</v>
      </c>
    </row>
    <row r="80" spans="1:22" s="40" customFormat="1" ht="12" x14ac:dyDescent="0.25">
      <c r="A80" s="30" t="s">
        <v>471</v>
      </c>
      <c r="B80" s="33" t="s">
        <v>23</v>
      </c>
      <c r="C80" s="33" t="s">
        <v>371</v>
      </c>
      <c r="D80" s="32" t="s">
        <v>341</v>
      </c>
      <c r="E80" s="48" t="s">
        <v>374</v>
      </c>
      <c r="F80" s="48" t="s">
        <v>161</v>
      </c>
      <c r="G80" s="48" t="s">
        <v>162</v>
      </c>
      <c r="H80" s="48" t="s">
        <v>352</v>
      </c>
      <c r="I80" s="33" t="s">
        <v>151</v>
      </c>
      <c r="J80" s="49">
        <v>46515</v>
      </c>
      <c r="K80" s="50">
        <v>250000</v>
      </c>
      <c r="L80" s="48" t="s">
        <v>375</v>
      </c>
      <c r="M80" s="33">
        <v>101.95</v>
      </c>
      <c r="N80" s="51" t="s">
        <v>153</v>
      </c>
      <c r="O80" s="33">
        <v>101.95</v>
      </c>
      <c r="P80" s="33" t="s">
        <v>393</v>
      </c>
      <c r="Q80" s="52">
        <v>9.3081216812133785E-2</v>
      </c>
      <c r="R80" s="52">
        <v>6.6261989999999993E-2</v>
      </c>
      <c r="S80" s="53">
        <v>1.6666666666666668E-3</v>
      </c>
      <c r="T80" s="33" t="s">
        <v>155</v>
      </c>
      <c r="V80" s="40" t="str">
        <f>VLOOKUP(L80,[1]Sheet1!$B:$C,2,0)</f>
        <v>Earthquake / California</v>
      </c>
    </row>
    <row r="81" spans="1:22" s="40" customFormat="1" ht="12" x14ac:dyDescent="0.25">
      <c r="A81" s="30" t="s">
        <v>471</v>
      </c>
      <c r="B81" s="33" t="s">
        <v>23</v>
      </c>
      <c r="C81" s="33" t="s">
        <v>373</v>
      </c>
      <c r="D81" s="32" t="s">
        <v>341</v>
      </c>
      <c r="E81" s="48" t="s">
        <v>382</v>
      </c>
      <c r="F81" s="48" t="s">
        <v>161</v>
      </c>
      <c r="G81" s="48" t="s">
        <v>150</v>
      </c>
      <c r="H81" s="48" t="s">
        <v>354</v>
      </c>
      <c r="I81" s="33" t="s">
        <v>151</v>
      </c>
      <c r="J81" s="49">
        <v>46527</v>
      </c>
      <c r="K81" s="50">
        <v>250000</v>
      </c>
      <c r="L81" s="48" t="s">
        <v>383</v>
      </c>
      <c r="M81" s="33">
        <v>101.85</v>
      </c>
      <c r="N81" s="51" t="s">
        <v>153</v>
      </c>
      <c r="O81" s="33">
        <v>101.85</v>
      </c>
      <c r="P81" s="33" t="s">
        <v>393</v>
      </c>
      <c r="Q81" s="52">
        <v>0.10002121925354004</v>
      </c>
      <c r="R81" s="52">
        <v>9.1009530000000005E-2</v>
      </c>
      <c r="S81" s="53">
        <v>2.631578947368421E-3</v>
      </c>
      <c r="T81" s="33" t="s">
        <v>155</v>
      </c>
      <c r="V81" s="40" t="str">
        <f>VLOOKUP(L81,[1]Sheet1!$B:$C,2,0)</f>
        <v>Earthquake / U.S. (excl. AK, HI)</v>
      </c>
    </row>
    <row r="82" spans="1:22" s="40" customFormat="1" ht="12" x14ac:dyDescent="0.25">
      <c r="A82" s="30" t="s">
        <v>471</v>
      </c>
      <c r="B82" s="33" t="s">
        <v>23</v>
      </c>
      <c r="C82" s="33" t="s">
        <v>376</v>
      </c>
      <c r="D82" s="32" t="s">
        <v>341</v>
      </c>
      <c r="E82" s="48" t="s">
        <v>387</v>
      </c>
      <c r="F82" s="48" t="s">
        <v>156</v>
      </c>
      <c r="G82" s="48" t="s">
        <v>162</v>
      </c>
      <c r="H82" s="48" t="s">
        <v>352</v>
      </c>
      <c r="I82" s="33" t="s">
        <v>151</v>
      </c>
      <c r="J82" s="49">
        <v>46223</v>
      </c>
      <c r="K82" s="50">
        <v>250000</v>
      </c>
      <c r="L82" s="48" t="s">
        <v>454</v>
      </c>
      <c r="M82" s="33">
        <v>102.87</v>
      </c>
      <c r="N82" s="51" t="s">
        <v>153</v>
      </c>
      <c r="O82" s="33">
        <v>102.87</v>
      </c>
      <c r="P82" s="33" t="s">
        <v>393</v>
      </c>
      <c r="Q82" s="52">
        <v>0.1648</v>
      </c>
      <c r="R82" s="52">
        <v>0.1148</v>
      </c>
      <c r="S82" s="53">
        <v>3.3333333333333335E-3</v>
      </c>
      <c r="T82" s="33" t="s">
        <v>155</v>
      </c>
      <c r="V82" s="40" t="str">
        <f>VLOOKUP(L82,[1]Sheet1!$B:$C,2,0)</f>
        <v>NULL</v>
      </c>
    </row>
    <row r="83" spans="1:22" s="40" customFormat="1" ht="12" x14ac:dyDescent="0.25">
      <c r="A83" s="30" t="s">
        <v>471</v>
      </c>
      <c r="B83" s="33" t="s">
        <v>23</v>
      </c>
      <c r="C83" s="33" t="s">
        <v>379</v>
      </c>
      <c r="D83" s="32" t="s">
        <v>341</v>
      </c>
      <c r="E83" s="48" t="s">
        <v>455</v>
      </c>
      <c r="F83" s="48" t="s">
        <v>456</v>
      </c>
      <c r="G83" s="48" t="s">
        <v>157</v>
      </c>
      <c r="H83" s="48" t="s">
        <v>354</v>
      </c>
      <c r="I83" s="33" t="s">
        <v>151</v>
      </c>
      <c r="J83" s="49">
        <v>46223</v>
      </c>
      <c r="K83" s="50">
        <v>250000</v>
      </c>
      <c r="L83" s="48" t="s">
        <v>457</v>
      </c>
      <c r="M83" s="33">
        <v>102.03</v>
      </c>
      <c r="N83" s="51" t="s">
        <v>153</v>
      </c>
      <c r="O83" s="33">
        <v>102.03</v>
      </c>
      <c r="P83" s="33" t="s">
        <v>393</v>
      </c>
      <c r="Q83" s="52">
        <v>0.1285</v>
      </c>
      <c r="R83" s="52">
        <v>7.85E-2</v>
      </c>
      <c r="S83" s="53">
        <v>6.2500000000000001E-4</v>
      </c>
      <c r="T83" s="33" t="s">
        <v>155</v>
      </c>
      <c r="V83" s="40" t="str">
        <f>VLOOKUP(L83,[1]Sheet1!$B:$C,2,0)</f>
        <v>Earthquake / California</v>
      </c>
    </row>
    <row r="84" spans="1:22" s="40" customFormat="1" ht="12" x14ac:dyDescent="0.25">
      <c r="A84" s="30" t="s">
        <v>471</v>
      </c>
      <c r="B84" s="33" t="s">
        <v>23</v>
      </c>
      <c r="C84" s="33" t="s">
        <v>384</v>
      </c>
      <c r="D84" s="32" t="s">
        <v>341</v>
      </c>
      <c r="E84" s="48" t="s">
        <v>458</v>
      </c>
      <c r="F84" s="48" t="s">
        <v>459</v>
      </c>
      <c r="G84" s="48" t="s">
        <v>157</v>
      </c>
      <c r="H84" s="48" t="s">
        <v>354</v>
      </c>
      <c r="I84" s="33" t="s">
        <v>151</v>
      </c>
      <c r="J84" s="49">
        <v>46223</v>
      </c>
      <c r="K84" s="50">
        <v>250000</v>
      </c>
      <c r="L84" s="48" t="s">
        <v>460</v>
      </c>
      <c r="M84" s="33">
        <v>101.69</v>
      </c>
      <c r="N84" s="51" t="s">
        <v>153</v>
      </c>
      <c r="O84" s="33">
        <v>101.69</v>
      </c>
      <c r="P84" s="33" t="s">
        <v>393</v>
      </c>
      <c r="Q84" s="52">
        <v>0.11366956</v>
      </c>
      <c r="R84" s="52">
        <v>6.366956E-2</v>
      </c>
      <c r="S84" s="53">
        <v>6.2500000000000001E-4</v>
      </c>
      <c r="T84" s="33" t="s">
        <v>155</v>
      </c>
      <c r="V84" s="40" t="str">
        <f>VLOOKUP(L84,[1]Sheet1!$B:$C,2,0)</f>
        <v>Earthquake / California</v>
      </c>
    </row>
    <row r="85" spans="1:22" s="40" customFormat="1" ht="12" x14ac:dyDescent="0.25">
      <c r="A85" s="30" t="s">
        <v>471</v>
      </c>
      <c r="B85" s="33" t="s">
        <v>23</v>
      </c>
      <c r="C85" s="33" t="s">
        <v>385</v>
      </c>
      <c r="D85" s="32" t="s">
        <v>341</v>
      </c>
      <c r="E85" s="48" t="s">
        <v>368</v>
      </c>
      <c r="F85" s="48" t="s">
        <v>156</v>
      </c>
      <c r="G85" s="48" t="s">
        <v>162</v>
      </c>
      <c r="H85" s="48" t="s">
        <v>352</v>
      </c>
      <c r="I85" s="33" t="s">
        <v>151</v>
      </c>
      <c r="J85" s="49">
        <v>46223</v>
      </c>
      <c r="K85" s="50">
        <v>250000</v>
      </c>
      <c r="L85" s="48" t="s">
        <v>461</v>
      </c>
      <c r="M85" s="33">
        <v>103.06</v>
      </c>
      <c r="N85" s="51" t="s">
        <v>153</v>
      </c>
      <c r="O85" s="33">
        <v>103.06</v>
      </c>
      <c r="P85" s="33" t="s">
        <v>393</v>
      </c>
      <c r="Q85" s="52">
        <v>0.10539999999999999</v>
      </c>
      <c r="R85" s="52">
        <v>5.5399999999999991E-2</v>
      </c>
      <c r="S85" s="53">
        <v>1.6666666666666668E-3</v>
      </c>
      <c r="T85" s="33" t="s">
        <v>155</v>
      </c>
      <c r="V85" s="40" t="str">
        <f>VLOOKUP(L85,[1]Sheet1!$B:$C,2,0)</f>
        <v>Earthquake / California</v>
      </c>
    </row>
    <row r="86" spans="1:22" s="40" customFormat="1" ht="12" x14ac:dyDescent="0.25">
      <c r="A86" s="30" t="s">
        <v>471</v>
      </c>
      <c r="B86" s="33" t="s">
        <v>23</v>
      </c>
      <c r="C86" s="33" t="s">
        <v>386</v>
      </c>
      <c r="D86" s="32" t="s">
        <v>341</v>
      </c>
      <c r="E86" s="48" t="s">
        <v>462</v>
      </c>
      <c r="F86" s="48" t="s">
        <v>156</v>
      </c>
      <c r="G86" s="48" t="s">
        <v>162</v>
      </c>
      <c r="H86" s="48" t="s">
        <v>352</v>
      </c>
      <c r="I86" s="33" t="s">
        <v>151</v>
      </c>
      <c r="J86" s="49">
        <v>46223</v>
      </c>
      <c r="K86" s="50">
        <v>250000</v>
      </c>
      <c r="L86" s="48" t="s">
        <v>463</v>
      </c>
      <c r="M86" s="33">
        <v>102.08</v>
      </c>
      <c r="N86" s="51" t="s">
        <v>153</v>
      </c>
      <c r="O86" s="33">
        <v>102.08</v>
      </c>
      <c r="P86" s="33" t="s">
        <v>393</v>
      </c>
      <c r="Q86" s="52">
        <v>0.10589999999999999</v>
      </c>
      <c r="R86" s="52">
        <v>5.5899999999999991E-2</v>
      </c>
      <c r="S86" s="53">
        <v>1.1111111111111111E-3</v>
      </c>
      <c r="T86" s="33" t="s">
        <v>155</v>
      </c>
      <c r="V86" s="40" t="str">
        <f>VLOOKUP(L86,[1]Sheet1!$B:$C,2,0)</f>
        <v>Earthquake / California</v>
      </c>
    </row>
    <row r="87" spans="1:22" s="40" customFormat="1" ht="12" x14ac:dyDescent="0.25">
      <c r="A87" s="30" t="s">
        <v>474</v>
      </c>
      <c r="B87" s="33" t="s">
        <v>23</v>
      </c>
      <c r="C87" s="33" t="s">
        <v>371</v>
      </c>
      <c r="D87" s="32" t="s">
        <v>341</v>
      </c>
      <c r="E87" s="48" t="s">
        <v>374</v>
      </c>
      <c r="F87" s="48" t="s">
        <v>161</v>
      </c>
      <c r="G87" s="48" t="s">
        <v>162</v>
      </c>
      <c r="H87" s="48" t="s">
        <v>352</v>
      </c>
      <c r="I87" s="33" t="s">
        <v>151</v>
      </c>
      <c r="J87" s="49">
        <v>46515</v>
      </c>
      <c r="K87" s="50">
        <v>250000</v>
      </c>
      <c r="L87" s="48" t="s">
        <v>375</v>
      </c>
      <c r="M87" s="33">
        <v>101.95</v>
      </c>
      <c r="N87" s="51" t="s">
        <v>153</v>
      </c>
      <c r="O87" s="33">
        <v>101.95</v>
      </c>
      <c r="P87" s="33" t="s">
        <v>393</v>
      </c>
      <c r="Q87" s="52">
        <v>9.3081216812133785E-2</v>
      </c>
      <c r="R87" s="52">
        <v>6.6261989999999993E-2</v>
      </c>
      <c r="S87" s="53">
        <v>1.6666666666666668E-3</v>
      </c>
      <c r="T87" s="33" t="s">
        <v>155</v>
      </c>
      <c r="V87" s="40" t="str">
        <f>VLOOKUP(L87,[1]Sheet1!$B:$C,2,0)</f>
        <v>Earthquake / California</v>
      </c>
    </row>
    <row r="88" spans="1:22" s="40" customFormat="1" ht="12" x14ac:dyDescent="0.25">
      <c r="A88" s="30" t="s">
        <v>474</v>
      </c>
      <c r="B88" s="33" t="s">
        <v>23</v>
      </c>
      <c r="C88" s="33" t="s">
        <v>373</v>
      </c>
      <c r="D88" s="32" t="s">
        <v>341</v>
      </c>
      <c r="E88" s="48" t="s">
        <v>382</v>
      </c>
      <c r="F88" s="48" t="s">
        <v>161</v>
      </c>
      <c r="G88" s="48" t="s">
        <v>150</v>
      </c>
      <c r="H88" s="48" t="s">
        <v>354</v>
      </c>
      <c r="I88" s="33" t="s">
        <v>151</v>
      </c>
      <c r="J88" s="49">
        <v>46527</v>
      </c>
      <c r="K88" s="50">
        <v>250000</v>
      </c>
      <c r="L88" s="48" t="s">
        <v>383</v>
      </c>
      <c r="M88" s="33">
        <v>101.85</v>
      </c>
      <c r="N88" s="51" t="s">
        <v>153</v>
      </c>
      <c r="O88" s="33">
        <v>101.85</v>
      </c>
      <c r="P88" s="33" t="s">
        <v>393</v>
      </c>
      <c r="Q88" s="52">
        <v>0.10002121925354004</v>
      </c>
      <c r="R88" s="52">
        <v>9.1009530000000005E-2</v>
      </c>
      <c r="S88" s="53">
        <v>2.631578947368421E-3</v>
      </c>
      <c r="T88" s="33" t="s">
        <v>155</v>
      </c>
      <c r="V88" s="40" t="str">
        <f>VLOOKUP(L88,[1]Sheet1!$B:$C,2,0)</f>
        <v>Earthquake / U.S. (excl. AK, HI)</v>
      </c>
    </row>
    <row r="89" spans="1:22" s="40" customFormat="1" ht="12" x14ac:dyDescent="0.25">
      <c r="A89" s="30" t="s">
        <v>474</v>
      </c>
      <c r="B89" s="33" t="s">
        <v>23</v>
      </c>
      <c r="C89" s="33" t="s">
        <v>376</v>
      </c>
      <c r="D89" s="32" t="s">
        <v>341</v>
      </c>
      <c r="E89" s="48" t="s">
        <v>387</v>
      </c>
      <c r="F89" s="48" t="s">
        <v>156</v>
      </c>
      <c r="G89" s="48" t="s">
        <v>162</v>
      </c>
      <c r="H89" s="48" t="s">
        <v>352</v>
      </c>
      <c r="I89" s="33" t="s">
        <v>151</v>
      </c>
      <c r="J89" s="49">
        <v>46223</v>
      </c>
      <c r="K89" s="50">
        <v>250000</v>
      </c>
      <c r="L89" s="48" t="s">
        <v>454</v>
      </c>
      <c r="M89" s="33">
        <v>102.87</v>
      </c>
      <c r="N89" s="51" t="s">
        <v>153</v>
      </c>
      <c r="O89" s="33">
        <v>102.87</v>
      </c>
      <c r="P89" s="33" t="s">
        <v>393</v>
      </c>
      <c r="Q89" s="52">
        <v>0.1648</v>
      </c>
      <c r="R89" s="52">
        <v>0.1148</v>
      </c>
      <c r="S89" s="53">
        <v>3.3333333333333335E-3</v>
      </c>
      <c r="T89" s="33" t="s">
        <v>155</v>
      </c>
      <c r="V89" s="40" t="str">
        <f>VLOOKUP(L89,[1]Sheet1!$B:$C,2,0)</f>
        <v>NULL</v>
      </c>
    </row>
    <row r="90" spans="1:22" s="40" customFormat="1" ht="12" x14ac:dyDescent="0.25">
      <c r="A90" s="30" t="s">
        <v>474</v>
      </c>
      <c r="B90" s="33" t="s">
        <v>23</v>
      </c>
      <c r="C90" s="33" t="s">
        <v>379</v>
      </c>
      <c r="D90" s="32" t="s">
        <v>341</v>
      </c>
      <c r="E90" s="48" t="s">
        <v>455</v>
      </c>
      <c r="F90" s="48" t="s">
        <v>456</v>
      </c>
      <c r="G90" s="48" t="s">
        <v>157</v>
      </c>
      <c r="H90" s="48" t="s">
        <v>354</v>
      </c>
      <c r="I90" s="33" t="s">
        <v>151</v>
      </c>
      <c r="J90" s="49">
        <v>46223</v>
      </c>
      <c r="K90" s="50">
        <v>250000</v>
      </c>
      <c r="L90" s="48" t="s">
        <v>457</v>
      </c>
      <c r="M90" s="33">
        <v>102.03</v>
      </c>
      <c r="N90" s="51" t="s">
        <v>153</v>
      </c>
      <c r="O90" s="33">
        <v>102.03</v>
      </c>
      <c r="P90" s="33" t="s">
        <v>393</v>
      </c>
      <c r="Q90" s="52">
        <v>0.1285</v>
      </c>
      <c r="R90" s="52">
        <v>7.85E-2</v>
      </c>
      <c r="S90" s="53">
        <v>6.2500000000000001E-4</v>
      </c>
      <c r="T90" s="33" t="s">
        <v>155</v>
      </c>
      <c r="V90" s="40" t="str">
        <f>VLOOKUP(L90,[1]Sheet1!$B:$C,2,0)</f>
        <v>Earthquake / California</v>
      </c>
    </row>
    <row r="91" spans="1:22" s="40" customFormat="1" ht="12" x14ac:dyDescent="0.25">
      <c r="A91" s="30" t="s">
        <v>474</v>
      </c>
      <c r="B91" s="33" t="s">
        <v>23</v>
      </c>
      <c r="C91" s="33" t="s">
        <v>384</v>
      </c>
      <c r="D91" s="32" t="s">
        <v>341</v>
      </c>
      <c r="E91" s="48" t="s">
        <v>458</v>
      </c>
      <c r="F91" s="48" t="s">
        <v>459</v>
      </c>
      <c r="G91" s="48" t="s">
        <v>157</v>
      </c>
      <c r="H91" s="48" t="s">
        <v>354</v>
      </c>
      <c r="I91" s="33" t="s">
        <v>151</v>
      </c>
      <c r="J91" s="49">
        <v>46223</v>
      </c>
      <c r="K91" s="50">
        <v>250000</v>
      </c>
      <c r="L91" s="48" t="s">
        <v>460</v>
      </c>
      <c r="M91" s="33">
        <v>101.69</v>
      </c>
      <c r="N91" s="51" t="s">
        <v>153</v>
      </c>
      <c r="O91" s="33">
        <v>101.69</v>
      </c>
      <c r="P91" s="33" t="s">
        <v>393</v>
      </c>
      <c r="Q91" s="52">
        <v>0.11366956</v>
      </c>
      <c r="R91" s="52">
        <v>6.366956E-2</v>
      </c>
      <c r="S91" s="53">
        <v>6.2500000000000001E-4</v>
      </c>
      <c r="T91" s="33" t="s">
        <v>155</v>
      </c>
      <c r="V91" s="40" t="str">
        <f>VLOOKUP(L91,[1]Sheet1!$B:$C,2,0)</f>
        <v>Earthquake / California</v>
      </c>
    </row>
    <row r="92" spans="1:22" s="40" customFormat="1" ht="12" x14ac:dyDescent="0.25">
      <c r="A92" s="30" t="s">
        <v>474</v>
      </c>
      <c r="B92" s="33" t="s">
        <v>23</v>
      </c>
      <c r="C92" s="33" t="s">
        <v>385</v>
      </c>
      <c r="D92" s="32" t="s">
        <v>341</v>
      </c>
      <c r="E92" s="48" t="s">
        <v>368</v>
      </c>
      <c r="F92" s="48" t="s">
        <v>156</v>
      </c>
      <c r="G92" s="48" t="s">
        <v>162</v>
      </c>
      <c r="H92" s="48" t="s">
        <v>352</v>
      </c>
      <c r="I92" s="33" t="s">
        <v>151</v>
      </c>
      <c r="J92" s="49">
        <v>46223</v>
      </c>
      <c r="K92" s="50">
        <v>250000</v>
      </c>
      <c r="L92" s="48" t="s">
        <v>461</v>
      </c>
      <c r="M92" s="33">
        <v>103.06</v>
      </c>
      <c r="N92" s="51" t="s">
        <v>153</v>
      </c>
      <c r="O92" s="33">
        <v>103.06</v>
      </c>
      <c r="P92" s="33" t="s">
        <v>393</v>
      </c>
      <c r="Q92" s="52">
        <v>0.10539999999999999</v>
      </c>
      <c r="R92" s="52">
        <v>5.5399999999999991E-2</v>
      </c>
      <c r="S92" s="53">
        <v>1.6666666666666668E-3</v>
      </c>
      <c r="T92" s="33" t="s">
        <v>155</v>
      </c>
      <c r="V92" s="40" t="str">
        <f>VLOOKUP(L92,[1]Sheet1!$B:$C,2,0)</f>
        <v>Earthquake / California</v>
      </c>
    </row>
    <row r="93" spans="1:22" s="40" customFormat="1" ht="12" x14ac:dyDescent="0.25">
      <c r="A93" s="30" t="s">
        <v>474</v>
      </c>
      <c r="B93" s="33" t="s">
        <v>23</v>
      </c>
      <c r="C93" s="33" t="s">
        <v>386</v>
      </c>
      <c r="D93" s="32" t="s">
        <v>341</v>
      </c>
      <c r="E93" s="48" t="s">
        <v>462</v>
      </c>
      <c r="F93" s="48" t="s">
        <v>156</v>
      </c>
      <c r="G93" s="48" t="s">
        <v>162</v>
      </c>
      <c r="H93" s="48" t="s">
        <v>352</v>
      </c>
      <c r="I93" s="33" t="s">
        <v>151</v>
      </c>
      <c r="J93" s="49">
        <v>46223</v>
      </c>
      <c r="K93" s="50">
        <v>250000</v>
      </c>
      <c r="L93" s="48" t="s">
        <v>463</v>
      </c>
      <c r="M93" s="33">
        <v>102.08</v>
      </c>
      <c r="N93" s="51" t="s">
        <v>153</v>
      </c>
      <c r="O93" s="33">
        <v>102.08</v>
      </c>
      <c r="P93" s="33" t="s">
        <v>393</v>
      </c>
      <c r="Q93" s="52">
        <v>0.10589999999999999</v>
      </c>
      <c r="R93" s="52">
        <v>5.5899999999999991E-2</v>
      </c>
      <c r="S93" s="53">
        <v>1.1111111111111111E-3</v>
      </c>
      <c r="T93" s="33" t="s">
        <v>155</v>
      </c>
      <c r="V93" s="40" t="str">
        <f>VLOOKUP(L93,[1]Sheet1!$B:$C,2,0)</f>
        <v>Earthquake / California</v>
      </c>
    </row>
    <row r="94" spans="1:22" s="40" customFormat="1" ht="12" x14ac:dyDescent="0.25">
      <c r="A94" s="30" t="s">
        <v>475</v>
      </c>
      <c r="B94" s="33" t="s">
        <v>23</v>
      </c>
      <c r="C94" s="33" t="s">
        <v>371</v>
      </c>
      <c r="D94" s="32" t="s">
        <v>341</v>
      </c>
      <c r="E94" s="48" t="s">
        <v>374</v>
      </c>
      <c r="F94" s="48" t="s">
        <v>161</v>
      </c>
      <c r="G94" s="48" t="s">
        <v>162</v>
      </c>
      <c r="H94" s="48" t="s">
        <v>352</v>
      </c>
      <c r="I94" s="33" t="s">
        <v>151</v>
      </c>
      <c r="J94" s="49">
        <v>46515</v>
      </c>
      <c r="K94" s="50">
        <v>250000</v>
      </c>
      <c r="L94" s="48" t="s">
        <v>375</v>
      </c>
      <c r="M94" s="33">
        <v>101.95</v>
      </c>
      <c r="N94" s="51" t="s">
        <v>153</v>
      </c>
      <c r="O94" s="33">
        <v>101.95</v>
      </c>
      <c r="P94" s="33" t="s">
        <v>393</v>
      </c>
      <c r="Q94" s="52">
        <v>9.3081216812133785E-2</v>
      </c>
      <c r="R94" s="52">
        <v>6.6261989999999993E-2</v>
      </c>
      <c r="S94" s="53">
        <v>1.6666666666666668E-3</v>
      </c>
      <c r="T94" s="33" t="s">
        <v>155</v>
      </c>
      <c r="V94" s="40" t="str">
        <f>VLOOKUP(L94,[1]Sheet1!$B:$C,2,0)</f>
        <v>Earthquake / California</v>
      </c>
    </row>
    <row r="95" spans="1:22" s="40" customFormat="1" ht="12" x14ac:dyDescent="0.25">
      <c r="A95" s="30" t="s">
        <v>475</v>
      </c>
      <c r="B95" s="33" t="s">
        <v>23</v>
      </c>
      <c r="C95" s="33" t="s">
        <v>373</v>
      </c>
      <c r="D95" s="32" t="s">
        <v>341</v>
      </c>
      <c r="E95" s="48" t="s">
        <v>382</v>
      </c>
      <c r="F95" s="48" t="s">
        <v>161</v>
      </c>
      <c r="G95" s="48" t="s">
        <v>150</v>
      </c>
      <c r="H95" s="48" t="s">
        <v>354</v>
      </c>
      <c r="I95" s="33" t="s">
        <v>151</v>
      </c>
      <c r="J95" s="49">
        <v>46527</v>
      </c>
      <c r="K95" s="50">
        <v>250000</v>
      </c>
      <c r="L95" s="48" t="s">
        <v>383</v>
      </c>
      <c r="M95" s="33">
        <v>101.85</v>
      </c>
      <c r="N95" s="51" t="s">
        <v>153</v>
      </c>
      <c r="O95" s="33">
        <v>101.85</v>
      </c>
      <c r="P95" s="33" t="s">
        <v>393</v>
      </c>
      <c r="Q95" s="52">
        <v>0.10002121925354004</v>
      </c>
      <c r="R95" s="52">
        <v>9.1009530000000005E-2</v>
      </c>
      <c r="S95" s="53">
        <v>2.631578947368421E-3</v>
      </c>
      <c r="T95" s="33" t="s">
        <v>155</v>
      </c>
      <c r="V95" s="40" t="str">
        <f>VLOOKUP(L95,[1]Sheet1!$B:$C,2,0)</f>
        <v>Earthquake / U.S. (excl. AK, HI)</v>
      </c>
    </row>
    <row r="96" spans="1:22" s="40" customFormat="1" ht="12" x14ac:dyDescent="0.25">
      <c r="A96" s="30" t="s">
        <v>475</v>
      </c>
      <c r="B96" s="33" t="s">
        <v>23</v>
      </c>
      <c r="C96" s="33" t="s">
        <v>376</v>
      </c>
      <c r="D96" s="32" t="s">
        <v>341</v>
      </c>
      <c r="E96" s="48" t="s">
        <v>387</v>
      </c>
      <c r="F96" s="48" t="s">
        <v>156</v>
      </c>
      <c r="G96" s="48" t="s">
        <v>162</v>
      </c>
      <c r="H96" s="48" t="s">
        <v>352</v>
      </c>
      <c r="I96" s="33" t="s">
        <v>151</v>
      </c>
      <c r="J96" s="49">
        <v>46223</v>
      </c>
      <c r="K96" s="50">
        <v>250000</v>
      </c>
      <c r="L96" s="48" t="s">
        <v>454</v>
      </c>
      <c r="M96" s="33">
        <v>102.87</v>
      </c>
      <c r="N96" s="51" t="s">
        <v>153</v>
      </c>
      <c r="O96" s="33">
        <v>102.87</v>
      </c>
      <c r="P96" s="33" t="s">
        <v>393</v>
      </c>
      <c r="Q96" s="52">
        <v>0.1648</v>
      </c>
      <c r="R96" s="52">
        <v>0.1148</v>
      </c>
      <c r="S96" s="53">
        <v>3.3333333333333335E-3</v>
      </c>
      <c r="T96" s="33" t="s">
        <v>155</v>
      </c>
      <c r="V96" s="40" t="str">
        <f>VLOOKUP(L96,[1]Sheet1!$B:$C,2,0)</f>
        <v>NULL</v>
      </c>
    </row>
    <row r="97" spans="1:22" s="40" customFormat="1" ht="12" x14ac:dyDescent="0.25">
      <c r="A97" s="30" t="s">
        <v>475</v>
      </c>
      <c r="B97" s="33" t="s">
        <v>23</v>
      </c>
      <c r="C97" s="33" t="s">
        <v>379</v>
      </c>
      <c r="D97" s="32" t="s">
        <v>341</v>
      </c>
      <c r="E97" s="48" t="s">
        <v>455</v>
      </c>
      <c r="F97" s="48" t="s">
        <v>456</v>
      </c>
      <c r="G97" s="48" t="s">
        <v>157</v>
      </c>
      <c r="H97" s="48" t="s">
        <v>354</v>
      </c>
      <c r="I97" s="33" t="s">
        <v>151</v>
      </c>
      <c r="J97" s="49">
        <v>46223</v>
      </c>
      <c r="K97" s="50">
        <v>250000</v>
      </c>
      <c r="L97" s="48" t="s">
        <v>457</v>
      </c>
      <c r="M97" s="33">
        <v>102.03</v>
      </c>
      <c r="N97" s="51" t="s">
        <v>153</v>
      </c>
      <c r="O97" s="33">
        <v>102.03</v>
      </c>
      <c r="P97" s="33" t="s">
        <v>393</v>
      </c>
      <c r="Q97" s="52">
        <v>0.1285</v>
      </c>
      <c r="R97" s="52">
        <v>7.85E-2</v>
      </c>
      <c r="S97" s="53">
        <v>6.2500000000000001E-4</v>
      </c>
      <c r="T97" s="33" t="s">
        <v>155</v>
      </c>
      <c r="V97" s="40" t="str">
        <f>VLOOKUP(L97,[1]Sheet1!$B:$C,2,0)</f>
        <v>Earthquake / California</v>
      </c>
    </row>
    <row r="98" spans="1:22" s="40" customFormat="1" ht="12" x14ac:dyDescent="0.25">
      <c r="A98" s="30" t="s">
        <v>475</v>
      </c>
      <c r="B98" s="33" t="s">
        <v>23</v>
      </c>
      <c r="C98" s="33" t="s">
        <v>384</v>
      </c>
      <c r="D98" s="32" t="s">
        <v>341</v>
      </c>
      <c r="E98" s="48" t="s">
        <v>458</v>
      </c>
      <c r="F98" s="48" t="s">
        <v>459</v>
      </c>
      <c r="G98" s="48" t="s">
        <v>157</v>
      </c>
      <c r="H98" s="48" t="s">
        <v>354</v>
      </c>
      <c r="I98" s="33" t="s">
        <v>151</v>
      </c>
      <c r="J98" s="49">
        <v>46223</v>
      </c>
      <c r="K98" s="50">
        <v>250000</v>
      </c>
      <c r="L98" s="48" t="s">
        <v>460</v>
      </c>
      <c r="M98" s="33">
        <v>101.69</v>
      </c>
      <c r="N98" s="51" t="s">
        <v>153</v>
      </c>
      <c r="O98" s="33">
        <v>101.69</v>
      </c>
      <c r="P98" s="33" t="s">
        <v>393</v>
      </c>
      <c r="Q98" s="52">
        <v>0.11366956</v>
      </c>
      <c r="R98" s="52">
        <v>6.366956E-2</v>
      </c>
      <c r="S98" s="53">
        <v>6.2500000000000001E-4</v>
      </c>
      <c r="T98" s="33" t="s">
        <v>155</v>
      </c>
      <c r="V98" s="40" t="str">
        <f>VLOOKUP(L98,[1]Sheet1!$B:$C,2,0)</f>
        <v>Earthquake / California</v>
      </c>
    </row>
    <row r="99" spans="1:22" s="40" customFormat="1" ht="12" x14ac:dyDescent="0.25">
      <c r="A99" s="30" t="s">
        <v>475</v>
      </c>
      <c r="B99" s="33" t="s">
        <v>23</v>
      </c>
      <c r="C99" s="33" t="s">
        <v>385</v>
      </c>
      <c r="D99" s="32" t="s">
        <v>341</v>
      </c>
      <c r="E99" s="48" t="s">
        <v>368</v>
      </c>
      <c r="F99" s="48" t="s">
        <v>156</v>
      </c>
      <c r="G99" s="48" t="s">
        <v>162</v>
      </c>
      <c r="H99" s="48" t="s">
        <v>352</v>
      </c>
      <c r="I99" s="33" t="s">
        <v>151</v>
      </c>
      <c r="J99" s="49">
        <v>46223</v>
      </c>
      <c r="K99" s="50">
        <v>250000</v>
      </c>
      <c r="L99" s="48" t="s">
        <v>461</v>
      </c>
      <c r="M99" s="33">
        <v>103.06</v>
      </c>
      <c r="N99" s="51" t="s">
        <v>153</v>
      </c>
      <c r="O99" s="33">
        <v>103.06</v>
      </c>
      <c r="P99" s="33" t="s">
        <v>393</v>
      </c>
      <c r="Q99" s="52">
        <v>0.10539999999999999</v>
      </c>
      <c r="R99" s="52">
        <v>5.5399999999999991E-2</v>
      </c>
      <c r="S99" s="53">
        <v>1.6666666666666668E-3</v>
      </c>
      <c r="T99" s="33" t="s">
        <v>155</v>
      </c>
      <c r="V99" s="40" t="str">
        <f>VLOOKUP(L99,[1]Sheet1!$B:$C,2,0)</f>
        <v>Earthquake / California</v>
      </c>
    </row>
    <row r="100" spans="1:22" s="40" customFormat="1" ht="12" x14ac:dyDescent="0.25">
      <c r="A100" s="30" t="s">
        <v>475</v>
      </c>
      <c r="B100" s="33" t="s">
        <v>23</v>
      </c>
      <c r="C100" s="33" t="s">
        <v>386</v>
      </c>
      <c r="D100" s="32" t="s">
        <v>341</v>
      </c>
      <c r="E100" s="48" t="s">
        <v>462</v>
      </c>
      <c r="F100" s="48" t="s">
        <v>156</v>
      </c>
      <c r="G100" s="48" t="s">
        <v>162</v>
      </c>
      <c r="H100" s="48" t="s">
        <v>352</v>
      </c>
      <c r="I100" s="33" t="s">
        <v>151</v>
      </c>
      <c r="J100" s="49">
        <v>46223</v>
      </c>
      <c r="K100" s="50">
        <v>250000</v>
      </c>
      <c r="L100" s="48" t="s">
        <v>463</v>
      </c>
      <c r="M100" s="33">
        <v>102.08</v>
      </c>
      <c r="N100" s="51" t="s">
        <v>153</v>
      </c>
      <c r="O100" s="33">
        <v>102.08</v>
      </c>
      <c r="P100" s="33" t="s">
        <v>393</v>
      </c>
      <c r="Q100" s="52">
        <v>0.10589999999999999</v>
      </c>
      <c r="R100" s="52">
        <v>5.5899999999999991E-2</v>
      </c>
      <c r="S100" s="53">
        <v>1.1111111111111111E-3</v>
      </c>
      <c r="T100" s="33" t="s">
        <v>155</v>
      </c>
      <c r="V100" s="40" t="str">
        <f>VLOOKUP(L100,[1]Sheet1!$B:$C,2,0)</f>
        <v>Earthquake / California</v>
      </c>
    </row>
    <row r="101" spans="1:22" s="40" customFormat="1" ht="12" x14ac:dyDescent="0.25">
      <c r="A101" s="30" t="s">
        <v>476</v>
      </c>
      <c r="B101" s="33" t="s">
        <v>23</v>
      </c>
      <c r="C101" s="33" t="s">
        <v>371</v>
      </c>
      <c r="D101" s="32" t="s">
        <v>341</v>
      </c>
      <c r="E101" s="48" t="s">
        <v>374</v>
      </c>
      <c r="F101" s="48" t="s">
        <v>161</v>
      </c>
      <c r="G101" s="48" t="s">
        <v>162</v>
      </c>
      <c r="H101" s="48" t="s">
        <v>352</v>
      </c>
      <c r="I101" s="33" t="s">
        <v>151</v>
      </c>
      <c r="J101" s="49">
        <v>46515</v>
      </c>
      <c r="K101" s="50">
        <v>250000</v>
      </c>
      <c r="L101" s="48" t="s">
        <v>375</v>
      </c>
      <c r="M101" s="33">
        <v>101.95</v>
      </c>
      <c r="N101" s="51" t="s">
        <v>153</v>
      </c>
      <c r="O101" s="33">
        <v>101.95</v>
      </c>
      <c r="P101" s="33" t="s">
        <v>393</v>
      </c>
      <c r="Q101" s="52">
        <v>9.3081216812133785E-2</v>
      </c>
      <c r="R101" s="52">
        <v>6.6261989999999993E-2</v>
      </c>
      <c r="S101" s="53">
        <v>1.6666666666666668E-3</v>
      </c>
      <c r="T101" s="33" t="s">
        <v>155</v>
      </c>
      <c r="V101" s="40" t="str">
        <f>VLOOKUP(L101,[1]Sheet1!$B:$C,2,0)</f>
        <v>Earthquake / California</v>
      </c>
    </row>
    <row r="102" spans="1:22" s="40" customFormat="1" ht="12" x14ac:dyDescent="0.25">
      <c r="A102" s="30" t="s">
        <v>476</v>
      </c>
      <c r="B102" s="33" t="s">
        <v>23</v>
      </c>
      <c r="C102" s="33" t="s">
        <v>373</v>
      </c>
      <c r="D102" s="32" t="s">
        <v>341</v>
      </c>
      <c r="E102" s="48" t="s">
        <v>382</v>
      </c>
      <c r="F102" s="48" t="s">
        <v>161</v>
      </c>
      <c r="G102" s="48" t="s">
        <v>150</v>
      </c>
      <c r="H102" s="48" t="s">
        <v>354</v>
      </c>
      <c r="I102" s="33" t="s">
        <v>151</v>
      </c>
      <c r="J102" s="49">
        <v>46527</v>
      </c>
      <c r="K102" s="50">
        <v>250000</v>
      </c>
      <c r="L102" s="48" t="s">
        <v>383</v>
      </c>
      <c r="M102" s="33">
        <v>101.85</v>
      </c>
      <c r="N102" s="51" t="s">
        <v>153</v>
      </c>
      <c r="O102" s="33">
        <v>101.85</v>
      </c>
      <c r="P102" s="33" t="s">
        <v>393</v>
      </c>
      <c r="Q102" s="52">
        <v>0.10002121925354004</v>
      </c>
      <c r="R102" s="52">
        <v>9.1009530000000005E-2</v>
      </c>
      <c r="S102" s="53">
        <v>2.631578947368421E-3</v>
      </c>
      <c r="T102" s="33" t="s">
        <v>155</v>
      </c>
      <c r="V102" s="40" t="str">
        <f>VLOOKUP(L102,[1]Sheet1!$B:$C,2,0)</f>
        <v>Earthquake / U.S. (excl. AK, HI)</v>
      </c>
    </row>
    <row r="103" spans="1:22" s="40" customFormat="1" ht="12" x14ac:dyDescent="0.25">
      <c r="A103" s="30" t="s">
        <v>476</v>
      </c>
      <c r="B103" s="33" t="s">
        <v>23</v>
      </c>
      <c r="C103" s="33" t="s">
        <v>376</v>
      </c>
      <c r="D103" s="32" t="s">
        <v>341</v>
      </c>
      <c r="E103" s="48" t="s">
        <v>387</v>
      </c>
      <c r="F103" s="48" t="s">
        <v>156</v>
      </c>
      <c r="G103" s="48" t="s">
        <v>162</v>
      </c>
      <c r="H103" s="48" t="s">
        <v>352</v>
      </c>
      <c r="I103" s="33" t="s">
        <v>151</v>
      </c>
      <c r="J103" s="49">
        <v>46223</v>
      </c>
      <c r="K103" s="50">
        <v>250000</v>
      </c>
      <c r="L103" s="48" t="s">
        <v>454</v>
      </c>
      <c r="M103" s="33">
        <v>102.87</v>
      </c>
      <c r="N103" s="51" t="s">
        <v>153</v>
      </c>
      <c r="O103" s="33">
        <v>102.87</v>
      </c>
      <c r="P103" s="33" t="s">
        <v>393</v>
      </c>
      <c r="Q103" s="52">
        <v>0.1648</v>
      </c>
      <c r="R103" s="52">
        <v>0.1148</v>
      </c>
      <c r="S103" s="53">
        <v>3.3333333333333335E-3</v>
      </c>
      <c r="T103" s="33" t="s">
        <v>155</v>
      </c>
      <c r="V103" s="40" t="str">
        <f>VLOOKUP(L103,[1]Sheet1!$B:$C,2,0)</f>
        <v>NULL</v>
      </c>
    </row>
    <row r="104" spans="1:22" s="40" customFormat="1" ht="12" x14ac:dyDescent="0.25">
      <c r="A104" s="30" t="s">
        <v>476</v>
      </c>
      <c r="B104" s="33" t="s">
        <v>23</v>
      </c>
      <c r="C104" s="33" t="s">
        <v>379</v>
      </c>
      <c r="D104" s="32" t="s">
        <v>341</v>
      </c>
      <c r="E104" s="48" t="s">
        <v>455</v>
      </c>
      <c r="F104" s="48" t="s">
        <v>456</v>
      </c>
      <c r="G104" s="48" t="s">
        <v>157</v>
      </c>
      <c r="H104" s="48" t="s">
        <v>354</v>
      </c>
      <c r="I104" s="33" t="s">
        <v>151</v>
      </c>
      <c r="J104" s="49">
        <v>46223</v>
      </c>
      <c r="K104" s="50">
        <v>250000</v>
      </c>
      <c r="L104" s="48" t="s">
        <v>457</v>
      </c>
      <c r="M104" s="33">
        <v>102.03</v>
      </c>
      <c r="N104" s="51" t="s">
        <v>153</v>
      </c>
      <c r="O104" s="33">
        <v>102.03</v>
      </c>
      <c r="P104" s="33" t="s">
        <v>393</v>
      </c>
      <c r="Q104" s="52">
        <v>0.1285</v>
      </c>
      <c r="R104" s="52">
        <v>7.85E-2</v>
      </c>
      <c r="S104" s="53">
        <v>6.2500000000000001E-4</v>
      </c>
      <c r="T104" s="33" t="s">
        <v>155</v>
      </c>
      <c r="V104" s="40" t="str">
        <f>VLOOKUP(L104,[1]Sheet1!$B:$C,2,0)</f>
        <v>Earthquake / California</v>
      </c>
    </row>
    <row r="105" spans="1:22" s="40" customFormat="1" ht="12" x14ac:dyDescent="0.25">
      <c r="A105" s="30" t="s">
        <v>476</v>
      </c>
      <c r="B105" s="33" t="s">
        <v>23</v>
      </c>
      <c r="C105" s="33" t="s">
        <v>384</v>
      </c>
      <c r="D105" s="32" t="s">
        <v>341</v>
      </c>
      <c r="E105" s="48" t="s">
        <v>458</v>
      </c>
      <c r="F105" s="48" t="s">
        <v>459</v>
      </c>
      <c r="G105" s="48" t="s">
        <v>157</v>
      </c>
      <c r="H105" s="48" t="s">
        <v>354</v>
      </c>
      <c r="I105" s="33" t="s">
        <v>151</v>
      </c>
      <c r="J105" s="49">
        <v>46223</v>
      </c>
      <c r="K105" s="50">
        <v>250000</v>
      </c>
      <c r="L105" s="48" t="s">
        <v>460</v>
      </c>
      <c r="M105" s="33">
        <v>101.69</v>
      </c>
      <c r="N105" s="51" t="s">
        <v>153</v>
      </c>
      <c r="O105" s="33">
        <v>101.69</v>
      </c>
      <c r="P105" s="33" t="s">
        <v>393</v>
      </c>
      <c r="Q105" s="52">
        <v>0.11366956</v>
      </c>
      <c r="R105" s="52">
        <v>6.366956E-2</v>
      </c>
      <c r="S105" s="53">
        <v>6.2500000000000001E-4</v>
      </c>
      <c r="T105" s="33" t="s">
        <v>155</v>
      </c>
      <c r="V105" s="40" t="str">
        <f>VLOOKUP(L105,[1]Sheet1!$B:$C,2,0)</f>
        <v>Earthquake / California</v>
      </c>
    </row>
    <row r="106" spans="1:22" s="40" customFormat="1" ht="12" x14ac:dyDescent="0.25">
      <c r="A106" s="30" t="s">
        <v>476</v>
      </c>
      <c r="B106" s="33" t="s">
        <v>23</v>
      </c>
      <c r="C106" s="33" t="s">
        <v>385</v>
      </c>
      <c r="D106" s="32" t="s">
        <v>341</v>
      </c>
      <c r="E106" s="48" t="s">
        <v>368</v>
      </c>
      <c r="F106" s="48" t="s">
        <v>156</v>
      </c>
      <c r="G106" s="48" t="s">
        <v>162</v>
      </c>
      <c r="H106" s="48" t="s">
        <v>352</v>
      </c>
      <c r="I106" s="33" t="s">
        <v>151</v>
      </c>
      <c r="J106" s="49">
        <v>46223</v>
      </c>
      <c r="K106" s="50">
        <v>250000</v>
      </c>
      <c r="L106" s="48" t="s">
        <v>461</v>
      </c>
      <c r="M106" s="33">
        <v>103.06</v>
      </c>
      <c r="N106" s="51" t="s">
        <v>153</v>
      </c>
      <c r="O106" s="33">
        <v>103.06</v>
      </c>
      <c r="P106" s="33" t="s">
        <v>393</v>
      </c>
      <c r="Q106" s="52">
        <v>0.10539999999999999</v>
      </c>
      <c r="R106" s="52">
        <v>5.5399999999999991E-2</v>
      </c>
      <c r="S106" s="53">
        <v>1.6666666666666668E-3</v>
      </c>
      <c r="T106" s="33" t="s">
        <v>155</v>
      </c>
      <c r="V106" s="40" t="str">
        <f>VLOOKUP(L106,[1]Sheet1!$B:$C,2,0)</f>
        <v>Earthquake / California</v>
      </c>
    </row>
    <row r="107" spans="1:22" s="40" customFormat="1" ht="12" x14ac:dyDescent="0.25">
      <c r="A107" s="30" t="s">
        <v>476</v>
      </c>
      <c r="B107" s="33" t="s">
        <v>23</v>
      </c>
      <c r="C107" s="33" t="s">
        <v>386</v>
      </c>
      <c r="D107" s="32" t="s">
        <v>341</v>
      </c>
      <c r="E107" s="48" t="s">
        <v>462</v>
      </c>
      <c r="F107" s="48" t="s">
        <v>156</v>
      </c>
      <c r="G107" s="48" t="s">
        <v>162</v>
      </c>
      <c r="H107" s="48" t="s">
        <v>352</v>
      </c>
      <c r="I107" s="33" t="s">
        <v>151</v>
      </c>
      <c r="J107" s="49">
        <v>46223</v>
      </c>
      <c r="K107" s="50">
        <v>250000</v>
      </c>
      <c r="L107" s="48" t="s">
        <v>463</v>
      </c>
      <c r="M107" s="33">
        <v>102.08</v>
      </c>
      <c r="N107" s="51" t="s">
        <v>153</v>
      </c>
      <c r="O107" s="33">
        <v>102.08</v>
      </c>
      <c r="P107" s="33" t="s">
        <v>393</v>
      </c>
      <c r="Q107" s="52">
        <v>0.10589999999999999</v>
      </c>
      <c r="R107" s="52">
        <v>5.5899999999999991E-2</v>
      </c>
      <c r="S107" s="53">
        <v>1.1111111111111111E-3</v>
      </c>
      <c r="T107" s="33" t="s">
        <v>155</v>
      </c>
      <c r="V107" s="40" t="str">
        <f>VLOOKUP(L107,[1]Sheet1!$B:$C,2,0)</f>
        <v>Earthquake / California</v>
      </c>
    </row>
    <row r="108" spans="1:22" s="40" customFormat="1" ht="12" x14ac:dyDescent="0.25">
      <c r="A108" s="30" t="s">
        <v>478</v>
      </c>
      <c r="B108" s="33" t="s">
        <v>23</v>
      </c>
      <c r="C108" s="33" t="s">
        <v>371</v>
      </c>
      <c r="D108" s="32" t="s">
        <v>341</v>
      </c>
      <c r="E108" s="48" t="s">
        <v>374</v>
      </c>
      <c r="F108" s="48" t="s">
        <v>161</v>
      </c>
      <c r="G108" s="48" t="s">
        <v>162</v>
      </c>
      <c r="H108" s="48" t="s">
        <v>352</v>
      </c>
      <c r="I108" s="33" t="s">
        <v>151</v>
      </c>
      <c r="J108" s="49">
        <v>46515</v>
      </c>
      <c r="K108" s="50">
        <v>250000</v>
      </c>
      <c r="L108" s="48" t="s">
        <v>375</v>
      </c>
      <c r="M108" s="33">
        <v>101.95</v>
      </c>
      <c r="N108" s="51" t="s">
        <v>153</v>
      </c>
      <c r="O108" s="33">
        <v>101.95</v>
      </c>
      <c r="P108" s="33" t="s">
        <v>393</v>
      </c>
      <c r="Q108" s="52">
        <v>9.3081216812133785E-2</v>
      </c>
      <c r="R108" s="52">
        <v>6.6261989999999993E-2</v>
      </c>
      <c r="S108" s="53">
        <v>1.6666666666666668E-3</v>
      </c>
      <c r="T108" s="33" t="s">
        <v>155</v>
      </c>
      <c r="V108" s="40" t="str">
        <f>VLOOKUP(L108,[1]Sheet1!$B:$C,2,0)</f>
        <v>Earthquake / California</v>
      </c>
    </row>
    <row r="109" spans="1:22" s="40" customFormat="1" ht="12" x14ac:dyDescent="0.25">
      <c r="A109" s="30" t="s">
        <v>478</v>
      </c>
      <c r="B109" s="33" t="s">
        <v>23</v>
      </c>
      <c r="C109" s="33" t="s">
        <v>373</v>
      </c>
      <c r="D109" s="32" t="s">
        <v>341</v>
      </c>
      <c r="E109" s="48" t="s">
        <v>382</v>
      </c>
      <c r="F109" s="48" t="s">
        <v>161</v>
      </c>
      <c r="G109" s="48" t="s">
        <v>150</v>
      </c>
      <c r="H109" s="48" t="s">
        <v>354</v>
      </c>
      <c r="I109" s="33" t="s">
        <v>151</v>
      </c>
      <c r="J109" s="49">
        <v>46527</v>
      </c>
      <c r="K109" s="50">
        <v>250000</v>
      </c>
      <c r="L109" s="48" t="s">
        <v>383</v>
      </c>
      <c r="M109" s="33">
        <v>101.85</v>
      </c>
      <c r="N109" s="51" t="s">
        <v>153</v>
      </c>
      <c r="O109" s="33">
        <v>101.85</v>
      </c>
      <c r="P109" s="33" t="s">
        <v>393</v>
      </c>
      <c r="Q109" s="52">
        <v>0.10002121925354004</v>
      </c>
      <c r="R109" s="52">
        <v>9.1009530000000005E-2</v>
      </c>
      <c r="S109" s="53">
        <v>2.631578947368421E-3</v>
      </c>
      <c r="T109" s="33" t="s">
        <v>155</v>
      </c>
      <c r="V109" s="40" t="str">
        <f>VLOOKUP(L109,[1]Sheet1!$B:$C,2,0)</f>
        <v>Earthquake / U.S. (excl. AK, HI)</v>
      </c>
    </row>
    <row r="110" spans="1:22" s="40" customFormat="1" ht="12" x14ac:dyDescent="0.25">
      <c r="A110" s="30" t="s">
        <v>478</v>
      </c>
      <c r="B110" s="33" t="s">
        <v>23</v>
      </c>
      <c r="C110" s="33" t="s">
        <v>376</v>
      </c>
      <c r="D110" s="32" t="s">
        <v>341</v>
      </c>
      <c r="E110" s="48" t="s">
        <v>387</v>
      </c>
      <c r="F110" s="48" t="s">
        <v>156</v>
      </c>
      <c r="G110" s="48" t="s">
        <v>162</v>
      </c>
      <c r="H110" s="48" t="s">
        <v>352</v>
      </c>
      <c r="I110" s="33" t="s">
        <v>151</v>
      </c>
      <c r="J110" s="49">
        <v>46223</v>
      </c>
      <c r="K110" s="50">
        <v>250000</v>
      </c>
      <c r="L110" s="48" t="s">
        <v>454</v>
      </c>
      <c r="M110" s="33">
        <v>102.87</v>
      </c>
      <c r="N110" s="51" t="s">
        <v>153</v>
      </c>
      <c r="O110" s="33">
        <v>102.87</v>
      </c>
      <c r="P110" s="33" t="s">
        <v>393</v>
      </c>
      <c r="Q110" s="52">
        <v>0.1648</v>
      </c>
      <c r="R110" s="52">
        <v>0.1148</v>
      </c>
      <c r="S110" s="53">
        <v>3.3333333333333335E-3</v>
      </c>
      <c r="T110" s="33" t="s">
        <v>155</v>
      </c>
      <c r="V110" s="40" t="str">
        <f>VLOOKUP(L110,[1]Sheet1!$B:$C,2,0)</f>
        <v>NULL</v>
      </c>
    </row>
    <row r="111" spans="1:22" s="40" customFormat="1" ht="12" x14ac:dyDescent="0.25">
      <c r="A111" s="30" t="s">
        <v>478</v>
      </c>
      <c r="B111" s="33" t="s">
        <v>23</v>
      </c>
      <c r="C111" s="33" t="s">
        <v>379</v>
      </c>
      <c r="D111" s="32" t="s">
        <v>341</v>
      </c>
      <c r="E111" s="48" t="s">
        <v>455</v>
      </c>
      <c r="F111" s="48" t="s">
        <v>456</v>
      </c>
      <c r="G111" s="48" t="s">
        <v>157</v>
      </c>
      <c r="H111" s="48" t="s">
        <v>354</v>
      </c>
      <c r="I111" s="33" t="s">
        <v>151</v>
      </c>
      <c r="J111" s="49">
        <v>46223</v>
      </c>
      <c r="K111" s="50">
        <v>250000</v>
      </c>
      <c r="L111" s="48" t="s">
        <v>457</v>
      </c>
      <c r="M111" s="33">
        <v>102.03</v>
      </c>
      <c r="N111" s="51" t="s">
        <v>153</v>
      </c>
      <c r="O111" s="33">
        <v>102.03</v>
      </c>
      <c r="P111" s="33" t="s">
        <v>393</v>
      </c>
      <c r="Q111" s="52">
        <v>0.1285</v>
      </c>
      <c r="R111" s="52">
        <v>7.85E-2</v>
      </c>
      <c r="S111" s="53">
        <v>6.2500000000000001E-4</v>
      </c>
      <c r="T111" s="33" t="s">
        <v>155</v>
      </c>
      <c r="V111" s="40" t="str">
        <f>VLOOKUP(L111,[1]Sheet1!$B:$C,2,0)</f>
        <v>Earthquake / California</v>
      </c>
    </row>
    <row r="112" spans="1:22" s="40" customFormat="1" ht="12" x14ac:dyDescent="0.25">
      <c r="A112" s="30" t="s">
        <v>478</v>
      </c>
      <c r="B112" s="33" t="s">
        <v>23</v>
      </c>
      <c r="C112" s="33" t="s">
        <v>384</v>
      </c>
      <c r="D112" s="32" t="s">
        <v>341</v>
      </c>
      <c r="E112" s="48" t="s">
        <v>458</v>
      </c>
      <c r="F112" s="48" t="s">
        <v>459</v>
      </c>
      <c r="G112" s="48" t="s">
        <v>157</v>
      </c>
      <c r="H112" s="48" t="s">
        <v>354</v>
      </c>
      <c r="I112" s="33" t="s">
        <v>151</v>
      </c>
      <c r="J112" s="49">
        <v>46223</v>
      </c>
      <c r="K112" s="50">
        <v>250000</v>
      </c>
      <c r="L112" s="48" t="s">
        <v>460</v>
      </c>
      <c r="M112" s="33">
        <v>101.69</v>
      </c>
      <c r="N112" s="51" t="s">
        <v>153</v>
      </c>
      <c r="O112" s="33">
        <v>101.69</v>
      </c>
      <c r="P112" s="33" t="s">
        <v>393</v>
      </c>
      <c r="Q112" s="52">
        <v>0.11366956</v>
      </c>
      <c r="R112" s="52">
        <v>6.366956E-2</v>
      </c>
      <c r="S112" s="53">
        <v>6.2500000000000001E-4</v>
      </c>
      <c r="T112" s="33" t="s">
        <v>155</v>
      </c>
      <c r="V112" s="40" t="str">
        <f>VLOOKUP(L112,[1]Sheet1!$B:$C,2,0)</f>
        <v>Earthquake / California</v>
      </c>
    </row>
    <row r="113" spans="1:22" s="40" customFormat="1" ht="12" x14ac:dyDescent="0.25">
      <c r="A113" s="30" t="s">
        <v>478</v>
      </c>
      <c r="B113" s="33" t="s">
        <v>23</v>
      </c>
      <c r="C113" s="33" t="s">
        <v>385</v>
      </c>
      <c r="D113" s="32" t="s">
        <v>341</v>
      </c>
      <c r="E113" s="48" t="s">
        <v>368</v>
      </c>
      <c r="F113" s="48" t="s">
        <v>156</v>
      </c>
      <c r="G113" s="48" t="s">
        <v>162</v>
      </c>
      <c r="H113" s="48" t="s">
        <v>352</v>
      </c>
      <c r="I113" s="33" t="s">
        <v>151</v>
      </c>
      <c r="J113" s="49">
        <v>46223</v>
      </c>
      <c r="K113" s="50">
        <v>250000</v>
      </c>
      <c r="L113" s="48" t="s">
        <v>461</v>
      </c>
      <c r="M113" s="33">
        <v>103.06</v>
      </c>
      <c r="N113" s="51" t="s">
        <v>153</v>
      </c>
      <c r="O113" s="33">
        <v>103.06</v>
      </c>
      <c r="P113" s="33" t="s">
        <v>393</v>
      </c>
      <c r="Q113" s="52">
        <v>0.10539999999999999</v>
      </c>
      <c r="R113" s="52">
        <v>5.5399999999999991E-2</v>
      </c>
      <c r="S113" s="53">
        <v>1.6666666666666668E-3</v>
      </c>
      <c r="T113" s="33" t="s">
        <v>155</v>
      </c>
      <c r="V113" s="40" t="str">
        <f>VLOOKUP(L113,[1]Sheet1!$B:$C,2,0)</f>
        <v>Earthquake / California</v>
      </c>
    </row>
    <row r="114" spans="1:22" s="40" customFormat="1" ht="12" x14ac:dyDescent="0.25">
      <c r="A114" s="30" t="s">
        <v>478</v>
      </c>
      <c r="B114" s="33" t="s">
        <v>23</v>
      </c>
      <c r="C114" s="33" t="s">
        <v>386</v>
      </c>
      <c r="D114" s="32" t="s">
        <v>341</v>
      </c>
      <c r="E114" s="48" t="s">
        <v>462</v>
      </c>
      <c r="F114" s="48" t="s">
        <v>156</v>
      </c>
      <c r="G114" s="48" t="s">
        <v>162</v>
      </c>
      <c r="H114" s="48" t="s">
        <v>352</v>
      </c>
      <c r="I114" s="33" t="s">
        <v>151</v>
      </c>
      <c r="J114" s="49">
        <v>46223</v>
      </c>
      <c r="K114" s="50">
        <v>250000</v>
      </c>
      <c r="L114" s="48" t="s">
        <v>463</v>
      </c>
      <c r="M114" s="33">
        <v>102.08</v>
      </c>
      <c r="N114" s="51" t="s">
        <v>153</v>
      </c>
      <c r="O114" s="33">
        <v>102.08</v>
      </c>
      <c r="P114" s="33" t="s">
        <v>393</v>
      </c>
      <c r="Q114" s="52">
        <v>0.10589999999999999</v>
      </c>
      <c r="R114" s="52">
        <v>5.5899999999999991E-2</v>
      </c>
      <c r="S114" s="53">
        <v>1.1111111111111111E-3</v>
      </c>
      <c r="T114" s="33" t="s">
        <v>155</v>
      </c>
      <c r="V114" s="40" t="str">
        <f>VLOOKUP(L114,[1]Sheet1!$B:$C,2,0)</f>
        <v>Earthquake / California</v>
      </c>
    </row>
    <row r="115" spans="1:22" s="40" customFormat="1" ht="12" x14ac:dyDescent="0.25">
      <c r="A115" s="30" t="s">
        <v>479</v>
      </c>
      <c r="B115" s="33" t="s">
        <v>23</v>
      </c>
      <c r="C115" s="33" t="s">
        <v>371</v>
      </c>
      <c r="D115" s="32" t="s">
        <v>341</v>
      </c>
      <c r="E115" s="48" t="s">
        <v>374</v>
      </c>
      <c r="F115" s="48" t="s">
        <v>161</v>
      </c>
      <c r="G115" s="48" t="s">
        <v>162</v>
      </c>
      <c r="H115" s="48" t="s">
        <v>352</v>
      </c>
      <c r="I115" s="33" t="s">
        <v>151</v>
      </c>
      <c r="J115" s="49">
        <v>46515</v>
      </c>
      <c r="K115" s="50">
        <v>250000</v>
      </c>
      <c r="L115" s="48" t="s">
        <v>375</v>
      </c>
      <c r="M115" s="33">
        <v>101.95</v>
      </c>
      <c r="N115" s="51" t="s">
        <v>153</v>
      </c>
      <c r="O115" s="33">
        <v>101.95</v>
      </c>
      <c r="P115" s="33" t="s">
        <v>393</v>
      </c>
      <c r="Q115" s="52">
        <v>9.3081216812133785E-2</v>
      </c>
      <c r="R115" s="52">
        <v>6.6261989999999993E-2</v>
      </c>
      <c r="S115" s="53">
        <v>1.6666666666666668E-3</v>
      </c>
      <c r="T115" s="33" t="s">
        <v>155</v>
      </c>
      <c r="V115" s="40" t="str">
        <f>VLOOKUP(L115,[1]Sheet1!$B:$C,2,0)</f>
        <v>Earthquake / California</v>
      </c>
    </row>
    <row r="116" spans="1:22" s="40" customFormat="1" ht="12" x14ac:dyDescent="0.25">
      <c r="A116" s="30" t="s">
        <v>479</v>
      </c>
      <c r="B116" s="33" t="s">
        <v>23</v>
      </c>
      <c r="C116" s="33" t="s">
        <v>373</v>
      </c>
      <c r="D116" s="32" t="s">
        <v>341</v>
      </c>
      <c r="E116" s="48" t="s">
        <v>382</v>
      </c>
      <c r="F116" s="48" t="s">
        <v>161</v>
      </c>
      <c r="G116" s="48" t="s">
        <v>150</v>
      </c>
      <c r="H116" s="48" t="s">
        <v>354</v>
      </c>
      <c r="I116" s="33" t="s">
        <v>151</v>
      </c>
      <c r="J116" s="49">
        <v>46527</v>
      </c>
      <c r="K116" s="50">
        <v>250000</v>
      </c>
      <c r="L116" s="48" t="s">
        <v>383</v>
      </c>
      <c r="M116" s="33">
        <v>101.85</v>
      </c>
      <c r="N116" s="51" t="s">
        <v>153</v>
      </c>
      <c r="O116" s="33">
        <v>101.85</v>
      </c>
      <c r="P116" s="33" t="s">
        <v>393</v>
      </c>
      <c r="Q116" s="52">
        <v>0.10002121925354004</v>
      </c>
      <c r="R116" s="52">
        <v>9.1009530000000005E-2</v>
      </c>
      <c r="S116" s="53">
        <v>2.631578947368421E-3</v>
      </c>
      <c r="T116" s="33" t="s">
        <v>155</v>
      </c>
      <c r="V116" s="40" t="str">
        <f>VLOOKUP(L116,[1]Sheet1!$B:$C,2,0)</f>
        <v>Earthquake / U.S. (excl. AK, HI)</v>
      </c>
    </row>
    <row r="117" spans="1:22" s="40" customFormat="1" ht="12" x14ac:dyDescent="0.25">
      <c r="A117" s="30" t="s">
        <v>479</v>
      </c>
      <c r="B117" s="33" t="s">
        <v>23</v>
      </c>
      <c r="C117" s="33" t="s">
        <v>376</v>
      </c>
      <c r="D117" s="32" t="s">
        <v>341</v>
      </c>
      <c r="E117" s="48" t="s">
        <v>387</v>
      </c>
      <c r="F117" s="48" t="s">
        <v>156</v>
      </c>
      <c r="G117" s="48" t="s">
        <v>162</v>
      </c>
      <c r="H117" s="48" t="s">
        <v>352</v>
      </c>
      <c r="I117" s="33" t="s">
        <v>151</v>
      </c>
      <c r="J117" s="49">
        <v>46223</v>
      </c>
      <c r="K117" s="50">
        <v>250000</v>
      </c>
      <c r="L117" s="48" t="s">
        <v>454</v>
      </c>
      <c r="M117" s="33">
        <v>102.87</v>
      </c>
      <c r="N117" s="51" t="s">
        <v>153</v>
      </c>
      <c r="O117" s="33">
        <v>102.87</v>
      </c>
      <c r="P117" s="33" t="s">
        <v>393</v>
      </c>
      <c r="Q117" s="52">
        <v>0.1648</v>
      </c>
      <c r="R117" s="52">
        <v>0.1148</v>
      </c>
      <c r="S117" s="53">
        <v>3.3333333333333335E-3</v>
      </c>
      <c r="T117" s="33" t="s">
        <v>155</v>
      </c>
      <c r="V117" s="40" t="str">
        <f>VLOOKUP(L117,[1]Sheet1!$B:$C,2,0)</f>
        <v>NULL</v>
      </c>
    </row>
    <row r="118" spans="1:22" s="40" customFormat="1" ht="12" x14ac:dyDescent="0.25">
      <c r="A118" s="30" t="s">
        <v>479</v>
      </c>
      <c r="B118" s="33" t="s">
        <v>23</v>
      </c>
      <c r="C118" s="33" t="s">
        <v>379</v>
      </c>
      <c r="D118" s="32" t="s">
        <v>341</v>
      </c>
      <c r="E118" s="48" t="s">
        <v>455</v>
      </c>
      <c r="F118" s="48" t="s">
        <v>456</v>
      </c>
      <c r="G118" s="48" t="s">
        <v>157</v>
      </c>
      <c r="H118" s="48" t="s">
        <v>354</v>
      </c>
      <c r="I118" s="33" t="s">
        <v>151</v>
      </c>
      <c r="J118" s="49">
        <v>46223</v>
      </c>
      <c r="K118" s="50">
        <v>250000</v>
      </c>
      <c r="L118" s="48" t="s">
        <v>457</v>
      </c>
      <c r="M118" s="33">
        <v>102.03</v>
      </c>
      <c r="N118" s="51" t="s">
        <v>153</v>
      </c>
      <c r="O118" s="33">
        <v>102.03</v>
      </c>
      <c r="P118" s="33" t="s">
        <v>393</v>
      </c>
      <c r="Q118" s="52">
        <v>0.1285</v>
      </c>
      <c r="R118" s="52">
        <v>7.85E-2</v>
      </c>
      <c r="S118" s="53">
        <v>6.2500000000000001E-4</v>
      </c>
      <c r="T118" s="33" t="s">
        <v>155</v>
      </c>
      <c r="V118" s="40" t="str">
        <f>VLOOKUP(L118,[1]Sheet1!$B:$C,2,0)</f>
        <v>Earthquake / California</v>
      </c>
    </row>
    <row r="119" spans="1:22" s="40" customFormat="1" ht="12" x14ac:dyDescent="0.25">
      <c r="A119" s="30" t="s">
        <v>479</v>
      </c>
      <c r="B119" s="33" t="s">
        <v>23</v>
      </c>
      <c r="C119" s="33" t="s">
        <v>384</v>
      </c>
      <c r="D119" s="32" t="s">
        <v>341</v>
      </c>
      <c r="E119" s="48" t="s">
        <v>458</v>
      </c>
      <c r="F119" s="48" t="s">
        <v>459</v>
      </c>
      <c r="G119" s="48" t="s">
        <v>157</v>
      </c>
      <c r="H119" s="48" t="s">
        <v>354</v>
      </c>
      <c r="I119" s="33" t="s">
        <v>151</v>
      </c>
      <c r="J119" s="49">
        <v>46223</v>
      </c>
      <c r="K119" s="50">
        <v>250000</v>
      </c>
      <c r="L119" s="48" t="s">
        <v>460</v>
      </c>
      <c r="M119" s="33">
        <v>101.69</v>
      </c>
      <c r="N119" s="51" t="s">
        <v>153</v>
      </c>
      <c r="O119" s="33">
        <v>101.69</v>
      </c>
      <c r="P119" s="33" t="s">
        <v>393</v>
      </c>
      <c r="Q119" s="52">
        <v>0.11366956</v>
      </c>
      <c r="R119" s="52">
        <v>6.366956E-2</v>
      </c>
      <c r="S119" s="53">
        <v>6.2500000000000001E-4</v>
      </c>
      <c r="T119" s="33" t="s">
        <v>155</v>
      </c>
      <c r="V119" s="40" t="str">
        <f>VLOOKUP(L119,[1]Sheet1!$B:$C,2,0)</f>
        <v>Earthquake / California</v>
      </c>
    </row>
    <row r="120" spans="1:22" s="40" customFormat="1" ht="12" x14ac:dyDescent="0.25">
      <c r="A120" s="30" t="s">
        <v>479</v>
      </c>
      <c r="B120" s="33" t="s">
        <v>23</v>
      </c>
      <c r="C120" s="33" t="s">
        <v>385</v>
      </c>
      <c r="D120" s="32" t="s">
        <v>341</v>
      </c>
      <c r="E120" s="48" t="s">
        <v>368</v>
      </c>
      <c r="F120" s="48" t="s">
        <v>156</v>
      </c>
      <c r="G120" s="48" t="s">
        <v>162</v>
      </c>
      <c r="H120" s="48" t="s">
        <v>352</v>
      </c>
      <c r="I120" s="33" t="s">
        <v>151</v>
      </c>
      <c r="J120" s="49">
        <v>46223</v>
      </c>
      <c r="K120" s="50">
        <v>250000</v>
      </c>
      <c r="L120" s="48" t="s">
        <v>461</v>
      </c>
      <c r="M120" s="33">
        <v>103.06</v>
      </c>
      <c r="N120" s="51" t="s">
        <v>153</v>
      </c>
      <c r="O120" s="33">
        <v>103.06</v>
      </c>
      <c r="P120" s="33" t="s">
        <v>393</v>
      </c>
      <c r="Q120" s="52">
        <v>0.10539999999999999</v>
      </c>
      <c r="R120" s="52">
        <v>5.5399999999999991E-2</v>
      </c>
      <c r="S120" s="53">
        <v>1.6666666666666668E-3</v>
      </c>
      <c r="T120" s="33" t="s">
        <v>155</v>
      </c>
      <c r="V120" s="40" t="str">
        <f>VLOOKUP(L120,[1]Sheet1!$B:$C,2,0)</f>
        <v>Earthquake / California</v>
      </c>
    </row>
    <row r="121" spans="1:22" s="40" customFormat="1" ht="12" x14ac:dyDescent="0.25">
      <c r="A121" s="30" t="s">
        <v>479</v>
      </c>
      <c r="B121" s="33" t="s">
        <v>23</v>
      </c>
      <c r="C121" s="33" t="s">
        <v>386</v>
      </c>
      <c r="D121" s="32" t="s">
        <v>341</v>
      </c>
      <c r="E121" s="48" t="s">
        <v>462</v>
      </c>
      <c r="F121" s="48" t="s">
        <v>156</v>
      </c>
      <c r="G121" s="48" t="s">
        <v>162</v>
      </c>
      <c r="H121" s="48" t="s">
        <v>352</v>
      </c>
      <c r="I121" s="33" t="s">
        <v>151</v>
      </c>
      <c r="J121" s="49">
        <v>46223</v>
      </c>
      <c r="K121" s="50">
        <v>250000</v>
      </c>
      <c r="L121" s="48" t="s">
        <v>463</v>
      </c>
      <c r="M121" s="33">
        <v>102.08</v>
      </c>
      <c r="N121" s="51" t="s">
        <v>153</v>
      </c>
      <c r="O121" s="33">
        <v>102.08</v>
      </c>
      <c r="P121" s="33" t="s">
        <v>393</v>
      </c>
      <c r="Q121" s="52">
        <v>0.10589999999999999</v>
      </c>
      <c r="R121" s="52">
        <v>5.5899999999999991E-2</v>
      </c>
      <c r="S121" s="53">
        <v>1.1111111111111111E-3</v>
      </c>
      <c r="T121" s="33" t="s">
        <v>155</v>
      </c>
      <c r="V121" s="40" t="str">
        <f>VLOOKUP(L121,[1]Sheet1!$B:$C,2,0)</f>
        <v>Earthquake / California</v>
      </c>
    </row>
    <row r="122" spans="1:22" s="40" customFormat="1" ht="12" x14ac:dyDescent="0.25">
      <c r="A122" s="30" t="s">
        <v>480</v>
      </c>
      <c r="B122" s="33" t="s">
        <v>23</v>
      </c>
      <c r="C122" s="33" t="s">
        <v>371</v>
      </c>
      <c r="D122" s="32" t="s">
        <v>341</v>
      </c>
      <c r="E122" s="48" t="s">
        <v>374</v>
      </c>
      <c r="F122" s="48" t="s">
        <v>161</v>
      </c>
      <c r="G122" s="48" t="s">
        <v>162</v>
      </c>
      <c r="H122" s="48" t="s">
        <v>352</v>
      </c>
      <c r="I122" s="33" t="s">
        <v>151</v>
      </c>
      <c r="J122" s="49">
        <v>46515</v>
      </c>
      <c r="K122" s="50">
        <v>250000</v>
      </c>
      <c r="L122" s="48" t="s">
        <v>375</v>
      </c>
      <c r="M122" s="33">
        <v>101.95</v>
      </c>
      <c r="N122" s="51" t="s">
        <v>153</v>
      </c>
      <c r="O122" s="33">
        <v>101.95</v>
      </c>
      <c r="P122" s="33" t="s">
        <v>393</v>
      </c>
      <c r="Q122" s="52">
        <v>9.3081216812133785E-2</v>
      </c>
      <c r="R122" s="52">
        <v>6.6261989999999993E-2</v>
      </c>
      <c r="S122" s="53">
        <v>1.6666666666666668E-3</v>
      </c>
      <c r="T122" s="33" t="s">
        <v>155</v>
      </c>
      <c r="V122" s="40" t="str">
        <f>VLOOKUP(L122,[1]Sheet1!$B:$C,2,0)</f>
        <v>Earthquake / California</v>
      </c>
    </row>
    <row r="123" spans="1:22" s="40" customFormat="1" ht="12" x14ac:dyDescent="0.25">
      <c r="A123" s="30" t="s">
        <v>480</v>
      </c>
      <c r="B123" s="33" t="s">
        <v>23</v>
      </c>
      <c r="C123" s="33" t="s">
        <v>373</v>
      </c>
      <c r="D123" s="32" t="s">
        <v>341</v>
      </c>
      <c r="E123" s="48" t="s">
        <v>382</v>
      </c>
      <c r="F123" s="48" t="s">
        <v>161</v>
      </c>
      <c r="G123" s="48" t="s">
        <v>150</v>
      </c>
      <c r="H123" s="48" t="s">
        <v>354</v>
      </c>
      <c r="I123" s="33" t="s">
        <v>151</v>
      </c>
      <c r="J123" s="49">
        <v>46527</v>
      </c>
      <c r="K123" s="50">
        <v>250000</v>
      </c>
      <c r="L123" s="48" t="s">
        <v>383</v>
      </c>
      <c r="M123" s="33">
        <v>101.85</v>
      </c>
      <c r="N123" s="51" t="s">
        <v>153</v>
      </c>
      <c r="O123" s="33">
        <v>101.85</v>
      </c>
      <c r="P123" s="33" t="s">
        <v>393</v>
      </c>
      <c r="Q123" s="52">
        <v>0.10002121925354004</v>
      </c>
      <c r="R123" s="52">
        <v>9.1009530000000005E-2</v>
      </c>
      <c r="S123" s="53">
        <v>2.631578947368421E-3</v>
      </c>
      <c r="T123" s="33" t="s">
        <v>155</v>
      </c>
      <c r="V123" s="40" t="str">
        <f>VLOOKUP(L123,[1]Sheet1!$B:$C,2,0)</f>
        <v>Earthquake / U.S. (excl. AK, HI)</v>
      </c>
    </row>
    <row r="124" spans="1:22" s="40" customFormat="1" ht="12" x14ac:dyDescent="0.25">
      <c r="A124" s="30" t="s">
        <v>480</v>
      </c>
      <c r="B124" s="33" t="s">
        <v>23</v>
      </c>
      <c r="C124" s="33" t="s">
        <v>376</v>
      </c>
      <c r="D124" s="32" t="s">
        <v>341</v>
      </c>
      <c r="E124" s="48" t="s">
        <v>387</v>
      </c>
      <c r="F124" s="48" t="s">
        <v>156</v>
      </c>
      <c r="G124" s="48" t="s">
        <v>162</v>
      </c>
      <c r="H124" s="48" t="s">
        <v>352</v>
      </c>
      <c r="I124" s="33" t="s">
        <v>151</v>
      </c>
      <c r="J124" s="49">
        <v>46223</v>
      </c>
      <c r="K124" s="50">
        <v>250000</v>
      </c>
      <c r="L124" s="48" t="s">
        <v>454</v>
      </c>
      <c r="M124" s="33">
        <v>102.87</v>
      </c>
      <c r="N124" s="51" t="s">
        <v>153</v>
      </c>
      <c r="O124" s="33">
        <v>102.87</v>
      </c>
      <c r="P124" s="33" t="s">
        <v>393</v>
      </c>
      <c r="Q124" s="52">
        <v>0.1648</v>
      </c>
      <c r="R124" s="52">
        <v>0.1148</v>
      </c>
      <c r="S124" s="53">
        <v>3.3333333333333335E-3</v>
      </c>
      <c r="T124" s="33" t="s">
        <v>155</v>
      </c>
      <c r="V124" s="40" t="str">
        <f>VLOOKUP(L124,[1]Sheet1!$B:$C,2,0)</f>
        <v>NULL</v>
      </c>
    </row>
    <row r="125" spans="1:22" s="40" customFormat="1" ht="12" x14ac:dyDescent="0.25">
      <c r="A125" s="30" t="s">
        <v>480</v>
      </c>
      <c r="B125" s="33" t="s">
        <v>23</v>
      </c>
      <c r="C125" s="33" t="s">
        <v>379</v>
      </c>
      <c r="D125" s="32" t="s">
        <v>341</v>
      </c>
      <c r="E125" s="48" t="s">
        <v>455</v>
      </c>
      <c r="F125" s="48" t="s">
        <v>456</v>
      </c>
      <c r="G125" s="48" t="s">
        <v>157</v>
      </c>
      <c r="H125" s="48" t="s">
        <v>354</v>
      </c>
      <c r="I125" s="33" t="s">
        <v>151</v>
      </c>
      <c r="J125" s="49">
        <v>46223</v>
      </c>
      <c r="K125" s="50">
        <v>250000</v>
      </c>
      <c r="L125" s="48" t="s">
        <v>457</v>
      </c>
      <c r="M125" s="33">
        <v>102.03</v>
      </c>
      <c r="N125" s="51" t="s">
        <v>153</v>
      </c>
      <c r="O125" s="33">
        <v>102.03</v>
      </c>
      <c r="P125" s="33" t="s">
        <v>393</v>
      </c>
      <c r="Q125" s="52">
        <v>0.1285</v>
      </c>
      <c r="R125" s="52">
        <v>7.85E-2</v>
      </c>
      <c r="S125" s="53">
        <v>6.2500000000000001E-4</v>
      </c>
      <c r="T125" s="33" t="s">
        <v>155</v>
      </c>
      <c r="V125" s="40" t="str">
        <f>VLOOKUP(L125,[1]Sheet1!$B:$C,2,0)</f>
        <v>Earthquake / California</v>
      </c>
    </row>
    <row r="126" spans="1:22" s="40" customFormat="1" ht="12" x14ac:dyDescent="0.25">
      <c r="A126" s="30" t="s">
        <v>480</v>
      </c>
      <c r="B126" s="33" t="s">
        <v>23</v>
      </c>
      <c r="C126" s="33" t="s">
        <v>384</v>
      </c>
      <c r="D126" s="32" t="s">
        <v>341</v>
      </c>
      <c r="E126" s="48" t="s">
        <v>458</v>
      </c>
      <c r="F126" s="48" t="s">
        <v>459</v>
      </c>
      <c r="G126" s="48" t="s">
        <v>157</v>
      </c>
      <c r="H126" s="48" t="s">
        <v>354</v>
      </c>
      <c r="I126" s="33" t="s">
        <v>151</v>
      </c>
      <c r="J126" s="49">
        <v>46223</v>
      </c>
      <c r="K126" s="50">
        <v>250000</v>
      </c>
      <c r="L126" s="48" t="s">
        <v>460</v>
      </c>
      <c r="M126" s="33">
        <v>101.69</v>
      </c>
      <c r="N126" s="51" t="s">
        <v>153</v>
      </c>
      <c r="O126" s="33">
        <v>101.69</v>
      </c>
      <c r="P126" s="33" t="s">
        <v>393</v>
      </c>
      <c r="Q126" s="52">
        <v>0.11366956</v>
      </c>
      <c r="R126" s="52">
        <v>6.366956E-2</v>
      </c>
      <c r="S126" s="53">
        <v>6.2500000000000001E-4</v>
      </c>
      <c r="T126" s="33" t="s">
        <v>155</v>
      </c>
      <c r="V126" s="40" t="str">
        <f>VLOOKUP(L126,[1]Sheet1!$B:$C,2,0)</f>
        <v>Earthquake / California</v>
      </c>
    </row>
    <row r="127" spans="1:22" s="40" customFormat="1" ht="12" x14ac:dyDescent="0.25">
      <c r="A127" s="30" t="s">
        <v>480</v>
      </c>
      <c r="B127" s="33" t="s">
        <v>23</v>
      </c>
      <c r="C127" s="33" t="s">
        <v>385</v>
      </c>
      <c r="D127" s="32" t="s">
        <v>341</v>
      </c>
      <c r="E127" s="48" t="s">
        <v>368</v>
      </c>
      <c r="F127" s="48" t="s">
        <v>156</v>
      </c>
      <c r="G127" s="48" t="s">
        <v>162</v>
      </c>
      <c r="H127" s="48" t="s">
        <v>352</v>
      </c>
      <c r="I127" s="33" t="s">
        <v>151</v>
      </c>
      <c r="J127" s="49">
        <v>46223</v>
      </c>
      <c r="K127" s="50">
        <v>250000</v>
      </c>
      <c r="L127" s="48" t="s">
        <v>461</v>
      </c>
      <c r="M127" s="33">
        <v>103.06</v>
      </c>
      <c r="N127" s="51" t="s">
        <v>153</v>
      </c>
      <c r="O127" s="33">
        <v>103.06</v>
      </c>
      <c r="P127" s="33" t="s">
        <v>393</v>
      </c>
      <c r="Q127" s="52">
        <v>0.10539999999999999</v>
      </c>
      <c r="R127" s="52">
        <v>5.5399999999999991E-2</v>
      </c>
      <c r="S127" s="53">
        <v>1.6666666666666668E-3</v>
      </c>
      <c r="T127" s="33" t="s">
        <v>155</v>
      </c>
      <c r="V127" s="40" t="str">
        <f>VLOOKUP(L127,[1]Sheet1!$B:$C,2,0)</f>
        <v>Earthquake / California</v>
      </c>
    </row>
    <row r="128" spans="1:22" s="40" customFormat="1" ht="12" x14ac:dyDescent="0.25">
      <c r="A128" s="30" t="s">
        <v>480</v>
      </c>
      <c r="B128" s="33" t="s">
        <v>23</v>
      </c>
      <c r="C128" s="33" t="s">
        <v>386</v>
      </c>
      <c r="D128" s="32" t="s">
        <v>341</v>
      </c>
      <c r="E128" s="48" t="s">
        <v>462</v>
      </c>
      <c r="F128" s="48" t="s">
        <v>156</v>
      </c>
      <c r="G128" s="48" t="s">
        <v>162</v>
      </c>
      <c r="H128" s="48" t="s">
        <v>352</v>
      </c>
      <c r="I128" s="33" t="s">
        <v>151</v>
      </c>
      <c r="J128" s="49">
        <v>46223</v>
      </c>
      <c r="K128" s="50">
        <v>250000</v>
      </c>
      <c r="L128" s="48" t="s">
        <v>463</v>
      </c>
      <c r="M128" s="33">
        <v>102.08</v>
      </c>
      <c r="N128" s="51" t="s">
        <v>153</v>
      </c>
      <c r="O128" s="33">
        <v>102.08</v>
      </c>
      <c r="P128" s="33" t="s">
        <v>393</v>
      </c>
      <c r="Q128" s="52">
        <v>0.10589999999999999</v>
      </c>
      <c r="R128" s="52">
        <v>5.5899999999999991E-2</v>
      </c>
      <c r="S128" s="53">
        <v>1.1111111111111111E-3</v>
      </c>
      <c r="T128" s="33" t="s">
        <v>155</v>
      </c>
      <c r="V128" s="40" t="str">
        <f>VLOOKUP(L128,[1]Sheet1!$B:$C,2,0)</f>
        <v>Earthquake / California</v>
      </c>
    </row>
    <row r="129" spans="1:22" s="40" customFormat="1" ht="12" x14ac:dyDescent="0.25">
      <c r="A129" s="30" t="s">
        <v>481</v>
      </c>
      <c r="B129" s="33" t="s">
        <v>23</v>
      </c>
      <c r="C129" s="33" t="s">
        <v>371</v>
      </c>
      <c r="D129" s="32" t="s">
        <v>341</v>
      </c>
      <c r="E129" s="48" t="s">
        <v>374</v>
      </c>
      <c r="F129" s="48" t="s">
        <v>161</v>
      </c>
      <c r="G129" s="48" t="s">
        <v>162</v>
      </c>
      <c r="H129" s="48" t="s">
        <v>352</v>
      </c>
      <c r="I129" s="33" t="s">
        <v>151</v>
      </c>
      <c r="J129" s="49">
        <v>46515</v>
      </c>
      <c r="K129" s="50">
        <v>250000</v>
      </c>
      <c r="L129" s="48" t="s">
        <v>375</v>
      </c>
      <c r="M129" s="33">
        <v>101.95</v>
      </c>
      <c r="N129" s="51" t="s">
        <v>153</v>
      </c>
      <c r="O129" s="33">
        <v>101.95</v>
      </c>
      <c r="P129" s="33" t="s">
        <v>393</v>
      </c>
      <c r="Q129" s="52">
        <v>9.3081216812133785E-2</v>
      </c>
      <c r="R129" s="52">
        <v>6.6261989999999993E-2</v>
      </c>
      <c r="S129" s="53">
        <v>1.6666666666666668E-3</v>
      </c>
      <c r="T129" s="33" t="s">
        <v>155</v>
      </c>
      <c r="V129" s="40" t="str">
        <f>VLOOKUP(L129,[1]Sheet1!$B:$C,2,0)</f>
        <v>Earthquake / California</v>
      </c>
    </row>
    <row r="130" spans="1:22" s="40" customFormat="1" ht="12" x14ac:dyDescent="0.25">
      <c r="A130" s="30" t="s">
        <v>481</v>
      </c>
      <c r="B130" s="33" t="s">
        <v>23</v>
      </c>
      <c r="C130" s="33" t="s">
        <v>373</v>
      </c>
      <c r="D130" s="32" t="s">
        <v>341</v>
      </c>
      <c r="E130" s="48" t="s">
        <v>382</v>
      </c>
      <c r="F130" s="48" t="s">
        <v>161</v>
      </c>
      <c r="G130" s="48" t="s">
        <v>150</v>
      </c>
      <c r="H130" s="48" t="s">
        <v>354</v>
      </c>
      <c r="I130" s="33" t="s">
        <v>151</v>
      </c>
      <c r="J130" s="49">
        <v>46527</v>
      </c>
      <c r="K130" s="50">
        <v>250000</v>
      </c>
      <c r="L130" s="48" t="s">
        <v>383</v>
      </c>
      <c r="M130" s="33">
        <v>101.85</v>
      </c>
      <c r="N130" s="51" t="s">
        <v>153</v>
      </c>
      <c r="O130" s="33">
        <v>101.85</v>
      </c>
      <c r="P130" s="33" t="s">
        <v>393</v>
      </c>
      <c r="Q130" s="52">
        <v>0.10002121925354004</v>
      </c>
      <c r="R130" s="52">
        <v>9.1009530000000005E-2</v>
      </c>
      <c r="S130" s="53">
        <v>2.631578947368421E-3</v>
      </c>
      <c r="T130" s="33" t="s">
        <v>155</v>
      </c>
      <c r="V130" s="40" t="str">
        <f>VLOOKUP(L130,[1]Sheet1!$B:$C,2,0)</f>
        <v>Earthquake / U.S. (excl. AK, HI)</v>
      </c>
    </row>
    <row r="131" spans="1:22" s="40" customFormat="1" ht="12" x14ac:dyDescent="0.25">
      <c r="A131" s="30" t="s">
        <v>481</v>
      </c>
      <c r="B131" s="33" t="s">
        <v>23</v>
      </c>
      <c r="C131" s="33" t="s">
        <v>376</v>
      </c>
      <c r="D131" s="32" t="s">
        <v>341</v>
      </c>
      <c r="E131" s="48" t="s">
        <v>387</v>
      </c>
      <c r="F131" s="48" t="s">
        <v>156</v>
      </c>
      <c r="G131" s="48" t="s">
        <v>162</v>
      </c>
      <c r="H131" s="48" t="s">
        <v>352</v>
      </c>
      <c r="I131" s="33" t="s">
        <v>151</v>
      </c>
      <c r="J131" s="49">
        <v>46223</v>
      </c>
      <c r="K131" s="50">
        <v>250000</v>
      </c>
      <c r="L131" s="48" t="s">
        <v>454</v>
      </c>
      <c r="M131" s="33">
        <v>102.87</v>
      </c>
      <c r="N131" s="51" t="s">
        <v>153</v>
      </c>
      <c r="O131" s="33">
        <v>102.87</v>
      </c>
      <c r="P131" s="33" t="s">
        <v>393</v>
      </c>
      <c r="Q131" s="52">
        <v>0.1648</v>
      </c>
      <c r="R131" s="52">
        <v>0.1148</v>
      </c>
      <c r="S131" s="53">
        <v>3.3333333333333335E-3</v>
      </c>
      <c r="T131" s="33" t="s">
        <v>155</v>
      </c>
      <c r="V131" s="40" t="str">
        <f>VLOOKUP(L131,[1]Sheet1!$B:$C,2,0)</f>
        <v>NULL</v>
      </c>
    </row>
    <row r="132" spans="1:22" s="40" customFormat="1" ht="12" x14ac:dyDescent="0.25">
      <c r="A132" s="30" t="s">
        <v>481</v>
      </c>
      <c r="B132" s="33" t="s">
        <v>23</v>
      </c>
      <c r="C132" s="33" t="s">
        <v>379</v>
      </c>
      <c r="D132" s="32" t="s">
        <v>341</v>
      </c>
      <c r="E132" s="48" t="s">
        <v>455</v>
      </c>
      <c r="F132" s="48" t="s">
        <v>456</v>
      </c>
      <c r="G132" s="48" t="s">
        <v>157</v>
      </c>
      <c r="H132" s="48" t="s">
        <v>354</v>
      </c>
      <c r="I132" s="33" t="s">
        <v>151</v>
      </c>
      <c r="J132" s="49">
        <v>46223</v>
      </c>
      <c r="K132" s="50">
        <v>250000</v>
      </c>
      <c r="L132" s="48" t="s">
        <v>457</v>
      </c>
      <c r="M132" s="33">
        <v>102.03</v>
      </c>
      <c r="N132" s="51" t="s">
        <v>153</v>
      </c>
      <c r="O132" s="33">
        <v>102.03</v>
      </c>
      <c r="P132" s="33" t="s">
        <v>393</v>
      </c>
      <c r="Q132" s="52">
        <v>0.1285</v>
      </c>
      <c r="R132" s="52">
        <v>7.85E-2</v>
      </c>
      <c r="S132" s="53">
        <v>6.2500000000000001E-4</v>
      </c>
      <c r="T132" s="33" t="s">
        <v>155</v>
      </c>
      <c r="V132" s="40" t="str">
        <f>VLOOKUP(L132,[1]Sheet1!$B:$C,2,0)</f>
        <v>Earthquake / California</v>
      </c>
    </row>
    <row r="133" spans="1:22" s="40" customFormat="1" ht="12" x14ac:dyDescent="0.25">
      <c r="A133" s="30" t="s">
        <v>481</v>
      </c>
      <c r="B133" s="33" t="s">
        <v>23</v>
      </c>
      <c r="C133" s="33" t="s">
        <v>384</v>
      </c>
      <c r="D133" s="32" t="s">
        <v>341</v>
      </c>
      <c r="E133" s="48" t="s">
        <v>458</v>
      </c>
      <c r="F133" s="48" t="s">
        <v>459</v>
      </c>
      <c r="G133" s="48" t="s">
        <v>157</v>
      </c>
      <c r="H133" s="48" t="s">
        <v>354</v>
      </c>
      <c r="I133" s="33" t="s">
        <v>151</v>
      </c>
      <c r="J133" s="49">
        <v>46223</v>
      </c>
      <c r="K133" s="50">
        <v>250000</v>
      </c>
      <c r="L133" s="48" t="s">
        <v>460</v>
      </c>
      <c r="M133" s="33">
        <v>101.69</v>
      </c>
      <c r="N133" s="51" t="s">
        <v>153</v>
      </c>
      <c r="O133" s="33">
        <v>101.69</v>
      </c>
      <c r="P133" s="33" t="s">
        <v>393</v>
      </c>
      <c r="Q133" s="52">
        <v>0.11366956</v>
      </c>
      <c r="R133" s="52">
        <v>6.366956E-2</v>
      </c>
      <c r="S133" s="53">
        <v>6.2500000000000001E-4</v>
      </c>
      <c r="T133" s="33" t="s">
        <v>155</v>
      </c>
      <c r="V133" s="40" t="str">
        <f>VLOOKUP(L133,[1]Sheet1!$B:$C,2,0)</f>
        <v>Earthquake / California</v>
      </c>
    </row>
    <row r="134" spans="1:22" s="40" customFormat="1" ht="12" x14ac:dyDescent="0.25">
      <c r="A134" s="30" t="s">
        <v>481</v>
      </c>
      <c r="B134" s="33" t="s">
        <v>23</v>
      </c>
      <c r="C134" s="33" t="s">
        <v>385</v>
      </c>
      <c r="D134" s="32" t="s">
        <v>341</v>
      </c>
      <c r="E134" s="48" t="s">
        <v>368</v>
      </c>
      <c r="F134" s="48" t="s">
        <v>156</v>
      </c>
      <c r="G134" s="48" t="s">
        <v>162</v>
      </c>
      <c r="H134" s="48" t="s">
        <v>352</v>
      </c>
      <c r="I134" s="33" t="s">
        <v>151</v>
      </c>
      <c r="J134" s="49">
        <v>46223</v>
      </c>
      <c r="K134" s="50">
        <v>250000</v>
      </c>
      <c r="L134" s="48" t="s">
        <v>461</v>
      </c>
      <c r="M134" s="33">
        <v>103.06</v>
      </c>
      <c r="N134" s="51" t="s">
        <v>153</v>
      </c>
      <c r="O134" s="33">
        <v>103.06</v>
      </c>
      <c r="P134" s="33" t="s">
        <v>393</v>
      </c>
      <c r="Q134" s="52">
        <v>0.10539999999999999</v>
      </c>
      <c r="R134" s="52">
        <v>5.5399999999999991E-2</v>
      </c>
      <c r="S134" s="53">
        <v>1.6666666666666668E-3</v>
      </c>
      <c r="T134" s="33" t="s">
        <v>155</v>
      </c>
      <c r="V134" s="40" t="str">
        <f>VLOOKUP(L134,[1]Sheet1!$B:$C,2,0)</f>
        <v>Earthquake / California</v>
      </c>
    </row>
    <row r="135" spans="1:22" s="40" customFormat="1" ht="12" x14ac:dyDescent="0.25">
      <c r="A135" s="30" t="s">
        <v>481</v>
      </c>
      <c r="B135" s="33" t="s">
        <v>23</v>
      </c>
      <c r="C135" s="33" t="s">
        <v>386</v>
      </c>
      <c r="D135" s="32" t="s">
        <v>341</v>
      </c>
      <c r="E135" s="48" t="s">
        <v>462</v>
      </c>
      <c r="F135" s="48" t="s">
        <v>156</v>
      </c>
      <c r="G135" s="48" t="s">
        <v>162</v>
      </c>
      <c r="H135" s="48" t="s">
        <v>352</v>
      </c>
      <c r="I135" s="33" t="s">
        <v>151</v>
      </c>
      <c r="J135" s="49">
        <v>46223</v>
      </c>
      <c r="K135" s="50">
        <v>250000</v>
      </c>
      <c r="L135" s="48" t="s">
        <v>463</v>
      </c>
      <c r="M135" s="33">
        <v>102.08</v>
      </c>
      <c r="N135" s="51" t="s">
        <v>153</v>
      </c>
      <c r="O135" s="33">
        <v>102.08</v>
      </c>
      <c r="P135" s="33" t="s">
        <v>393</v>
      </c>
      <c r="Q135" s="52">
        <v>0.10589999999999999</v>
      </c>
      <c r="R135" s="52">
        <v>5.5899999999999991E-2</v>
      </c>
      <c r="S135" s="53">
        <v>1.1111111111111111E-3</v>
      </c>
      <c r="T135" s="33" t="s">
        <v>155</v>
      </c>
      <c r="V135" s="40" t="str">
        <f>VLOOKUP(L135,[1]Sheet1!$B:$C,2,0)</f>
        <v>Earthquake / California</v>
      </c>
    </row>
    <row r="136" spans="1:22" s="40" customFormat="1" ht="12" x14ac:dyDescent="0.25">
      <c r="A136" s="30" t="s">
        <v>472</v>
      </c>
      <c r="B136" s="33" t="s">
        <v>23</v>
      </c>
      <c r="C136" s="33" t="s">
        <v>24</v>
      </c>
      <c r="D136" s="32" t="s">
        <v>409</v>
      </c>
      <c r="E136" s="48" t="s">
        <v>342</v>
      </c>
      <c r="F136" s="48" t="s">
        <v>149</v>
      </c>
      <c r="G136" s="48" t="s">
        <v>150</v>
      </c>
      <c r="H136" s="48" t="s">
        <v>352</v>
      </c>
      <c r="I136" s="33" t="s">
        <v>151</v>
      </c>
      <c r="J136" s="49">
        <v>45749</v>
      </c>
      <c r="K136" s="50">
        <v>250000</v>
      </c>
      <c r="L136" s="51" t="s">
        <v>152</v>
      </c>
      <c r="M136" s="33">
        <v>101</v>
      </c>
      <c r="N136" s="51" t="s">
        <v>153</v>
      </c>
      <c r="O136" s="33">
        <v>101</v>
      </c>
      <c r="P136" s="33" t="s">
        <v>154</v>
      </c>
      <c r="Q136" s="52">
        <v>6.1507199764251702E-2</v>
      </c>
      <c r="R136" s="52">
        <v>5.6114689999999995E-2</v>
      </c>
      <c r="S136" s="53">
        <v>1.6666666666666668E-3</v>
      </c>
      <c r="T136" s="33" t="s">
        <v>155</v>
      </c>
      <c r="V136" s="40" t="str">
        <f>VLOOKUP(L136,[1]Sheet1!$B:$C,2,0)</f>
        <v>Earthquake / Japan</v>
      </c>
    </row>
    <row r="137" spans="1:22" s="40" customFormat="1" ht="12" x14ac:dyDescent="0.25">
      <c r="A137" s="30" t="s">
        <v>472</v>
      </c>
      <c r="B137" s="33" t="s">
        <v>23</v>
      </c>
      <c r="C137" s="33" t="s">
        <v>25</v>
      </c>
      <c r="D137" s="32" t="s">
        <v>409</v>
      </c>
      <c r="E137" s="48" t="s">
        <v>343</v>
      </c>
      <c r="F137" s="48" t="s">
        <v>156</v>
      </c>
      <c r="G137" s="48" t="s">
        <v>157</v>
      </c>
      <c r="H137" s="48" t="s">
        <v>352</v>
      </c>
      <c r="I137" s="33" t="s">
        <v>151</v>
      </c>
      <c r="J137" s="49">
        <v>45751</v>
      </c>
      <c r="K137" s="50">
        <v>250000</v>
      </c>
      <c r="L137" s="51" t="s">
        <v>158</v>
      </c>
      <c r="M137" s="33">
        <v>100.2</v>
      </c>
      <c r="N137" s="51" t="s">
        <v>153</v>
      </c>
      <c r="O137" s="33">
        <v>100.2</v>
      </c>
      <c r="P137" s="33" t="s">
        <v>159</v>
      </c>
      <c r="Q137" s="52">
        <v>0.1041071997642517</v>
      </c>
      <c r="R137" s="52">
        <v>0.10300053000000001</v>
      </c>
      <c r="S137" s="53">
        <v>8.3333333333333332E-3</v>
      </c>
      <c r="T137" s="33" t="s">
        <v>155</v>
      </c>
      <c r="V137" s="40" t="str">
        <f>VLOOKUP(L137,[1]Sheet1!$B:$C,2,0)</f>
        <v>Earthquake / U.S., Canada, Puerto Rico, U.S. VI ; Named Storm / U.S., Puerto Rico, U.S. VI</v>
      </c>
    </row>
    <row r="138" spans="1:22" s="40" customFormat="1" ht="12" x14ac:dyDescent="0.25">
      <c r="A138" s="30" t="s">
        <v>472</v>
      </c>
      <c r="B138" s="33" t="s">
        <v>23</v>
      </c>
      <c r="C138" s="33" t="s">
        <v>26</v>
      </c>
      <c r="D138" s="32" t="s">
        <v>409</v>
      </c>
      <c r="E138" s="48" t="s">
        <v>344</v>
      </c>
      <c r="F138" s="48" t="s">
        <v>161</v>
      </c>
      <c r="G138" s="48" t="s">
        <v>162</v>
      </c>
      <c r="H138" s="48" t="s">
        <v>352</v>
      </c>
      <c r="I138" s="33" t="s">
        <v>151</v>
      </c>
      <c r="J138" s="49">
        <v>45751</v>
      </c>
      <c r="K138" s="50">
        <v>250000</v>
      </c>
      <c r="L138" s="51" t="s">
        <v>163</v>
      </c>
      <c r="M138" s="33">
        <v>102.85</v>
      </c>
      <c r="N138" s="51" t="s">
        <v>153</v>
      </c>
      <c r="O138" s="33">
        <v>102.85</v>
      </c>
      <c r="P138" s="33" t="s">
        <v>154</v>
      </c>
      <c r="Q138" s="52">
        <v>9.0999999999999998E-2</v>
      </c>
      <c r="R138" s="52">
        <v>7.670283E-2</v>
      </c>
      <c r="S138" s="53">
        <v>1.25E-3</v>
      </c>
      <c r="T138" s="33" t="s">
        <v>155</v>
      </c>
      <c r="V138" s="40" t="str">
        <f>VLOOKUP(L138,[1]Sheet1!$B:$C,2,0)</f>
        <v>Named Storm / North Carolina</v>
      </c>
    </row>
    <row r="139" spans="1:22" s="40" customFormat="1" ht="12" x14ac:dyDescent="0.25">
      <c r="A139" s="30" t="s">
        <v>472</v>
      </c>
      <c r="B139" s="33" t="s">
        <v>23</v>
      </c>
      <c r="C139" s="33" t="s">
        <v>28</v>
      </c>
      <c r="D139" s="32" t="s">
        <v>409</v>
      </c>
      <c r="E139" s="48" t="s">
        <v>345</v>
      </c>
      <c r="F139" s="48" t="s">
        <v>164</v>
      </c>
      <c r="G139" s="48" t="s">
        <v>165</v>
      </c>
      <c r="H139" s="48" t="s">
        <v>352</v>
      </c>
      <c r="I139" s="33" t="s">
        <v>151</v>
      </c>
      <c r="J139" s="49">
        <v>45751</v>
      </c>
      <c r="K139" s="50">
        <v>250000</v>
      </c>
      <c r="L139" s="51" t="s">
        <v>166</v>
      </c>
      <c r="M139" s="33">
        <v>101</v>
      </c>
      <c r="N139" s="51" t="s">
        <v>153</v>
      </c>
      <c r="O139" s="33">
        <v>101</v>
      </c>
      <c r="P139" s="33" t="s">
        <v>154</v>
      </c>
      <c r="Q139" s="52">
        <v>6.699999999999999E-2</v>
      </c>
      <c r="R139" s="52">
        <v>5.9638299999999998E-2</v>
      </c>
      <c r="S139" s="53">
        <v>2.0833333333333333E-3</v>
      </c>
      <c r="T139" s="33" t="s">
        <v>155</v>
      </c>
      <c r="V139" s="40" t="str">
        <f>VLOOKUP(L139,[1]Sheet1!$B:$C,2,0)</f>
        <v>Typhoon ; Flood / Japan</v>
      </c>
    </row>
    <row r="140" spans="1:22" s="40" customFormat="1" ht="12" x14ac:dyDescent="0.25">
      <c r="A140" s="30" t="s">
        <v>472</v>
      </c>
      <c r="B140" s="33" t="s">
        <v>23</v>
      </c>
      <c r="C140" s="33" t="s">
        <v>29</v>
      </c>
      <c r="D140" s="32" t="s">
        <v>409</v>
      </c>
      <c r="E140" s="48" t="s">
        <v>346</v>
      </c>
      <c r="F140" s="48" t="s">
        <v>167</v>
      </c>
      <c r="G140" s="48" t="s">
        <v>168</v>
      </c>
      <c r="H140" s="48" t="s">
        <v>353</v>
      </c>
      <c r="I140" s="33" t="s">
        <v>151</v>
      </c>
      <c r="J140" s="49">
        <v>45751</v>
      </c>
      <c r="K140" s="50">
        <v>250000</v>
      </c>
      <c r="L140" s="51" t="s">
        <v>169</v>
      </c>
      <c r="M140" s="33">
        <v>103.95</v>
      </c>
      <c r="N140" s="51" t="s">
        <v>153</v>
      </c>
      <c r="O140" s="33">
        <v>103.95</v>
      </c>
      <c r="P140" s="33" t="s">
        <v>159</v>
      </c>
      <c r="Q140" s="52">
        <v>9.3599999999999989E-2</v>
      </c>
      <c r="R140" s="52">
        <v>7.1220699999999998E-2</v>
      </c>
      <c r="S140" s="53">
        <v>8.3333333333333339E-4</v>
      </c>
      <c r="T140" s="33" t="s">
        <v>155</v>
      </c>
      <c r="V140" s="40" t="str">
        <f>VLOOKUP(L140,[1]Sheet1!$B:$C,2,0)</f>
        <v>Earthquake / California</v>
      </c>
    </row>
    <row r="141" spans="1:22" s="40" customFormat="1" ht="12" x14ac:dyDescent="0.25">
      <c r="A141" s="30" t="s">
        <v>472</v>
      </c>
      <c r="B141" s="33" t="s">
        <v>23</v>
      </c>
      <c r="C141" s="33" t="s">
        <v>410</v>
      </c>
      <c r="D141" s="32" t="s">
        <v>409</v>
      </c>
      <c r="E141" s="48" t="s">
        <v>342</v>
      </c>
      <c r="F141" s="48" t="s">
        <v>149</v>
      </c>
      <c r="G141" s="48" t="s">
        <v>150</v>
      </c>
      <c r="H141" s="48" t="s">
        <v>352</v>
      </c>
      <c r="I141" s="33" t="s">
        <v>310</v>
      </c>
      <c r="J141" s="49">
        <v>46114</v>
      </c>
      <c r="K141" s="50">
        <v>100000</v>
      </c>
      <c r="L141" s="51" t="s">
        <v>152</v>
      </c>
      <c r="M141" s="33">
        <v>101</v>
      </c>
      <c r="N141" s="51" t="s">
        <v>153</v>
      </c>
      <c r="O141" s="33">
        <v>101</v>
      </c>
      <c r="P141" s="33" t="s">
        <v>154</v>
      </c>
      <c r="Q141" s="52">
        <v>6.1507199764251702E-2</v>
      </c>
      <c r="R141" s="52">
        <v>5.6114689999999995E-2</v>
      </c>
      <c r="S141" s="53">
        <v>1.6666666666666668E-3</v>
      </c>
      <c r="T141" s="33" t="s">
        <v>155</v>
      </c>
      <c r="V141" s="40" t="str">
        <f>VLOOKUP(L141,[1]Sheet1!$B:$C,2,0)</f>
        <v>Earthquake / Japan</v>
      </c>
    </row>
    <row r="142" spans="1:22" s="40" customFormat="1" ht="12" x14ac:dyDescent="0.25">
      <c r="A142" s="30" t="s">
        <v>472</v>
      </c>
      <c r="B142" s="33" t="s">
        <v>23</v>
      </c>
      <c r="C142" s="33" t="s">
        <v>411</v>
      </c>
      <c r="D142" s="32" t="s">
        <v>409</v>
      </c>
      <c r="E142" s="48" t="s">
        <v>343</v>
      </c>
      <c r="F142" s="48" t="s">
        <v>156</v>
      </c>
      <c r="G142" s="48" t="s">
        <v>157</v>
      </c>
      <c r="H142" s="48" t="s">
        <v>352</v>
      </c>
      <c r="I142" s="33" t="s">
        <v>310</v>
      </c>
      <c r="J142" s="49">
        <v>46116</v>
      </c>
      <c r="K142" s="50">
        <v>100000</v>
      </c>
      <c r="L142" s="51" t="s">
        <v>158</v>
      </c>
      <c r="M142" s="33">
        <v>100.2</v>
      </c>
      <c r="N142" s="51" t="s">
        <v>153</v>
      </c>
      <c r="O142" s="33">
        <v>100.2</v>
      </c>
      <c r="P142" s="33" t="s">
        <v>159</v>
      </c>
      <c r="Q142" s="52">
        <v>0.1041071997642517</v>
      </c>
      <c r="R142" s="52">
        <v>0.10300053000000001</v>
      </c>
      <c r="S142" s="53">
        <v>8.3333333333333332E-3</v>
      </c>
      <c r="T142" s="33" t="s">
        <v>155</v>
      </c>
      <c r="V142" s="40" t="str">
        <f>VLOOKUP(L142,[1]Sheet1!$B:$C,2,0)</f>
        <v>Earthquake / U.S., Canada, Puerto Rico, U.S. VI ; Named Storm / U.S., Puerto Rico, U.S. VI</v>
      </c>
    </row>
    <row r="143" spans="1:22" s="40" customFormat="1" ht="12" x14ac:dyDescent="0.25">
      <c r="A143" s="30" t="s">
        <v>482</v>
      </c>
      <c r="B143" s="33" t="s">
        <v>23</v>
      </c>
      <c r="C143" s="33" t="s">
        <v>24</v>
      </c>
      <c r="D143" s="32" t="s">
        <v>412</v>
      </c>
      <c r="E143" s="48" t="s">
        <v>342</v>
      </c>
      <c r="F143" s="48" t="s">
        <v>149</v>
      </c>
      <c r="G143" s="48" t="s">
        <v>150</v>
      </c>
      <c r="H143" s="48" t="s">
        <v>352</v>
      </c>
      <c r="I143" s="33" t="s">
        <v>151</v>
      </c>
      <c r="J143" s="49">
        <v>45749</v>
      </c>
      <c r="K143" s="50">
        <v>250000</v>
      </c>
      <c r="L143" s="51" t="s">
        <v>152</v>
      </c>
      <c r="M143" s="33">
        <v>101</v>
      </c>
      <c r="N143" s="51" t="s">
        <v>153</v>
      </c>
      <c r="O143" s="33">
        <v>101</v>
      </c>
      <c r="P143" s="33" t="s">
        <v>154</v>
      </c>
      <c r="Q143" s="52">
        <v>6.1507199764251702E-2</v>
      </c>
      <c r="R143" s="52">
        <v>5.6114689999999995E-2</v>
      </c>
      <c r="S143" s="53">
        <v>1.6666666666666668E-3</v>
      </c>
      <c r="T143" s="33" t="s">
        <v>155</v>
      </c>
      <c r="V143" s="40" t="str">
        <f>VLOOKUP(L143,[1]Sheet1!$B:$C,2,0)</f>
        <v>Earthquake / Japan</v>
      </c>
    </row>
    <row r="144" spans="1:22" s="40" customFormat="1" ht="12" x14ac:dyDescent="0.25">
      <c r="A144" s="30" t="s">
        <v>482</v>
      </c>
      <c r="B144" s="33" t="s">
        <v>23</v>
      </c>
      <c r="C144" s="33" t="s">
        <v>25</v>
      </c>
      <c r="D144" s="32" t="s">
        <v>412</v>
      </c>
      <c r="E144" s="48" t="s">
        <v>343</v>
      </c>
      <c r="F144" s="48" t="s">
        <v>156</v>
      </c>
      <c r="G144" s="48" t="s">
        <v>157</v>
      </c>
      <c r="H144" s="48" t="s">
        <v>352</v>
      </c>
      <c r="I144" s="33" t="s">
        <v>151</v>
      </c>
      <c r="J144" s="49">
        <v>45751</v>
      </c>
      <c r="K144" s="50">
        <v>250000</v>
      </c>
      <c r="L144" s="51" t="s">
        <v>158</v>
      </c>
      <c r="M144" s="33">
        <v>100.2</v>
      </c>
      <c r="N144" s="51" t="s">
        <v>153</v>
      </c>
      <c r="O144" s="33">
        <v>100.2</v>
      </c>
      <c r="P144" s="33" t="s">
        <v>159</v>
      </c>
      <c r="Q144" s="52">
        <v>0.1041071997642517</v>
      </c>
      <c r="R144" s="52">
        <v>0.10300053000000001</v>
      </c>
      <c r="S144" s="53">
        <v>8.3333333333333332E-3</v>
      </c>
      <c r="T144" s="33" t="s">
        <v>155</v>
      </c>
      <c r="V144" s="40" t="str">
        <f>VLOOKUP(L144,[1]Sheet1!$B:$C,2,0)</f>
        <v>Earthquake / U.S., Canada, Puerto Rico, U.S. VI ; Named Storm / U.S., Puerto Rico, U.S. VI</v>
      </c>
    </row>
    <row r="145" spans="1:22" s="40" customFormat="1" ht="12" x14ac:dyDescent="0.25">
      <c r="A145" s="30" t="s">
        <v>482</v>
      </c>
      <c r="B145" s="33" t="s">
        <v>23</v>
      </c>
      <c r="C145" s="33" t="s">
        <v>26</v>
      </c>
      <c r="D145" s="32" t="s">
        <v>412</v>
      </c>
      <c r="E145" s="48" t="s">
        <v>344</v>
      </c>
      <c r="F145" s="48" t="s">
        <v>161</v>
      </c>
      <c r="G145" s="48" t="s">
        <v>162</v>
      </c>
      <c r="H145" s="48" t="s">
        <v>352</v>
      </c>
      <c r="I145" s="33" t="s">
        <v>151</v>
      </c>
      <c r="J145" s="49">
        <v>45751</v>
      </c>
      <c r="K145" s="50">
        <v>250000</v>
      </c>
      <c r="L145" s="51" t="s">
        <v>163</v>
      </c>
      <c r="M145" s="33">
        <v>102.85</v>
      </c>
      <c r="N145" s="51" t="s">
        <v>153</v>
      </c>
      <c r="O145" s="33">
        <v>102.85</v>
      </c>
      <c r="P145" s="33" t="s">
        <v>154</v>
      </c>
      <c r="Q145" s="52">
        <v>9.0999999999999998E-2</v>
      </c>
      <c r="R145" s="52">
        <v>7.670283E-2</v>
      </c>
      <c r="S145" s="53">
        <v>1.25E-3</v>
      </c>
      <c r="T145" s="33" t="s">
        <v>155</v>
      </c>
      <c r="V145" s="40" t="str">
        <f>VLOOKUP(L145,[1]Sheet1!$B:$C,2,0)</f>
        <v>Named Storm / North Carolina</v>
      </c>
    </row>
    <row r="146" spans="1:22" s="40" customFormat="1" ht="12" x14ac:dyDescent="0.25">
      <c r="A146" s="30" t="s">
        <v>482</v>
      </c>
      <c r="B146" s="33" t="s">
        <v>23</v>
      </c>
      <c r="C146" s="33" t="s">
        <v>28</v>
      </c>
      <c r="D146" s="32" t="s">
        <v>412</v>
      </c>
      <c r="E146" s="48" t="s">
        <v>345</v>
      </c>
      <c r="F146" s="48" t="s">
        <v>164</v>
      </c>
      <c r="G146" s="48" t="s">
        <v>165</v>
      </c>
      <c r="H146" s="48" t="s">
        <v>352</v>
      </c>
      <c r="I146" s="33" t="s">
        <v>151</v>
      </c>
      <c r="J146" s="49">
        <v>45751</v>
      </c>
      <c r="K146" s="50">
        <v>250000</v>
      </c>
      <c r="L146" s="51" t="s">
        <v>166</v>
      </c>
      <c r="M146" s="33">
        <v>101</v>
      </c>
      <c r="N146" s="51" t="s">
        <v>153</v>
      </c>
      <c r="O146" s="33">
        <v>101</v>
      </c>
      <c r="P146" s="33" t="s">
        <v>154</v>
      </c>
      <c r="Q146" s="52">
        <v>6.699999999999999E-2</v>
      </c>
      <c r="R146" s="52">
        <v>5.9638299999999998E-2</v>
      </c>
      <c r="S146" s="53">
        <v>2.0833333333333333E-3</v>
      </c>
      <c r="T146" s="33" t="s">
        <v>155</v>
      </c>
      <c r="V146" s="40" t="str">
        <f>VLOOKUP(L146,[1]Sheet1!$B:$C,2,0)</f>
        <v>Typhoon ; Flood / Japan</v>
      </c>
    </row>
    <row r="147" spans="1:22" s="40" customFormat="1" ht="12" x14ac:dyDescent="0.25">
      <c r="A147" s="30" t="s">
        <v>482</v>
      </c>
      <c r="B147" s="33" t="s">
        <v>23</v>
      </c>
      <c r="C147" s="33" t="s">
        <v>29</v>
      </c>
      <c r="D147" s="32" t="s">
        <v>412</v>
      </c>
      <c r="E147" s="48" t="s">
        <v>346</v>
      </c>
      <c r="F147" s="48" t="s">
        <v>167</v>
      </c>
      <c r="G147" s="48" t="s">
        <v>168</v>
      </c>
      <c r="H147" s="48" t="s">
        <v>353</v>
      </c>
      <c r="I147" s="33" t="s">
        <v>151</v>
      </c>
      <c r="J147" s="49">
        <v>45751</v>
      </c>
      <c r="K147" s="50">
        <v>250000</v>
      </c>
      <c r="L147" s="51" t="s">
        <v>169</v>
      </c>
      <c r="M147" s="33">
        <v>103.95</v>
      </c>
      <c r="N147" s="51" t="s">
        <v>153</v>
      </c>
      <c r="O147" s="33">
        <v>103.95</v>
      </c>
      <c r="P147" s="33" t="s">
        <v>159</v>
      </c>
      <c r="Q147" s="52">
        <v>9.3599999999999989E-2</v>
      </c>
      <c r="R147" s="52">
        <v>7.1220699999999998E-2</v>
      </c>
      <c r="S147" s="53">
        <v>8.3333333333333339E-4</v>
      </c>
      <c r="T147" s="33" t="s">
        <v>155</v>
      </c>
      <c r="V147" s="40" t="str">
        <f>VLOOKUP(L147,[1]Sheet1!$B:$C,2,0)</f>
        <v>Earthquake / California</v>
      </c>
    </row>
    <row r="148" spans="1:22" s="40" customFormat="1" ht="12" x14ac:dyDescent="0.25">
      <c r="A148" s="30" t="s">
        <v>482</v>
      </c>
      <c r="B148" s="33" t="s">
        <v>23</v>
      </c>
      <c r="C148" s="33" t="s">
        <v>410</v>
      </c>
      <c r="D148" s="32" t="s">
        <v>412</v>
      </c>
      <c r="E148" s="48" t="s">
        <v>342</v>
      </c>
      <c r="F148" s="48" t="s">
        <v>149</v>
      </c>
      <c r="G148" s="48" t="s">
        <v>150</v>
      </c>
      <c r="H148" s="48" t="s">
        <v>352</v>
      </c>
      <c r="I148" s="33" t="s">
        <v>310</v>
      </c>
      <c r="J148" s="49">
        <v>46114</v>
      </c>
      <c r="K148" s="50">
        <v>150000</v>
      </c>
      <c r="L148" s="51" t="s">
        <v>152</v>
      </c>
      <c r="M148" s="33">
        <v>101</v>
      </c>
      <c r="N148" s="51" t="s">
        <v>153</v>
      </c>
      <c r="O148" s="33">
        <v>101</v>
      </c>
      <c r="P148" s="33" t="s">
        <v>154</v>
      </c>
      <c r="Q148" s="52">
        <v>6.1507199764251702E-2</v>
      </c>
      <c r="R148" s="52">
        <v>5.6114689999999995E-2</v>
      </c>
      <c r="S148" s="53">
        <v>1.6666666666666668E-3</v>
      </c>
      <c r="T148" s="33" t="s">
        <v>155</v>
      </c>
      <c r="V148" s="40" t="str">
        <f>VLOOKUP(L148,[1]Sheet1!$B:$C,2,0)</f>
        <v>Earthquake / Japan</v>
      </c>
    </row>
    <row r="149" spans="1:22" s="40" customFormat="1" ht="12" x14ac:dyDescent="0.25">
      <c r="A149" s="30" t="s">
        <v>482</v>
      </c>
      <c r="B149" s="33" t="s">
        <v>23</v>
      </c>
      <c r="C149" s="33" t="s">
        <v>411</v>
      </c>
      <c r="D149" s="32" t="s">
        <v>412</v>
      </c>
      <c r="E149" s="48" t="s">
        <v>343</v>
      </c>
      <c r="F149" s="48" t="s">
        <v>156</v>
      </c>
      <c r="G149" s="48" t="s">
        <v>157</v>
      </c>
      <c r="H149" s="48" t="s">
        <v>352</v>
      </c>
      <c r="I149" s="33" t="s">
        <v>310</v>
      </c>
      <c r="J149" s="49">
        <v>46116</v>
      </c>
      <c r="K149" s="50">
        <v>100000</v>
      </c>
      <c r="L149" s="51" t="s">
        <v>158</v>
      </c>
      <c r="M149" s="33">
        <v>101</v>
      </c>
      <c r="N149" s="51" t="s">
        <v>153</v>
      </c>
      <c r="O149" s="33">
        <v>101</v>
      </c>
      <c r="P149" s="33" t="s">
        <v>159</v>
      </c>
      <c r="Q149" s="52">
        <v>0.1041071997642517</v>
      </c>
      <c r="R149" s="52">
        <v>0.10300053000000001</v>
      </c>
      <c r="S149" s="53">
        <v>8.3333333333333332E-3</v>
      </c>
      <c r="T149" s="33" t="s">
        <v>155</v>
      </c>
      <c r="V149" s="40" t="str">
        <f>VLOOKUP(L149,[1]Sheet1!$B:$C,2,0)</f>
        <v>Earthquake / U.S., Canada, Puerto Rico, U.S. VI ; Named Storm / U.S., Puerto Rico, U.S. VI</v>
      </c>
    </row>
    <row r="150" spans="1:22" s="40" customFormat="1" ht="12" x14ac:dyDescent="0.25">
      <c r="A150" s="30" t="s">
        <v>482</v>
      </c>
      <c r="B150" s="33" t="s">
        <v>23</v>
      </c>
      <c r="C150" s="33" t="s">
        <v>413</v>
      </c>
      <c r="D150" s="32" t="s">
        <v>412</v>
      </c>
      <c r="E150" s="48" t="s">
        <v>343</v>
      </c>
      <c r="F150" s="48" t="s">
        <v>156</v>
      </c>
      <c r="G150" s="48" t="s">
        <v>157</v>
      </c>
      <c r="H150" s="48" t="s">
        <v>352</v>
      </c>
      <c r="I150" s="33" t="s">
        <v>310</v>
      </c>
      <c r="J150" s="49">
        <v>46177</v>
      </c>
      <c r="K150" s="50">
        <v>200000</v>
      </c>
      <c r="L150" s="51" t="s">
        <v>158</v>
      </c>
      <c r="M150" s="33">
        <v>101</v>
      </c>
      <c r="N150" s="51" t="s">
        <v>153</v>
      </c>
      <c r="O150" s="33">
        <v>101</v>
      </c>
      <c r="P150" s="33" t="s">
        <v>159</v>
      </c>
      <c r="Q150" s="52">
        <v>0.1041071997642517</v>
      </c>
      <c r="R150" s="52">
        <v>0.10300053000000001</v>
      </c>
      <c r="S150" s="53">
        <v>8.3333333333333332E-3</v>
      </c>
      <c r="T150" s="33" t="s">
        <v>155</v>
      </c>
      <c r="V150" s="40" t="str">
        <f>VLOOKUP(L150,[1]Sheet1!$B:$C,2,0)</f>
        <v>Earthquake / U.S., Canada, Puerto Rico, U.S. VI ; Named Storm / U.S., Puerto Rico, U.S. VI</v>
      </c>
    </row>
    <row r="151" spans="1:22" s="40" customFormat="1" ht="12" x14ac:dyDescent="0.25">
      <c r="A151" s="30" t="s">
        <v>483</v>
      </c>
      <c r="B151" s="33" t="s">
        <v>23</v>
      </c>
      <c r="C151" s="33" t="s">
        <v>24</v>
      </c>
      <c r="D151" s="32" t="s">
        <v>414</v>
      </c>
      <c r="E151" s="48" t="s">
        <v>342</v>
      </c>
      <c r="F151" s="48" t="s">
        <v>149</v>
      </c>
      <c r="G151" s="48" t="s">
        <v>150</v>
      </c>
      <c r="H151" s="48" t="s">
        <v>352</v>
      </c>
      <c r="I151" s="33" t="s">
        <v>151</v>
      </c>
      <c r="J151" s="49">
        <v>45749</v>
      </c>
      <c r="K151" s="50">
        <v>250000</v>
      </c>
      <c r="L151" s="51" t="s">
        <v>152</v>
      </c>
      <c r="M151" s="33">
        <v>101</v>
      </c>
      <c r="N151" s="51" t="s">
        <v>153</v>
      </c>
      <c r="O151" s="33">
        <v>101</v>
      </c>
      <c r="P151" s="33" t="s">
        <v>154</v>
      </c>
      <c r="Q151" s="52">
        <v>6.1507199764251702E-2</v>
      </c>
      <c r="R151" s="52">
        <v>5.6114689999999995E-2</v>
      </c>
      <c r="S151" s="53">
        <v>1.6666666666666668E-3</v>
      </c>
      <c r="T151" s="33" t="s">
        <v>155</v>
      </c>
      <c r="V151" s="40" t="str">
        <f>VLOOKUP(L151,[1]Sheet1!$B:$C,2,0)</f>
        <v>Earthquake / Japan</v>
      </c>
    </row>
    <row r="152" spans="1:22" s="40" customFormat="1" ht="12" x14ac:dyDescent="0.25">
      <c r="A152" s="30" t="s">
        <v>483</v>
      </c>
      <c r="B152" s="33" t="s">
        <v>23</v>
      </c>
      <c r="C152" s="33" t="s">
        <v>25</v>
      </c>
      <c r="D152" s="32" t="s">
        <v>414</v>
      </c>
      <c r="E152" s="48" t="s">
        <v>343</v>
      </c>
      <c r="F152" s="48" t="s">
        <v>156</v>
      </c>
      <c r="G152" s="48" t="s">
        <v>157</v>
      </c>
      <c r="H152" s="48" t="s">
        <v>352</v>
      </c>
      <c r="I152" s="33" t="s">
        <v>151</v>
      </c>
      <c r="J152" s="49">
        <v>45751</v>
      </c>
      <c r="K152" s="50">
        <v>250000</v>
      </c>
      <c r="L152" s="51" t="s">
        <v>158</v>
      </c>
      <c r="M152" s="33">
        <v>100.2</v>
      </c>
      <c r="N152" s="51" t="s">
        <v>153</v>
      </c>
      <c r="O152" s="33">
        <v>100.2</v>
      </c>
      <c r="P152" s="33" t="s">
        <v>159</v>
      </c>
      <c r="Q152" s="52">
        <v>0.1041071997642517</v>
      </c>
      <c r="R152" s="52">
        <v>0.10300053000000001</v>
      </c>
      <c r="S152" s="53">
        <v>8.3333333333333332E-3</v>
      </c>
      <c r="T152" s="33" t="s">
        <v>155</v>
      </c>
      <c r="V152" s="40" t="str">
        <f>VLOOKUP(L152,[1]Sheet1!$B:$C,2,0)</f>
        <v>Earthquake / U.S., Canada, Puerto Rico, U.S. VI ; Named Storm / U.S., Puerto Rico, U.S. VI</v>
      </c>
    </row>
    <row r="153" spans="1:22" s="40" customFormat="1" ht="12" x14ac:dyDescent="0.25">
      <c r="A153" s="30" t="s">
        <v>483</v>
      </c>
      <c r="B153" s="33" t="s">
        <v>23</v>
      </c>
      <c r="C153" s="33" t="s">
        <v>26</v>
      </c>
      <c r="D153" s="32" t="s">
        <v>414</v>
      </c>
      <c r="E153" s="48" t="s">
        <v>344</v>
      </c>
      <c r="F153" s="48" t="s">
        <v>161</v>
      </c>
      <c r="G153" s="48" t="s">
        <v>162</v>
      </c>
      <c r="H153" s="48" t="s">
        <v>352</v>
      </c>
      <c r="I153" s="33" t="s">
        <v>151</v>
      </c>
      <c r="J153" s="49">
        <v>45751</v>
      </c>
      <c r="K153" s="50">
        <v>250000</v>
      </c>
      <c r="L153" s="51" t="s">
        <v>163</v>
      </c>
      <c r="M153" s="33">
        <v>102.85</v>
      </c>
      <c r="N153" s="51" t="s">
        <v>153</v>
      </c>
      <c r="O153" s="33">
        <v>102.85</v>
      </c>
      <c r="P153" s="33" t="s">
        <v>154</v>
      </c>
      <c r="Q153" s="52">
        <v>9.0999999999999998E-2</v>
      </c>
      <c r="R153" s="52">
        <v>7.670283E-2</v>
      </c>
      <c r="S153" s="53">
        <v>1.25E-3</v>
      </c>
      <c r="T153" s="33" t="s">
        <v>155</v>
      </c>
      <c r="V153" s="40" t="str">
        <f>VLOOKUP(L153,[1]Sheet1!$B:$C,2,0)</f>
        <v>Named Storm / North Carolina</v>
      </c>
    </row>
    <row r="154" spans="1:22" s="40" customFormat="1" ht="12" x14ac:dyDescent="0.25">
      <c r="A154" s="30" t="s">
        <v>483</v>
      </c>
      <c r="B154" s="33" t="s">
        <v>23</v>
      </c>
      <c r="C154" s="33" t="s">
        <v>28</v>
      </c>
      <c r="D154" s="32" t="s">
        <v>414</v>
      </c>
      <c r="E154" s="48" t="s">
        <v>345</v>
      </c>
      <c r="F154" s="48" t="s">
        <v>164</v>
      </c>
      <c r="G154" s="48" t="s">
        <v>165</v>
      </c>
      <c r="H154" s="48" t="s">
        <v>352</v>
      </c>
      <c r="I154" s="33" t="s">
        <v>151</v>
      </c>
      <c r="J154" s="49">
        <v>45751</v>
      </c>
      <c r="K154" s="50">
        <v>250000</v>
      </c>
      <c r="L154" s="51" t="s">
        <v>166</v>
      </c>
      <c r="M154" s="33">
        <v>101</v>
      </c>
      <c r="N154" s="51" t="s">
        <v>153</v>
      </c>
      <c r="O154" s="33">
        <v>101</v>
      </c>
      <c r="P154" s="33" t="s">
        <v>154</v>
      </c>
      <c r="Q154" s="52">
        <v>6.699999999999999E-2</v>
      </c>
      <c r="R154" s="52">
        <v>5.9638299999999998E-2</v>
      </c>
      <c r="S154" s="53">
        <v>2.0833333333333333E-3</v>
      </c>
      <c r="T154" s="33" t="s">
        <v>155</v>
      </c>
      <c r="V154" s="40" t="str">
        <f>VLOOKUP(L154,[1]Sheet1!$B:$C,2,0)</f>
        <v>Typhoon ; Flood / Japan</v>
      </c>
    </row>
    <row r="155" spans="1:22" s="40" customFormat="1" ht="12" x14ac:dyDescent="0.25">
      <c r="A155" s="30" t="s">
        <v>483</v>
      </c>
      <c r="B155" s="33" t="s">
        <v>23</v>
      </c>
      <c r="C155" s="33" t="s">
        <v>29</v>
      </c>
      <c r="D155" s="32" t="s">
        <v>414</v>
      </c>
      <c r="E155" s="48" t="s">
        <v>346</v>
      </c>
      <c r="F155" s="48" t="s">
        <v>167</v>
      </c>
      <c r="G155" s="48" t="s">
        <v>168</v>
      </c>
      <c r="H155" s="48" t="s">
        <v>353</v>
      </c>
      <c r="I155" s="33" t="s">
        <v>151</v>
      </c>
      <c r="J155" s="49">
        <v>45751</v>
      </c>
      <c r="K155" s="50">
        <v>250000</v>
      </c>
      <c r="L155" s="51" t="s">
        <v>169</v>
      </c>
      <c r="M155" s="33">
        <v>103.95</v>
      </c>
      <c r="N155" s="51" t="s">
        <v>153</v>
      </c>
      <c r="O155" s="33">
        <v>103.95</v>
      </c>
      <c r="P155" s="33" t="s">
        <v>159</v>
      </c>
      <c r="Q155" s="52">
        <v>9.3599999999999989E-2</v>
      </c>
      <c r="R155" s="52">
        <v>7.1220699999999998E-2</v>
      </c>
      <c r="S155" s="53">
        <v>8.3333333333333339E-4</v>
      </c>
      <c r="T155" s="33" t="s">
        <v>155</v>
      </c>
      <c r="V155" s="40" t="str">
        <f>VLOOKUP(L155,[1]Sheet1!$B:$C,2,0)</f>
        <v>Earthquake / California</v>
      </c>
    </row>
    <row r="156" spans="1:22" s="40" customFormat="1" ht="12" x14ac:dyDescent="0.25">
      <c r="A156" s="30" t="s">
        <v>483</v>
      </c>
      <c r="B156" s="33" t="s">
        <v>23</v>
      </c>
      <c r="C156" s="33" t="s">
        <v>410</v>
      </c>
      <c r="D156" s="32" t="s">
        <v>414</v>
      </c>
      <c r="E156" s="48" t="s">
        <v>342</v>
      </c>
      <c r="F156" s="48" t="s">
        <v>149</v>
      </c>
      <c r="G156" s="48" t="s">
        <v>150</v>
      </c>
      <c r="H156" s="48" t="s">
        <v>352</v>
      </c>
      <c r="I156" s="33" t="s">
        <v>151</v>
      </c>
      <c r="J156" s="49">
        <v>45749</v>
      </c>
      <c r="K156" s="50">
        <v>250000</v>
      </c>
      <c r="L156" s="51" t="s">
        <v>152</v>
      </c>
      <c r="M156" s="33">
        <v>101</v>
      </c>
      <c r="N156" s="51" t="s">
        <v>153</v>
      </c>
      <c r="O156" s="33">
        <v>101</v>
      </c>
      <c r="P156" s="33" t="s">
        <v>154</v>
      </c>
      <c r="Q156" s="52">
        <v>6.1507199764251702E-2</v>
      </c>
      <c r="R156" s="52">
        <v>5.6114689999999995E-2</v>
      </c>
      <c r="S156" s="53">
        <v>1.6666666666666668E-3</v>
      </c>
      <c r="T156" s="33" t="s">
        <v>155</v>
      </c>
      <c r="V156" s="40" t="str">
        <f>VLOOKUP(L156,[1]Sheet1!$B:$C,2,0)</f>
        <v>Earthquake / Japan</v>
      </c>
    </row>
    <row r="157" spans="1:22" s="40" customFormat="1" ht="12" x14ac:dyDescent="0.25">
      <c r="A157" s="30" t="s">
        <v>483</v>
      </c>
      <c r="B157" s="33" t="s">
        <v>23</v>
      </c>
      <c r="C157" s="33" t="s">
        <v>411</v>
      </c>
      <c r="D157" s="32" t="s">
        <v>414</v>
      </c>
      <c r="E157" s="48" t="s">
        <v>342</v>
      </c>
      <c r="F157" s="48" t="s">
        <v>149</v>
      </c>
      <c r="G157" s="48" t="s">
        <v>150</v>
      </c>
      <c r="H157" s="48" t="s">
        <v>352</v>
      </c>
      <c r="I157" s="33" t="s">
        <v>151</v>
      </c>
      <c r="J157" s="49">
        <v>45749</v>
      </c>
      <c r="K157" s="50">
        <v>250000</v>
      </c>
      <c r="L157" s="51" t="s">
        <v>152</v>
      </c>
      <c r="M157" s="33">
        <v>101</v>
      </c>
      <c r="N157" s="51" t="s">
        <v>153</v>
      </c>
      <c r="O157" s="33">
        <v>101</v>
      </c>
      <c r="P157" s="33" t="s">
        <v>154</v>
      </c>
      <c r="Q157" s="52">
        <v>6.1507199764251702E-2</v>
      </c>
      <c r="R157" s="52">
        <v>5.6114689999999995E-2</v>
      </c>
      <c r="S157" s="53">
        <v>1.6666666666666668E-3</v>
      </c>
      <c r="T157" s="33" t="s">
        <v>155</v>
      </c>
      <c r="V157" s="40" t="str">
        <f>VLOOKUP(L157,[1]Sheet1!$B:$C,2,0)</f>
        <v>Earthquake / Japan</v>
      </c>
    </row>
    <row r="158" spans="1:22" s="40" customFormat="1" ht="12" x14ac:dyDescent="0.25">
      <c r="A158" s="30" t="s">
        <v>484</v>
      </c>
      <c r="B158" s="33" t="s">
        <v>23</v>
      </c>
      <c r="C158" s="33" t="s">
        <v>24</v>
      </c>
      <c r="D158" s="32" t="s">
        <v>415</v>
      </c>
      <c r="E158" s="48" t="s">
        <v>342</v>
      </c>
      <c r="F158" s="48" t="s">
        <v>149</v>
      </c>
      <c r="G158" s="48" t="s">
        <v>150</v>
      </c>
      <c r="H158" s="48" t="s">
        <v>352</v>
      </c>
      <c r="I158" s="33" t="s">
        <v>151</v>
      </c>
      <c r="J158" s="49">
        <v>45749</v>
      </c>
      <c r="K158" s="50">
        <v>250000</v>
      </c>
      <c r="L158" s="51" t="s">
        <v>152</v>
      </c>
      <c r="M158" s="33">
        <v>101</v>
      </c>
      <c r="N158" s="51" t="s">
        <v>153</v>
      </c>
      <c r="O158" s="33">
        <v>101</v>
      </c>
      <c r="P158" s="33" t="s">
        <v>154</v>
      </c>
      <c r="Q158" s="52">
        <v>6.1507199764251702E-2</v>
      </c>
      <c r="R158" s="52">
        <v>5.6114689999999995E-2</v>
      </c>
      <c r="S158" s="53">
        <v>1.6666666666666668E-3</v>
      </c>
      <c r="T158" s="33" t="s">
        <v>155</v>
      </c>
      <c r="V158" s="40" t="str">
        <f>VLOOKUP(L158,[1]Sheet1!$B:$C,2,0)</f>
        <v>Earthquake / Japan</v>
      </c>
    </row>
    <row r="159" spans="1:22" s="40" customFormat="1" ht="12" x14ac:dyDescent="0.25">
      <c r="A159" s="30" t="s">
        <v>484</v>
      </c>
      <c r="B159" s="33" t="s">
        <v>23</v>
      </c>
      <c r="C159" s="33" t="s">
        <v>25</v>
      </c>
      <c r="D159" s="32" t="s">
        <v>415</v>
      </c>
      <c r="E159" s="48" t="s">
        <v>343</v>
      </c>
      <c r="F159" s="48" t="s">
        <v>156</v>
      </c>
      <c r="G159" s="48" t="s">
        <v>157</v>
      </c>
      <c r="H159" s="48" t="s">
        <v>352</v>
      </c>
      <c r="I159" s="33" t="s">
        <v>151</v>
      </c>
      <c r="J159" s="49">
        <v>45751</v>
      </c>
      <c r="K159" s="50">
        <v>250000</v>
      </c>
      <c r="L159" s="51" t="s">
        <v>158</v>
      </c>
      <c r="M159" s="33">
        <v>100.2</v>
      </c>
      <c r="N159" s="51" t="s">
        <v>153</v>
      </c>
      <c r="O159" s="33">
        <v>100.2</v>
      </c>
      <c r="P159" s="33" t="s">
        <v>159</v>
      </c>
      <c r="Q159" s="52">
        <v>0.1041071997642517</v>
      </c>
      <c r="R159" s="52">
        <v>0.10300053000000001</v>
      </c>
      <c r="S159" s="53">
        <v>8.3333333333333332E-3</v>
      </c>
      <c r="T159" s="33" t="s">
        <v>155</v>
      </c>
      <c r="V159" s="40" t="str">
        <f>VLOOKUP(L159,[1]Sheet1!$B:$C,2,0)</f>
        <v>Earthquake / U.S., Canada, Puerto Rico, U.S. VI ; Named Storm / U.S., Puerto Rico, U.S. VI</v>
      </c>
    </row>
    <row r="160" spans="1:22" s="40" customFormat="1" ht="12" x14ac:dyDescent="0.25">
      <c r="A160" s="30" t="s">
        <v>484</v>
      </c>
      <c r="B160" s="33" t="s">
        <v>23</v>
      </c>
      <c r="C160" s="33" t="s">
        <v>26</v>
      </c>
      <c r="D160" s="32" t="s">
        <v>415</v>
      </c>
      <c r="E160" s="48" t="s">
        <v>344</v>
      </c>
      <c r="F160" s="48" t="s">
        <v>161</v>
      </c>
      <c r="G160" s="48" t="s">
        <v>162</v>
      </c>
      <c r="H160" s="48" t="s">
        <v>352</v>
      </c>
      <c r="I160" s="33" t="s">
        <v>151</v>
      </c>
      <c r="J160" s="49">
        <v>45751</v>
      </c>
      <c r="K160" s="50">
        <v>250000</v>
      </c>
      <c r="L160" s="51" t="s">
        <v>163</v>
      </c>
      <c r="M160" s="33">
        <v>102.85</v>
      </c>
      <c r="N160" s="51" t="s">
        <v>153</v>
      </c>
      <c r="O160" s="33">
        <v>102.85</v>
      </c>
      <c r="P160" s="33" t="s">
        <v>154</v>
      </c>
      <c r="Q160" s="52">
        <v>9.0999999999999998E-2</v>
      </c>
      <c r="R160" s="52">
        <v>7.670283E-2</v>
      </c>
      <c r="S160" s="53">
        <v>1.25E-3</v>
      </c>
      <c r="T160" s="33" t="s">
        <v>155</v>
      </c>
      <c r="V160" s="40" t="str">
        <f>VLOOKUP(L160,[1]Sheet1!$B:$C,2,0)</f>
        <v>Named Storm / North Carolina</v>
      </c>
    </row>
    <row r="161" spans="1:22" s="40" customFormat="1" ht="12" x14ac:dyDescent="0.25">
      <c r="A161" s="30" t="s">
        <v>484</v>
      </c>
      <c r="B161" s="33" t="s">
        <v>23</v>
      </c>
      <c r="C161" s="33" t="s">
        <v>398</v>
      </c>
      <c r="D161" s="32" t="s">
        <v>415</v>
      </c>
      <c r="E161" s="48" t="s">
        <v>399</v>
      </c>
      <c r="F161" s="48" t="s">
        <v>161</v>
      </c>
      <c r="G161" s="48" t="s">
        <v>150</v>
      </c>
      <c r="H161" s="48" t="s">
        <v>352</v>
      </c>
      <c r="I161" s="33" t="s">
        <v>151</v>
      </c>
      <c r="J161" s="49">
        <v>45944</v>
      </c>
      <c r="K161" s="50">
        <v>500000</v>
      </c>
      <c r="L161" s="48" t="s">
        <v>400</v>
      </c>
      <c r="M161" s="33">
        <v>107.75</v>
      </c>
      <c r="N161" s="51" t="s">
        <v>153</v>
      </c>
      <c r="O161" s="33">
        <v>107.6</v>
      </c>
      <c r="P161" s="33" t="s">
        <v>154</v>
      </c>
      <c r="Q161" s="52">
        <v>0.14378453999999999</v>
      </c>
      <c r="R161" s="52">
        <v>9.2212089999999997E-2</v>
      </c>
      <c r="S161" s="53">
        <v>1.1111111111111111E-3</v>
      </c>
      <c r="T161" s="33" t="s">
        <v>155</v>
      </c>
      <c r="V161" s="40" t="str">
        <f>VLOOKUP(L161,[1]Sheet1!$B:$C,2,0)</f>
        <v>Named Storm / Florida</v>
      </c>
    </row>
    <row r="162" spans="1:22" s="40" customFormat="1" ht="12" x14ac:dyDescent="0.25">
      <c r="A162" s="30" t="s">
        <v>484</v>
      </c>
      <c r="B162" s="33" t="s">
        <v>23</v>
      </c>
      <c r="C162" s="33" t="s">
        <v>401</v>
      </c>
      <c r="D162" s="32" t="s">
        <v>415</v>
      </c>
      <c r="E162" s="48" t="s">
        <v>402</v>
      </c>
      <c r="F162" s="48" t="s">
        <v>394</v>
      </c>
      <c r="G162" s="48" t="s">
        <v>403</v>
      </c>
      <c r="H162" s="48" t="s">
        <v>354</v>
      </c>
      <c r="I162" s="33" t="s">
        <v>151</v>
      </c>
      <c r="J162" s="49">
        <v>45947</v>
      </c>
      <c r="K162" s="50">
        <v>250000</v>
      </c>
      <c r="L162" s="48" t="s">
        <v>404</v>
      </c>
      <c r="M162" s="33">
        <v>100</v>
      </c>
      <c r="N162" s="51" t="s">
        <v>153</v>
      </c>
      <c r="O162" s="33">
        <v>100</v>
      </c>
      <c r="P162" s="33" t="s">
        <v>393</v>
      </c>
      <c r="Q162" s="52">
        <v>0.14050719976425172</v>
      </c>
      <c r="R162" s="52">
        <v>0.1405063</v>
      </c>
      <c r="S162" s="53">
        <v>1.25E-3</v>
      </c>
      <c r="T162" s="33" t="s">
        <v>155</v>
      </c>
      <c r="V162" s="40" t="str">
        <f>VLOOKUP(L162,[1]Sheet1!$B:$C,2,0)</f>
        <v>All Natural Perils / U.S.</v>
      </c>
    </row>
    <row r="163" spans="1:22" s="40" customFormat="1" ht="12" x14ac:dyDescent="0.25">
      <c r="A163" s="30" t="s">
        <v>484</v>
      </c>
      <c r="B163" s="33" t="s">
        <v>23</v>
      </c>
      <c r="C163" s="33" t="s">
        <v>410</v>
      </c>
      <c r="D163" s="32" t="s">
        <v>415</v>
      </c>
      <c r="E163" s="48" t="s">
        <v>342</v>
      </c>
      <c r="F163" s="48" t="s">
        <v>149</v>
      </c>
      <c r="G163" s="48" t="s">
        <v>150</v>
      </c>
      <c r="H163" s="48" t="s">
        <v>352</v>
      </c>
      <c r="I163" s="54" t="s">
        <v>310</v>
      </c>
      <c r="J163" s="49">
        <v>45749</v>
      </c>
      <c r="K163" s="55">
        <v>0</v>
      </c>
      <c r="L163" s="51" t="s">
        <v>152</v>
      </c>
      <c r="M163" s="33">
        <v>101</v>
      </c>
      <c r="N163" s="51" t="s">
        <v>153</v>
      </c>
      <c r="O163" s="33">
        <v>101</v>
      </c>
      <c r="P163" s="33" t="s">
        <v>154</v>
      </c>
      <c r="Q163" s="52">
        <v>6.1507199764251702E-2</v>
      </c>
      <c r="R163" s="52">
        <v>5.6114689999999995E-2</v>
      </c>
      <c r="S163" s="53">
        <v>1.6666666666666668E-3</v>
      </c>
      <c r="T163" s="33" t="s">
        <v>155</v>
      </c>
      <c r="V163" s="40" t="str">
        <f>VLOOKUP(L163,[1]Sheet1!$B:$C,2,0)</f>
        <v>Earthquake / Japan</v>
      </c>
    </row>
    <row r="164" spans="1:22" s="40" customFormat="1" ht="12" x14ac:dyDescent="0.25">
      <c r="A164" s="30" t="s">
        <v>484</v>
      </c>
      <c r="B164" s="33" t="s">
        <v>23</v>
      </c>
      <c r="C164" s="33" t="s">
        <v>411</v>
      </c>
      <c r="D164" s="32" t="s">
        <v>415</v>
      </c>
      <c r="E164" s="48" t="s">
        <v>399</v>
      </c>
      <c r="F164" s="48" t="s">
        <v>161</v>
      </c>
      <c r="G164" s="48" t="s">
        <v>150</v>
      </c>
      <c r="H164" s="48" t="s">
        <v>352</v>
      </c>
      <c r="I164" s="54" t="s">
        <v>310</v>
      </c>
      <c r="J164" s="49">
        <v>45944</v>
      </c>
      <c r="K164" s="55">
        <v>0</v>
      </c>
      <c r="L164" s="48" t="s">
        <v>400</v>
      </c>
      <c r="M164" s="33">
        <v>107.75</v>
      </c>
      <c r="N164" s="51" t="s">
        <v>153</v>
      </c>
      <c r="O164" s="33">
        <v>107.6</v>
      </c>
      <c r="P164" s="33" t="s">
        <v>154</v>
      </c>
      <c r="Q164" s="52">
        <v>0.14378453999999999</v>
      </c>
      <c r="R164" s="52">
        <v>9.2212089999999997E-2</v>
      </c>
      <c r="S164" s="53">
        <v>1.1111111111111111E-3</v>
      </c>
      <c r="T164" s="33" t="s">
        <v>155</v>
      </c>
      <c r="V164" s="40" t="str">
        <f>VLOOKUP(L164,[1]Sheet1!$B:$C,2,0)</f>
        <v>Named Storm / Florida</v>
      </c>
    </row>
    <row r="165" spans="1:22" s="40" customFormat="1" ht="12" x14ac:dyDescent="0.25">
      <c r="A165" s="30" t="s">
        <v>485</v>
      </c>
      <c r="B165" s="33" t="s">
        <v>23</v>
      </c>
      <c r="C165" s="33" t="s">
        <v>24</v>
      </c>
      <c r="D165" s="32" t="s">
        <v>416</v>
      </c>
      <c r="E165" s="48" t="s">
        <v>342</v>
      </c>
      <c r="F165" s="48" t="s">
        <v>149</v>
      </c>
      <c r="G165" s="48" t="s">
        <v>150</v>
      </c>
      <c r="H165" s="48" t="s">
        <v>352</v>
      </c>
      <c r="I165" s="33" t="s">
        <v>151</v>
      </c>
      <c r="J165" s="49">
        <v>45749</v>
      </c>
      <c r="K165" s="50">
        <v>250000</v>
      </c>
      <c r="L165" s="51" t="s">
        <v>152</v>
      </c>
      <c r="M165" s="33">
        <v>101</v>
      </c>
      <c r="N165" s="51" t="s">
        <v>153</v>
      </c>
      <c r="O165" s="33">
        <v>101</v>
      </c>
      <c r="P165" s="33" t="s">
        <v>154</v>
      </c>
      <c r="Q165" s="52">
        <v>6.1507199764251702E-2</v>
      </c>
      <c r="R165" s="52">
        <v>5.6114689999999995E-2</v>
      </c>
      <c r="S165" s="53">
        <v>1.6666666666666668E-3</v>
      </c>
      <c r="T165" s="33" t="s">
        <v>155</v>
      </c>
      <c r="V165" s="40" t="str">
        <f>VLOOKUP(L165,[1]Sheet1!$B:$C,2,0)</f>
        <v>Earthquake / Japan</v>
      </c>
    </row>
    <row r="166" spans="1:22" s="40" customFormat="1" ht="12" x14ac:dyDescent="0.25">
      <c r="A166" s="30" t="s">
        <v>485</v>
      </c>
      <c r="B166" s="33" t="s">
        <v>23</v>
      </c>
      <c r="C166" s="33" t="s">
        <v>25</v>
      </c>
      <c r="D166" s="32" t="s">
        <v>416</v>
      </c>
      <c r="E166" s="48" t="s">
        <v>343</v>
      </c>
      <c r="F166" s="48" t="s">
        <v>156</v>
      </c>
      <c r="G166" s="48" t="s">
        <v>157</v>
      </c>
      <c r="H166" s="48" t="s">
        <v>352</v>
      </c>
      <c r="I166" s="33" t="s">
        <v>151</v>
      </c>
      <c r="J166" s="49">
        <v>45751</v>
      </c>
      <c r="K166" s="50">
        <v>250000</v>
      </c>
      <c r="L166" s="51" t="s">
        <v>158</v>
      </c>
      <c r="M166" s="33">
        <v>100.2</v>
      </c>
      <c r="N166" s="51" t="s">
        <v>153</v>
      </c>
      <c r="O166" s="33">
        <v>100.2</v>
      </c>
      <c r="P166" s="33" t="s">
        <v>159</v>
      </c>
      <c r="Q166" s="52">
        <v>0.1041071997642517</v>
      </c>
      <c r="R166" s="52">
        <v>0.10300053000000001</v>
      </c>
      <c r="S166" s="53">
        <v>8.3333333333333332E-3</v>
      </c>
      <c r="T166" s="33" t="s">
        <v>155</v>
      </c>
      <c r="V166" s="40" t="str">
        <f>VLOOKUP(L166,[1]Sheet1!$B:$C,2,0)</f>
        <v>Earthquake / U.S., Canada, Puerto Rico, U.S. VI ; Named Storm / U.S., Puerto Rico, U.S. VI</v>
      </c>
    </row>
    <row r="167" spans="1:22" s="40" customFormat="1" ht="12" x14ac:dyDescent="0.25">
      <c r="A167" s="30" t="s">
        <v>485</v>
      </c>
      <c r="B167" s="33" t="s">
        <v>23</v>
      </c>
      <c r="C167" s="33" t="s">
        <v>26</v>
      </c>
      <c r="D167" s="32" t="s">
        <v>416</v>
      </c>
      <c r="E167" s="48" t="s">
        <v>344</v>
      </c>
      <c r="F167" s="48" t="s">
        <v>161</v>
      </c>
      <c r="G167" s="48" t="s">
        <v>162</v>
      </c>
      <c r="H167" s="48" t="s">
        <v>352</v>
      </c>
      <c r="I167" s="33" t="s">
        <v>151</v>
      </c>
      <c r="J167" s="49">
        <v>45751</v>
      </c>
      <c r="K167" s="50">
        <v>250000</v>
      </c>
      <c r="L167" s="51" t="s">
        <v>163</v>
      </c>
      <c r="M167" s="33">
        <v>102.85</v>
      </c>
      <c r="N167" s="51" t="s">
        <v>153</v>
      </c>
      <c r="O167" s="33">
        <v>102.85</v>
      </c>
      <c r="P167" s="33" t="s">
        <v>154</v>
      </c>
      <c r="Q167" s="52">
        <v>9.0999999999999998E-2</v>
      </c>
      <c r="R167" s="52">
        <v>7.670283E-2</v>
      </c>
      <c r="S167" s="53">
        <v>1.25E-3</v>
      </c>
      <c r="T167" s="33" t="s">
        <v>155</v>
      </c>
      <c r="V167" s="40" t="str">
        <f>VLOOKUP(L167,[1]Sheet1!$B:$C,2,0)</f>
        <v>Named Storm / North Carolina</v>
      </c>
    </row>
    <row r="168" spans="1:22" s="40" customFormat="1" ht="12" x14ac:dyDescent="0.25">
      <c r="A168" s="30" t="s">
        <v>485</v>
      </c>
      <c r="B168" s="33" t="s">
        <v>23</v>
      </c>
      <c r="C168" s="33" t="s">
        <v>28</v>
      </c>
      <c r="D168" s="32" t="s">
        <v>416</v>
      </c>
      <c r="E168" s="48" t="s">
        <v>345</v>
      </c>
      <c r="F168" s="48" t="s">
        <v>164</v>
      </c>
      <c r="G168" s="48" t="s">
        <v>165</v>
      </c>
      <c r="H168" s="48" t="s">
        <v>352</v>
      </c>
      <c r="I168" s="33" t="s">
        <v>151</v>
      </c>
      <c r="J168" s="49">
        <v>45751</v>
      </c>
      <c r="K168" s="50">
        <v>250000</v>
      </c>
      <c r="L168" s="51" t="s">
        <v>166</v>
      </c>
      <c r="M168" s="33">
        <v>101</v>
      </c>
      <c r="N168" s="51" t="s">
        <v>153</v>
      </c>
      <c r="O168" s="33">
        <v>101</v>
      </c>
      <c r="P168" s="33" t="s">
        <v>154</v>
      </c>
      <c r="Q168" s="52">
        <v>6.699999999999999E-2</v>
      </c>
      <c r="R168" s="52">
        <v>5.9638299999999998E-2</v>
      </c>
      <c r="S168" s="53">
        <v>2.0833333333333333E-3</v>
      </c>
      <c r="T168" s="33" t="s">
        <v>155</v>
      </c>
      <c r="V168" s="40" t="str">
        <f>VLOOKUP(L168,[1]Sheet1!$B:$C,2,0)</f>
        <v>Typhoon ; Flood / Japan</v>
      </c>
    </row>
    <row r="169" spans="1:22" s="40" customFormat="1" ht="12" x14ac:dyDescent="0.25">
      <c r="A169" s="30" t="s">
        <v>485</v>
      </c>
      <c r="B169" s="33" t="s">
        <v>23</v>
      </c>
      <c r="C169" s="33" t="s">
        <v>398</v>
      </c>
      <c r="D169" s="32" t="s">
        <v>416</v>
      </c>
      <c r="E169" s="48" t="s">
        <v>399</v>
      </c>
      <c r="F169" s="48" t="s">
        <v>161</v>
      </c>
      <c r="G169" s="48" t="s">
        <v>150</v>
      </c>
      <c r="H169" s="48" t="s">
        <v>352</v>
      </c>
      <c r="I169" s="33" t="s">
        <v>151</v>
      </c>
      <c r="J169" s="49">
        <v>45944</v>
      </c>
      <c r="K169" s="50">
        <v>500000</v>
      </c>
      <c r="L169" s="48" t="s">
        <v>400</v>
      </c>
      <c r="M169" s="33">
        <v>107.75</v>
      </c>
      <c r="N169" s="51" t="s">
        <v>153</v>
      </c>
      <c r="O169" s="33">
        <v>107.6</v>
      </c>
      <c r="P169" s="33" t="s">
        <v>154</v>
      </c>
      <c r="Q169" s="52">
        <v>0.14378453999999999</v>
      </c>
      <c r="R169" s="52">
        <v>9.2212089999999997E-2</v>
      </c>
      <c r="S169" s="53">
        <v>1.1111111111111111E-3</v>
      </c>
      <c r="T169" s="33" t="s">
        <v>155</v>
      </c>
      <c r="V169" s="40" t="str">
        <f>VLOOKUP(L169,[1]Sheet1!$B:$C,2,0)</f>
        <v>Named Storm / Florida</v>
      </c>
    </row>
    <row r="170" spans="1:22" s="40" customFormat="1" ht="12" x14ac:dyDescent="0.25">
      <c r="A170" s="30" t="s">
        <v>485</v>
      </c>
      <c r="B170" s="33" t="s">
        <v>23</v>
      </c>
      <c r="C170" s="33" t="s">
        <v>401</v>
      </c>
      <c r="D170" s="32" t="s">
        <v>416</v>
      </c>
      <c r="E170" s="48" t="s">
        <v>402</v>
      </c>
      <c r="F170" s="48" t="s">
        <v>394</v>
      </c>
      <c r="G170" s="48" t="s">
        <v>403</v>
      </c>
      <c r="H170" s="48" t="s">
        <v>354</v>
      </c>
      <c r="I170" s="33" t="s">
        <v>151</v>
      </c>
      <c r="J170" s="49">
        <v>45947</v>
      </c>
      <c r="K170" s="50">
        <v>250000</v>
      </c>
      <c r="L170" s="48" t="s">
        <v>404</v>
      </c>
      <c r="M170" s="33">
        <v>100</v>
      </c>
      <c r="N170" s="51" t="s">
        <v>153</v>
      </c>
      <c r="O170" s="33">
        <v>100</v>
      </c>
      <c r="P170" s="33" t="s">
        <v>393</v>
      </c>
      <c r="Q170" s="52">
        <v>0.14050719976425172</v>
      </c>
      <c r="R170" s="52">
        <v>0.1405063</v>
      </c>
      <c r="S170" s="53">
        <v>1.25E-3</v>
      </c>
      <c r="T170" s="33" t="s">
        <v>155</v>
      </c>
      <c r="V170" s="40" t="str">
        <f>VLOOKUP(L170,[1]Sheet1!$B:$C,2,0)</f>
        <v>All Natural Perils / U.S.</v>
      </c>
    </row>
    <row r="171" spans="1:22" s="40" customFormat="1" ht="12" x14ac:dyDescent="0.25">
      <c r="A171" s="30" t="s">
        <v>485</v>
      </c>
      <c r="B171" s="33" t="s">
        <v>23</v>
      </c>
      <c r="C171" s="33" t="s">
        <v>410</v>
      </c>
      <c r="D171" s="32" t="s">
        <v>416</v>
      </c>
      <c r="E171" s="48" t="s">
        <v>342</v>
      </c>
      <c r="F171" s="48" t="s">
        <v>149</v>
      </c>
      <c r="G171" s="48" t="s">
        <v>150</v>
      </c>
      <c r="H171" s="48" t="s">
        <v>352</v>
      </c>
      <c r="I171" s="54" t="s">
        <v>151</v>
      </c>
      <c r="J171" s="49">
        <v>45749</v>
      </c>
      <c r="K171" s="55">
        <v>0</v>
      </c>
      <c r="L171" s="51" t="s">
        <v>152</v>
      </c>
      <c r="M171" s="33">
        <v>101</v>
      </c>
      <c r="N171" s="51" t="s">
        <v>153</v>
      </c>
      <c r="O171" s="33">
        <v>101</v>
      </c>
      <c r="P171" s="33" t="s">
        <v>154</v>
      </c>
      <c r="Q171" s="52">
        <v>6.1507199764251702E-2</v>
      </c>
      <c r="R171" s="52">
        <v>5.6114689999999995E-2</v>
      </c>
      <c r="S171" s="53">
        <v>1.6666666666666668E-3</v>
      </c>
      <c r="T171" s="33" t="s">
        <v>155</v>
      </c>
      <c r="V171" s="40" t="str">
        <f>VLOOKUP(L171,[1]Sheet1!$B:$C,2,0)</f>
        <v>Earthquake / Japan</v>
      </c>
    </row>
    <row r="172" spans="1:22" s="40" customFormat="1" ht="12" x14ac:dyDescent="0.25">
      <c r="A172" s="30" t="s">
        <v>485</v>
      </c>
      <c r="B172" s="33" t="s">
        <v>23</v>
      </c>
      <c r="C172" s="33" t="s">
        <v>411</v>
      </c>
      <c r="D172" s="32" t="s">
        <v>416</v>
      </c>
      <c r="E172" s="48" t="s">
        <v>399</v>
      </c>
      <c r="F172" s="48" t="s">
        <v>161</v>
      </c>
      <c r="G172" s="48" t="s">
        <v>150</v>
      </c>
      <c r="H172" s="48" t="s">
        <v>352</v>
      </c>
      <c r="I172" s="54" t="s">
        <v>151</v>
      </c>
      <c r="J172" s="49">
        <v>45944</v>
      </c>
      <c r="K172" s="55">
        <v>0</v>
      </c>
      <c r="L172" s="48" t="s">
        <v>400</v>
      </c>
      <c r="M172" s="33">
        <v>107.75</v>
      </c>
      <c r="N172" s="51" t="s">
        <v>153</v>
      </c>
      <c r="O172" s="33">
        <v>107.6</v>
      </c>
      <c r="P172" s="33" t="s">
        <v>154</v>
      </c>
      <c r="Q172" s="52">
        <v>0.14378453999999999</v>
      </c>
      <c r="R172" s="52">
        <v>9.2212089999999997E-2</v>
      </c>
      <c r="S172" s="53">
        <v>1.1111111111111111E-3</v>
      </c>
      <c r="T172" s="33" t="s">
        <v>155</v>
      </c>
      <c r="V172" s="40" t="str">
        <f>VLOOKUP(L172,[1]Sheet1!$B:$C,2,0)</f>
        <v>Named Storm / Florida</v>
      </c>
    </row>
    <row r="173" spans="1:22" s="40" customFormat="1" ht="12" x14ac:dyDescent="0.25">
      <c r="A173" s="30" t="s">
        <v>486</v>
      </c>
      <c r="B173" s="33" t="s">
        <v>23</v>
      </c>
      <c r="C173" s="33" t="s">
        <v>24</v>
      </c>
      <c r="D173" s="32" t="s">
        <v>417</v>
      </c>
      <c r="E173" s="48" t="s">
        <v>342</v>
      </c>
      <c r="F173" s="48" t="s">
        <v>149</v>
      </c>
      <c r="G173" s="48" t="s">
        <v>150</v>
      </c>
      <c r="H173" s="48" t="s">
        <v>352</v>
      </c>
      <c r="I173" s="33" t="s">
        <v>151</v>
      </c>
      <c r="J173" s="49">
        <v>45749</v>
      </c>
      <c r="K173" s="50">
        <v>250000</v>
      </c>
      <c r="L173" s="51" t="s">
        <v>152</v>
      </c>
      <c r="M173" s="33">
        <v>101</v>
      </c>
      <c r="N173" s="51" t="s">
        <v>153</v>
      </c>
      <c r="O173" s="33">
        <v>101</v>
      </c>
      <c r="P173" s="33" t="s">
        <v>154</v>
      </c>
      <c r="Q173" s="52">
        <v>6.1507199764251702E-2</v>
      </c>
      <c r="R173" s="52">
        <v>5.6114689999999995E-2</v>
      </c>
      <c r="S173" s="53">
        <v>1.6666666666666668E-3</v>
      </c>
      <c r="T173" s="33" t="s">
        <v>155</v>
      </c>
      <c r="V173" s="40" t="str">
        <f>VLOOKUP(L173,[1]Sheet1!$B:$C,2,0)</f>
        <v>Earthquake / Japan</v>
      </c>
    </row>
    <row r="174" spans="1:22" s="40" customFormat="1" ht="12" x14ac:dyDescent="0.25">
      <c r="A174" s="30" t="s">
        <v>486</v>
      </c>
      <c r="B174" s="33" t="s">
        <v>23</v>
      </c>
      <c r="C174" s="33" t="s">
        <v>25</v>
      </c>
      <c r="D174" s="32" t="s">
        <v>417</v>
      </c>
      <c r="E174" s="48" t="s">
        <v>343</v>
      </c>
      <c r="F174" s="48" t="s">
        <v>156</v>
      </c>
      <c r="G174" s="48" t="s">
        <v>157</v>
      </c>
      <c r="H174" s="48" t="s">
        <v>352</v>
      </c>
      <c r="I174" s="33" t="s">
        <v>151</v>
      </c>
      <c r="J174" s="49">
        <v>45751</v>
      </c>
      <c r="K174" s="50">
        <v>250000</v>
      </c>
      <c r="L174" s="51" t="s">
        <v>158</v>
      </c>
      <c r="M174" s="33">
        <v>100.2</v>
      </c>
      <c r="N174" s="51" t="s">
        <v>153</v>
      </c>
      <c r="O174" s="33">
        <v>100.2</v>
      </c>
      <c r="P174" s="33" t="s">
        <v>159</v>
      </c>
      <c r="Q174" s="52">
        <v>0.1041071997642517</v>
      </c>
      <c r="R174" s="52">
        <v>0.10300053000000001</v>
      </c>
      <c r="S174" s="53">
        <v>8.3333333333333332E-3</v>
      </c>
      <c r="T174" s="33" t="s">
        <v>155</v>
      </c>
      <c r="V174" s="40" t="str">
        <f>VLOOKUP(L174,[1]Sheet1!$B:$C,2,0)</f>
        <v>Earthquake / U.S., Canada, Puerto Rico, U.S. VI ; Named Storm / U.S., Puerto Rico, U.S. VI</v>
      </c>
    </row>
    <row r="175" spans="1:22" s="40" customFormat="1" ht="12" x14ac:dyDescent="0.25">
      <c r="A175" s="30" t="s">
        <v>486</v>
      </c>
      <c r="B175" s="33" t="s">
        <v>23</v>
      </c>
      <c r="C175" s="33" t="s">
        <v>26</v>
      </c>
      <c r="D175" s="32" t="s">
        <v>417</v>
      </c>
      <c r="E175" s="48" t="s">
        <v>344</v>
      </c>
      <c r="F175" s="48" t="s">
        <v>161</v>
      </c>
      <c r="G175" s="48" t="s">
        <v>162</v>
      </c>
      <c r="H175" s="48" t="s">
        <v>352</v>
      </c>
      <c r="I175" s="33" t="s">
        <v>151</v>
      </c>
      <c r="J175" s="49">
        <v>45751</v>
      </c>
      <c r="K175" s="50">
        <v>250000</v>
      </c>
      <c r="L175" s="51" t="s">
        <v>163</v>
      </c>
      <c r="M175" s="33">
        <v>102.85</v>
      </c>
      <c r="N175" s="51" t="s">
        <v>153</v>
      </c>
      <c r="O175" s="33">
        <v>102.85</v>
      </c>
      <c r="P175" s="33" t="s">
        <v>154</v>
      </c>
      <c r="Q175" s="52">
        <v>9.0999999999999998E-2</v>
      </c>
      <c r="R175" s="52">
        <v>7.670283E-2</v>
      </c>
      <c r="S175" s="53">
        <v>1.25E-3</v>
      </c>
      <c r="T175" s="33" t="s">
        <v>155</v>
      </c>
      <c r="V175" s="40" t="str">
        <f>VLOOKUP(L175,[1]Sheet1!$B:$C,2,0)</f>
        <v>Named Storm / North Carolina</v>
      </c>
    </row>
    <row r="176" spans="1:22" s="40" customFormat="1" ht="12" x14ac:dyDescent="0.25">
      <c r="A176" s="30" t="s">
        <v>486</v>
      </c>
      <c r="B176" s="33" t="s">
        <v>23</v>
      </c>
      <c r="C176" s="33" t="s">
        <v>28</v>
      </c>
      <c r="D176" s="32" t="s">
        <v>417</v>
      </c>
      <c r="E176" s="48" t="s">
        <v>345</v>
      </c>
      <c r="F176" s="48" t="s">
        <v>164</v>
      </c>
      <c r="G176" s="48" t="s">
        <v>165</v>
      </c>
      <c r="H176" s="48" t="s">
        <v>352</v>
      </c>
      <c r="I176" s="33" t="s">
        <v>151</v>
      </c>
      <c r="J176" s="49">
        <v>45751</v>
      </c>
      <c r="K176" s="50">
        <v>250000</v>
      </c>
      <c r="L176" s="51" t="s">
        <v>166</v>
      </c>
      <c r="M176" s="33">
        <v>101</v>
      </c>
      <c r="N176" s="51" t="s">
        <v>153</v>
      </c>
      <c r="O176" s="33">
        <v>101</v>
      </c>
      <c r="P176" s="33" t="s">
        <v>154</v>
      </c>
      <c r="Q176" s="52">
        <v>6.699999999999999E-2</v>
      </c>
      <c r="R176" s="52">
        <v>5.9638299999999998E-2</v>
      </c>
      <c r="S176" s="53">
        <v>2.0833333333333333E-3</v>
      </c>
      <c r="T176" s="33" t="s">
        <v>155</v>
      </c>
      <c r="V176" s="40" t="str">
        <f>VLOOKUP(L176,[1]Sheet1!$B:$C,2,0)</f>
        <v>Typhoon ; Flood / Japan</v>
      </c>
    </row>
    <row r="177" spans="1:22" s="40" customFormat="1" ht="12" x14ac:dyDescent="0.25">
      <c r="A177" s="30" t="s">
        <v>486</v>
      </c>
      <c r="B177" s="33" t="s">
        <v>23</v>
      </c>
      <c r="C177" s="33" t="s">
        <v>29</v>
      </c>
      <c r="D177" s="32" t="s">
        <v>417</v>
      </c>
      <c r="E177" s="48" t="s">
        <v>346</v>
      </c>
      <c r="F177" s="48" t="s">
        <v>167</v>
      </c>
      <c r="G177" s="48" t="s">
        <v>168</v>
      </c>
      <c r="H177" s="48" t="s">
        <v>353</v>
      </c>
      <c r="I177" s="33" t="s">
        <v>151</v>
      </c>
      <c r="J177" s="49">
        <v>45751</v>
      </c>
      <c r="K177" s="50">
        <v>250000</v>
      </c>
      <c r="L177" s="51" t="s">
        <v>169</v>
      </c>
      <c r="M177" s="33">
        <v>103.95</v>
      </c>
      <c r="N177" s="51" t="s">
        <v>153</v>
      </c>
      <c r="O177" s="33">
        <v>103.95</v>
      </c>
      <c r="P177" s="33" t="s">
        <v>159</v>
      </c>
      <c r="Q177" s="52">
        <v>9.3599999999999989E-2</v>
      </c>
      <c r="R177" s="52">
        <v>7.1220699999999998E-2</v>
      </c>
      <c r="S177" s="53">
        <v>8.3333333333333339E-4</v>
      </c>
      <c r="T177" s="33" t="s">
        <v>155</v>
      </c>
      <c r="V177" s="40" t="str">
        <f>VLOOKUP(L177,[1]Sheet1!$B:$C,2,0)</f>
        <v>Earthquake / California</v>
      </c>
    </row>
    <row r="178" spans="1:22" s="40" customFormat="1" ht="12" x14ac:dyDescent="0.25">
      <c r="A178" s="30" t="s">
        <v>486</v>
      </c>
      <c r="B178" s="33" t="s">
        <v>23</v>
      </c>
      <c r="C178" s="33" t="s">
        <v>410</v>
      </c>
      <c r="D178" s="32" t="s">
        <v>417</v>
      </c>
      <c r="E178" s="48" t="s">
        <v>342</v>
      </c>
      <c r="F178" s="48" t="s">
        <v>149</v>
      </c>
      <c r="G178" s="48" t="s">
        <v>150</v>
      </c>
      <c r="H178" s="48" t="s">
        <v>352</v>
      </c>
      <c r="I178" s="54" t="s">
        <v>151</v>
      </c>
      <c r="J178" s="49">
        <v>45749</v>
      </c>
      <c r="K178" s="50">
        <v>250000</v>
      </c>
      <c r="L178" s="51" t="s">
        <v>152</v>
      </c>
      <c r="M178" s="33">
        <v>101</v>
      </c>
      <c r="N178" s="51" t="s">
        <v>153</v>
      </c>
      <c r="O178" s="33">
        <v>101</v>
      </c>
      <c r="P178" s="33" t="s">
        <v>154</v>
      </c>
      <c r="Q178" s="52">
        <v>6.1507199764251702E-2</v>
      </c>
      <c r="R178" s="52">
        <v>5.6114689999999995E-2</v>
      </c>
      <c r="S178" s="53">
        <v>1.6666666666666668E-3</v>
      </c>
      <c r="T178" s="33" t="s">
        <v>155</v>
      </c>
      <c r="V178" s="40" t="str">
        <f>VLOOKUP(L178,[1]Sheet1!$B:$C,2,0)</f>
        <v>Earthquake / Japan</v>
      </c>
    </row>
    <row r="179" spans="1:22" s="40" customFormat="1" ht="12" x14ac:dyDescent="0.25">
      <c r="A179" s="30" t="s">
        <v>486</v>
      </c>
      <c r="B179" s="33" t="s">
        <v>23</v>
      </c>
      <c r="C179" s="33" t="s">
        <v>411</v>
      </c>
      <c r="D179" s="32" t="s">
        <v>417</v>
      </c>
      <c r="E179" s="48" t="s">
        <v>342</v>
      </c>
      <c r="F179" s="48" t="s">
        <v>149</v>
      </c>
      <c r="G179" s="48" t="s">
        <v>150</v>
      </c>
      <c r="H179" s="48" t="s">
        <v>352</v>
      </c>
      <c r="I179" s="54" t="s">
        <v>310</v>
      </c>
      <c r="J179" s="49">
        <v>45749</v>
      </c>
      <c r="K179" s="50">
        <v>250000</v>
      </c>
      <c r="L179" s="51" t="s">
        <v>152</v>
      </c>
      <c r="M179" s="33">
        <v>101</v>
      </c>
      <c r="N179" s="51" t="s">
        <v>153</v>
      </c>
      <c r="O179" s="33">
        <v>101</v>
      </c>
      <c r="P179" s="33" t="s">
        <v>154</v>
      </c>
      <c r="Q179" s="52">
        <v>6.1507199764251702E-2</v>
      </c>
      <c r="R179" s="52">
        <v>5.6114689999999995E-2</v>
      </c>
      <c r="S179" s="53">
        <v>1.6666666666666668E-3</v>
      </c>
      <c r="T179" s="33" t="s">
        <v>155</v>
      </c>
      <c r="V179" s="40" t="str">
        <f>VLOOKUP(L179,[1]Sheet1!$B:$C,2,0)</f>
        <v>Earthquake / Japan</v>
      </c>
    </row>
    <row r="180" spans="1:22" s="40" customFormat="1" ht="12" x14ac:dyDescent="0.25">
      <c r="A180" s="30" t="s">
        <v>487</v>
      </c>
      <c r="B180" s="33" t="s">
        <v>23</v>
      </c>
      <c r="C180" s="33" t="s">
        <v>24</v>
      </c>
      <c r="D180" s="32" t="s">
        <v>418</v>
      </c>
      <c r="E180" s="48" t="s">
        <v>342</v>
      </c>
      <c r="F180" s="48" t="s">
        <v>149</v>
      </c>
      <c r="G180" s="48" t="s">
        <v>150</v>
      </c>
      <c r="H180" s="48" t="s">
        <v>352</v>
      </c>
      <c r="I180" s="54" t="s">
        <v>151</v>
      </c>
      <c r="J180" s="49">
        <v>45749</v>
      </c>
      <c r="K180" s="50">
        <v>250000</v>
      </c>
      <c r="L180" s="51" t="s">
        <v>152</v>
      </c>
      <c r="M180" s="33">
        <v>101</v>
      </c>
      <c r="N180" s="51" t="s">
        <v>153</v>
      </c>
      <c r="O180" s="33">
        <v>101</v>
      </c>
      <c r="P180" s="33" t="s">
        <v>154</v>
      </c>
      <c r="Q180" s="52">
        <v>6.1507199764251702E-2</v>
      </c>
      <c r="R180" s="52">
        <v>5.6114689999999995E-2</v>
      </c>
      <c r="S180" s="53">
        <v>1.6666666666666668E-3</v>
      </c>
      <c r="T180" s="33" t="s">
        <v>155</v>
      </c>
      <c r="V180" s="40" t="str">
        <f>VLOOKUP(L180,[1]Sheet1!$B:$C,2,0)</f>
        <v>Earthquake / Japan</v>
      </c>
    </row>
    <row r="181" spans="1:22" s="40" customFormat="1" ht="12" x14ac:dyDescent="0.25">
      <c r="A181" s="30" t="s">
        <v>487</v>
      </c>
      <c r="B181" s="33" t="s">
        <v>23</v>
      </c>
      <c r="C181" s="33" t="s">
        <v>25</v>
      </c>
      <c r="D181" s="32" t="s">
        <v>418</v>
      </c>
      <c r="E181" s="48" t="s">
        <v>343</v>
      </c>
      <c r="F181" s="48" t="s">
        <v>156</v>
      </c>
      <c r="G181" s="48" t="s">
        <v>157</v>
      </c>
      <c r="H181" s="48" t="s">
        <v>352</v>
      </c>
      <c r="I181" s="33" t="s">
        <v>151</v>
      </c>
      <c r="J181" s="49">
        <v>45751</v>
      </c>
      <c r="K181" s="50">
        <v>250000</v>
      </c>
      <c r="L181" s="51" t="s">
        <v>158</v>
      </c>
      <c r="M181" s="33">
        <v>100.2</v>
      </c>
      <c r="N181" s="51" t="s">
        <v>153</v>
      </c>
      <c r="O181" s="33">
        <v>100.2</v>
      </c>
      <c r="P181" s="33" t="s">
        <v>159</v>
      </c>
      <c r="Q181" s="52">
        <v>0.1041071997642517</v>
      </c>
      <c r="R181" s="52">
        <v>0.10300053000000001</v>
      </c>
      <c r="S181" s="53">
        <v>8.3333333333333332E-3</v>
      </c>
      <c r="T181" s="33" t="s">
        <v>155</v>
      </c>
      <c r="V181" s="40" t="str">
        <f>VLOOKUP(L181,[1]Sheet1!$B:$C,2,0)</f>
        <v>Earthquake / U.S., Canada, Puerto Rico, U.S. VI ; Named Storm / U.S., Puerto Rico, U.S. VI</v>
      </c>
    </row>
    <row r="182" spans="1:22" s="40" customFormat="1" ht="12" x14ac:dyDescent="0.25">
      <c r="A182" s="30" t="s">
        <v>487</v>
      </c>
      <c r="B182" s="33" t="s">
        <v>23</v>
      </c>
      <c r="C182" s="33" t="s">
        <v>26</v>
      </c>
      <c r="D182" s="32" t="s">
        <v>418</v>
      </c>
      <c r="E182" s="48" t="s">
        <v>344</v>
      </c>
      <c r="F182" s="48" t="s">
        <v>161</v>
      </c>
      <c r="G182" s="48" t="s">
        <v>162</v>
      </c>
      <c r="H182" s="48" t="s">
        <v>352</v>
      </c>
      <c r="I182" s="33" t="s">
        <v>151</v>
      </c>
      <c r="J182" s="49">
        <v>45751</v>
      </c>
      <c r="K182" s="50">
        <v>250000</v>
      </c>
      <c r="L182" s="51" t="s">
        <v>163</v>
      </c>
      <c r="M182" s="33">
        <v>102.85</v>
      </c>
      <c r="N182" s="51" t="s">
        <v>153</v>
      </c>
      <c r="O182" s="33">
        <v>102.85</v>
      </c>
      <c r="P182" s="33" t="s">
        <v>154</v>
      </c>
      <c r="Q182" s="52">
        <v>9.0999999999999998E-2</v>
      </c>
      <c r="R182" s="52">
        <v>7.670283E-2</v>
      </c>
      <c r="S182" s="53">
        <v>1.25E-3</v>
      </c>
      <c r="T182" s="33" t="s">
        <v>155</v>
      </c>
      <c r="V182" s="40" t="str">
        <f>VLOOKUP(L182,[1]Sheet1!$B:$C,2,0)</f>
        <v>Named Storm / North Carolina</v>
      </c>
    </row>
    <row r="183" spans="1:22" s="40" customFormat="1" ht="12" x14ac:dyDescent="0.25">
      <c r="A183" s="30" t="s">
        <v>487</v>
      </c>
      <c r="B183" s="33" t="s">
        <v>23</v>
      </c>
      <c r="C183" s="33" t="s">
        <v>28</v>
      </c>
      <c r="D183" s="32" t="s">
        <v>418</v>
      </c>
      <c r="E183" s="48" t="s">
        <v>345</v>
      </c>
      <c r="F183" s="48" t="s">
        <v>164</v>
      </c>
      <c r="G183" s="48" t="s">
        <v>165</v>
      </c>
      <c r="H183" s="48" t="s">
        <v>352</v>
      </c>
      <c r="I183" s="33" t="s">
        <v>151</v>
      </c>
      <c r="J183" s="49">
        <v>45751</v>
      </c>
      <c r="K183" s="50">
        <v>250000</v>
      </c>
      <c r="L183" s="51" t="s">
        <v>166</v>
      </c>
      <c r="M183" s="33">
        <v>101</v>
      </c>
      <c r="N183" s="51" t="s">
        <v>153</v>
      </c>
      <c r="O183" s="33">
        <v>101</v>
      </c>
      <c r="P183" s="33" t="s">
        <v>154</v>
      </c>
      <c r="Q183" s="52">
        <v>6.699999999999999E-2</v>
      </c>
      <c r="R183" s="52">
        <v>5.9638299999999998E-2</v>
      </c>
      <c r="S183" s="53">
        <v>2.0833333333333333E-3</v>
      </c>
      <c r="T183" s="33" t="s">
        <v>155</v>
      </c>
      <c r="V183" s="40" t="str">
        <f>VLOOKUP(L183,[1]Sheet1!$B:$C,2,0)</f>
        <v>Typhoon ; Flood / Japan</v>
      </c>
    </row>
    <row r="184" spans="1:22" s="40" customFormat="1" ht="12" x14ac:dyDescent="0.25">
      <c r="A184" s="30" t="s">
        <v>487</v>
      </c>
      <c r="B184" s="33" t="s">
        <v>23</v>
      </c>
      <c r="C184" s="33" t="s">
        <v>29</v>
      </c>
      <c r="D184" s="32" t="s">
        <v>418</v>
      </c>
      <c r="E184" s="48" t="s">
        <v>346</v>
      </c>
      <c r="F184" s="48" t="s">
        <v>167</v>
      </c>
      <c r="G184" s="48" t="s">
        <v>168</v>
      </c>
      <c r="H184" s="48" t="s">
        <v>353</v>
      </c>
      <c r="I184" s="33" t="s">
        <v>151</v>
      </c>
      <c r="J184" s="49">
        <v>45751</v>
      </c>
      <c r="K184" s="50">
        <v>250000</v>
      </c>
      <c r="L184" s="51" t="s">
        <v>169</v>
      </c>
      <c r="M184" s="33">
        <v>103.95</v>
      </c>
      <c r="N184" s="51" t="s">
        <v>153</v>
      </c>
      <c r="O184" s="33">
        <v>103.95</v>
      </c>
      <c r="P184" s="33" t="s">
        <v>159</v>
      </c>
      <c r="Q184" s="52">
        <v>9.3599999999999989E-2</v>
      </c>
      <c r="R184" s="52">
        <v>7.1220699999999998E-2</v>
      </c>
      <c r="S184" s="53">
        <v>8.3333333333333339E-4</v>
      </c>
      <c r="T184" s="33" t="s">
        <v>155</v>
      </c>
      <c r="V184" s="40" t="str">
        <f>VLOOKUP(L184,[1]Sheet1!$B:$C,2,0)</f>
        <v>Earthquake / California</v>
      </c>
    </row>
    <row r="185" spans="1:22" s="40" customFormat="1" ht="12" x14ac:dyDescent="0.25">
      <c r="A185" s="30" t="s">
        <v>487</v>
      </c>
      <c r="B185" s="33" t="s">
        <v>23</v>
      </c>
      <c r="C185" s="33" t="s">
        <v>410</v>
      </c>
      <c r="D185" s="32" t="s">
        <v>418</v>
      </c>
      <c r="E185" s="48" t="s">
        <v>342</v>
      </c>
      <c r="F185" s="48" t="s">
        <v>149</v>
      </c>
      <c r="G185" s="48" t="s">
        <v>150</v>
      </c>
      <c r="H185" s="48" t="s">
        <v>352</v>
      </c>
      <c r="I185" s="54" t="s">
        <v>310</v>
      </c>
      <c r="J185" s="49">
        <v>45749</v>
      </c>
      <c r="K185" s="50">
        <v>250000</v>
      </c>
      <c r="L185" s="51" t="s">
        <v>152</v>
      </c>
      <c r="M185" s="33">
        <v>101</v>
      </c>
      <c r="N185" s="51" t="s">
        <v>153</v>
      </c>
      <c r="O185" s="33">
        <v>101</v>
      </c>
      <c r="P185" s="33" t="s">
        <v>154</v>
      </c>
      <c r="Q185" s="52">
        <v>6.1507199764251702E-2</v>
      </c>
      <c r="R185" s="52">
        <v>5.6114689999999995E-2</v>
      </c>
      <c r="S185" s="53">
        <v>1.6666666666666668E-3</v>
      </c>
      <c r="T185" s="33" t="s">
        <v>155</v>
      </c>
      <c r="V185" s="40" t="str">
        <f>VLOOKUP(L185,[1]Sheet1!$B:$C,2,0)</f>
        <v>Earthquake / Japan</v>
      </c>
    </row>
    <row r="186" spans="1:22" s="40" customFormat="1" ht="12" x14ac:dyDescent="0.25">
      <c r="A186" s="30" t="s">
        <v>487</v>
      </c>
      <c r="B186" s="33" t="s">
        <v>23</v>
      </c>
      <c r="C186" s="33" t="s">
        <v>411</v>
      </c>
      <c r="D186" s="32" t="s">
        <v>418</v>
      </c>
      <c r="E186" s="48" t="s">
        <v>342</v>
      </c>
      <c r="F186" s="48" t="s">
        <v>149</v>
      </c>
      <c r="G186" s="48" t="s">
        <v>150</v>
      </c>
      <c r="H186" s="48" t="s">
        <v>352</v>
      </c>
      <c r="I186" s="54" t="s">
        <v>151</v>
      </c>
      <c r="J186" s="49">
        <v>45749</v>
      </c>
      <c r="K186" s="50">
        <v>250000</v>
      </c>
      <c r="L186" s="51" t="s">
        <v>152</v>
      </c>
      <c r="M186" s="33">
        <v>101</v>
      </c>
      <c r="N186" s="51" t="s">
        <v>153</v>
      </c>
      <c r="O186" s="33">
        <v>101</v>
      </c>
      <c r="P186" s="33" t="s">
        <v>154</v>
      </c>
      <c r="Q186" s="52">
        <v>6.1507199764251702E-2</v>
      </c>
      <c r="R186" s="52">
        <v>5.6114689999999995E-2</v>
      </c>
      <c r="S186" s="53">
        <v>1.6666666666666668E-3</v>
      </c>
      <c r="T186" s="33" t="s">
        <v>155</v>
      </c>
      <c r="V186" s="40" t="str">
        <f>VLOOKUP(L186,[1]Sheet1!$B:$C,2,0)</f>
        <v>Earthquake / Japan</v>
      </c>
    </row>
    <row r="187" spans="1:22" s="40" customFormat="1" ht="12" x14ac:dyDescent="0.25">
      <c r="A187" s="30" t="s">
        <v>488</v>
      </c>
      <c r="B187" s="33" t="s">
        <v>23</v>
      </c>
      <c r="C187" s="33" t="s">
        <v>24</v>
      </c>
      <c r="D187" s="32" t="s">
        <v>419</v>
      </c>
      <c r="E187" s="48" t="s">
        <v>342</v>
      </c>
      <c r="F187" s="48" t="s">
        <v>149</v>
      </c>
      <c r="G187" s="48" t="s">
        <v>150</v>
      </c>
      <c r="H187" s="48" t="s">
        <v>352</v>
      </c>
      <c r="I187" s="33" t="s">
        <v>151</v>
      </c>
      <c r="J187" s="49">
        <v>45749</v>
      </c>
      <c r="K187" s="50">
        <v>250000</v>
      </c>
      <c r="L187" s="51" t="s">
        <v>152</v>
      </c>
      <c r="M187" s="33">
        <v>101</v>
      </c>
      <c r="N187" s="51" t="s">
        <v>153</v>
      </c>
      <c r="O187" s="33">
        <v>101</v>
      </c>
      <c r="P187" s="33" t="s">
        <v>154</v>
      </c>
      <c r="Q187" s="52">
        <v>6.1507199764251702E-2</v>
      </c>
      <c r="R187" s="52">
        <v>5.6114689999999995E-2</v>
      </c>
      <c r="S187" s="53">
        <v>1.6666666666666668E-3</v>
      </c>
      <c r="T187" s="33" t="s">
        <v>155</v>
      </c>
      <c r="U187" s="30"/>
      <c r="V187" s="40" t="str">
        <f>VLOOKUP(L187,[1]Sheet1!$B:$C,2,0)</f>
        <v>Earthquake / Japan</v>
      </c>
    </row>
    <row r="188" spans="1:22" s="40" customFormat="1" ht="12" x14ac:dyDescent="0.25">
      <c r="A188" s="30" t="s">
        <v>488</v>
      </c>
      <c r="B188" s="33" t="s">
        <v>23</v>
      </c>
      <c r="C188" s="33" t="s">
        <v>25</v>
      </c>
      <c r="D188" s="32" t="s">
        <v>419</v>
      </c>
      <c r="E188" s="48" t="s">
        <v>343</v>
      </c>
      <c r="F188" s="48" t="s">
        <v>156</v>
      </c>
      <c r="G188" s="48" t="s">
        <v>157</v>
      </c>
      <c r="H188" s="48" t="s">
        <v>352</v>
      </c>
      <c r="I188" s="33" t="s">
        <v>151</v>
      </c>
      <c r="J188" s="49">
        <v>45751</v>
      </c>
      <c r="K188" s="50">
        <v>250000</v>
      </c>
      <c r="L188" s="51" t="s">
        <v>158</v>
      </c>
      <c r="M188" s="33">
        <v>100.2</v>
      </c>
      <c r="N188" s="51" t="s">
        <v>153</v>
      </c>
      <c r="O188" s="33">
        <v>100.2</v>
      </c>
      <c r="P188" s="33" t="s">
        <v>159</v>
      </c>
      <c r="Q188" s="52">
        <v>0.1041071997642517</v>
      </c>
      <c r="R188" s="52">
        <v>0.10300053000000001</v>
      </c>
      <c r="S188" s="53">
        <v>8.3333333333333332E-3</v>
      </c>
      <c r="T188" s="33" t="s">
        <v>155</v>
      </c>
      <c r="U188" s="30"/>
      <c r="V188" s="40" t="str">
        <f>VLOOKUP(L188,[1]Sheet1!$B:$C,2,0)</f>
        <v>Earthquake / U.S., Canada, Puerto Rico, U.S. VI ; Named Storm / U.S., Puerto Rico, U.S. VI</v>
      </c>
    </row>
    <row r="189" spans="1:22" s="40" customFormat="1" ht="12" x14ac:dyDescent="0.25">
      <c r="A189" s="30" t="s">
        <v>488</v>
      </c>
      <c r="B189" s="33" t="s">
        <v>23</v>
      </c>
      <c r="C189" s="33" t="s">
        <v>30</v>
      </c>
      <c r="D189" s="32" t="s">
        <v>419</v>
      </c>
      <c r="E189" s="48" t="s">
        <v>347</v>
      </c>
      <c r="F189" s="48" t="s">
        <v>161</v>
      </c>
      <c r="G189" s="48" t="s">
        <v>157</v>
      </c>
      <c r="H189" s="48" t="s">
        <v>354</v>
      </c>
      <c r="I189" s="33" t="s">
        <v>151</v>
      </c>
      <c r="J189" s="49">
        <v>45755</v>
      </c>
      <c r="K189" s="50">
        <v>250000</v>
      </c>
      <c r="L189" s="51" t="s">
        <v>170</v>
      </c>
      <c r="M189" s="33">
        <v>100.25</v>
      </c>
      <c r="N189" s="51" t="s">
        <v>153</v>
      </c>
      <c r="O189" s="33">
        <v>100.25</v>
      </c>
      <c r="P189" s="33" t="s">
        <v>154</v>
      </c>
      <c r="Q189" s="52">
        <v>7.3784539999999996E-2</v>
      </c>
      <c r="R189" s="52">
        <v>7.5587660000000001E-2</v>
      </c>
      <c r="S189" s="53">
        <v>8.3333333333333339E-4</v>
      </c>
      <c r="T189" s="33" t="s">
        <v>155</v>
      </c>
      <c r="U189" s="30"/>
      <c r="V189" s="40" t="str">
        <f>VLOOKUP(L189,[1]Sheet1!$B:$C,2,0)</f>
        <v>Earthquake / U.S.</v>
      </c>
    </row>
    <row r="190" spans="1:22" s="40" customFormat="1" ht="12" x14ac:dyDescent="0.25">
      <c r="A190" s="30" t="s">
        <v>488</v>
      </c>
      <c r="B190" s="33" t="s">
        <v>23</v>
      </c>
      <c r="C190" s="33" t="s">
        <v>31</v>
      </c>
      <c r="D190" s="32" t="s">
        <v>419</v>
      </c>
      <c r="E190" s="48" t="s">
        <v>348</v>
      </c>
      <c r="F190" s="48" t="s">
        <v>161</v>
      </c>
      <c r="G190" s="48" t="s">
        <v>150</v>
      </c>
      <c r="H190" s="48" t="s">
        <v>352</v>
      </c>
      <c r="I190" s="33" t="s">
        <v>151</v>
      </c>
      <c r="J190" s="49">
        <v>45755</v>
      </c>
      <c r="K190" s="50">
        <v>250000</v>
      </c>
      <c r="L190" s="51" t="s">
        <v>355</v>
      </c>
      <c r="M190" s="33">
        <v>100.65</v>
      </c>
      <c r="N190" s="51" t="s">
        <v>153</v>
      </c>
      <c r="O190" s="33">
        <v>100.65</v>
      </c>
      <c r="P190" s="33" t="s">
        <v>159</v>
      </c>
      <c r="Q190" s="52">
        <v>8.9900000000000008E-2</v>
      </c>
      <c r="R190" s="52">
        <v>9.0425339999999993E-2</v>
      </c>
      <c r="S190" s="53">
        <v>1.25E-3</v>
      </c>
      <c r="T190" s="33" t="s">
        <v>155</v>
      </c>
      <c r="U190" s="30"/>
      <c r="V190" s="40" t="str">
        <f>VLOOKUP(L190,[1]Sheet1!$B:$C,2,0)</f>
        <v>Earthquake ; Named Storm / U.S., Canada, Caribbean</v>
      </c>
    </row>
    <row r="191" spans="1:22" s="40" customFormat="1" ht="12" x14ac:dyDescent="0.25">
      <c r="A191" s="30" t="s">
        <v>488</v>
      </c>
      <c r="B191" s="33" t="s">
        <v>23</v>
      </c>
      <c r="C191" s="33" t="s">
        <v>32</v>
      </c>
      <c r="D191" s="32" t="s">
        <v>419</v>
      </c>
      <c r="E191" s="48" t="s">
        <v>349</v>
      </c>
      <c r="F191" s="48" t="s">
        <v>161</v>
      </c>
      <c r="G191" s="48" t="s">
        <v>150</v>
      </c>
      <c r="H191" s="48" t="s">
        <v>352</v>
      </c>
      <c r="I191" s="33" t="s">
        <v>151</v>
      </c>
      <c r="J191" s="49">
        <v>45756</v>
      </c>
      <c r="K191" s="50">
        <v>250000</v>
      </c>
      <c r="L191" s="51" t="s">
        <v>356</v>
      </c>
      <c r="M191" s="33">
        <v>102.3</v>
      </c>
      <c r="N191" s="51" t="s">
        <v>153</v>
      </c>
      <c r="O191" s="33">
        <v>102.3</v>
      </c>
      <c r="P191" s="33" t="s">
        <v>154</v>
      </c>
      <c r="Q191" s="52">
        <v>7.8799999999999995E-2</v>
      </c>
      <c r="R191" s="52">
        <v>6.796395999999999E-2</v>
      </c>
      <c r="S191" s="53">
        <v>9.8039215686274508E-4</v>
      </c>
      <c r="T191" s="33" t="s">
        <v>155</v>
      </c>
      <c r="U191" s="30"/>
      <c r="V191" s="40" t="str">
        <f>VLOOKUP(L191,[1]Sheet1!$B:$C,2,0)</f>
        <v>Named Storm / Texas</v>
      </c>
    </row>
    <row r="192" spans="1:22" s="40" customFormat="1" ht="12" x14ac:dyDescent="0.25">
      <c r="A192" s="30" t="s">
        <v>489</v>
      </c>
      <c r="B192" s="33" t="s">
        <v>23</v>
      </c>
      <c r="C192" s="33" t="s">
        <v>24</v>
      </c>
      <c r="D192" s="32" t="s">
        <v>420</v>
      </c>
      <c r="E192" s="48" t="s">
        <v>342</v>
      </c>
      <c r="F192" s="48" t="s">
        <v>149</v>
      </c>
      <c r="G192" s="48" t="s">
        <v>150</v>
      </c>
      <c r="H192" s="48" t="s">
        <v>352</v>
      </c>
      <c r="I192" s="33" t="s">
        <v>151</v>
      </c>
      <c r="J192" s="49">
        <v>45749</v>
      </c>
      <c r="K192" s="55">
        <v>125000</v>
      </c>
      <c r="L192" s="51" t="s">
        <v>152</v>
      </c>
      <c r="M192" s="33">
        <v>101</v>
      </c>
      <c r="N192" s="51" t="s">
        <v>153</v>
      </c>
      <c r="O192" s="33">
        <v>101</v>
      </c>
      <c r="P192" s="33" t="s">
        <v>154</v>
      </c>
      <c r="Q192" s="52">
        <v>6.1507199764251702E-2</v>
      </c>
      <c r="R192" s="52">
        <v>5.6114689999999995E-2</v>
      </c>
      <c r="S192" s="53">
        <v>1.6666666666666668E-3</v>
      </c>
      <c r="T192" s="33" t="s">
        <v>155</v>
      </c>
      <c r="U192" s="56"/>
      <c r="V192" s="40" t="str">
        <f>VLOOKUP(L192,[1]Sheet1!$B:$C,2,0)</f>
        <v>Earthquake / Japan</v>
      </c>
    </row>
    <row r="193" spans="1:22" s="40" customFormat="1" ht="12" x14ac:dyDescent="0.25">
      <c r="A193" s="30" t="s">
        <v>489</v>
      </c>
      <c r="B193" s="33" t="s">
        <v>23</v>
      </c>
      <c r="C193" s="33" t="s">
        <v>25</v>
      </c>
      <c r="D193" s="32" t="s">
        <v>420</v>
      </c>
      <c r="E193" s="48" t="s">
        <v>343</v>
      </c>
      <c r="F193" s="48" t="s">
        <v>156</v>
      </c>
      <c r="G193" s="48" t="s">
        <v>157</v>
      </c>
      <c r="H193" s="48" t="s">
        <v>352</v>
      </c>
      <c r="I193" s="33" t="s">
        <v>151</v>
      </c>
      <c r="J193" s="49">
        <v>45751</v>
      </c>
      <c r="K193" s="55">
        <v>125000</v>
      </c>
      <c r="L193" s="51" t="s">
        <v>158</v>
      </c>
      <c r="M193" s="33">
        <v>100.2</v>
      </c>
      <c r="N193" s="51" t="s">
        <v>153</v>
      </c>
      <c r="O193" s="33">
        <v>100.2</v>
      </c>
      <c r="P193" s="33" t="s">
        <v>159</v>
      </c>
      <c r="Q193" s="52">
        <v>0.1041071997642517</v>
      </c>
      <c r="R193" s="52">
        <v>0.10300053000000001</v>
      </c>
      <c r="S193" s="53">
        <v>8.3333333333333332E-3</v>
      </c>
      <c r="T193" s="33" t="s">
        <v>155</v>
      </c>
      <c r="U193" s="56"/>
      <c r="V193" s="40" t="str">
        <f>VLOOKUP(L193,[1]Sheet1!$B:$C,2,0)</f>
        <v>Earthquake / U.S., Canada, Puerto Rico, U.S. VI ; Named Storm / U.S., Puerto Rico, U.S. VI</v>
      </c>
    </row>
    <row r="194" spans="1:22" s="40" customFormat="1" ht="12" x14ac:dyDescent="0.25">
      <c r="A194" s="30" t="s">
        <v>489</v>
      </c>
      <c r="B194" s="33" t="s">
        <v>23</v>
      </c>
      <c r="C194" s="33" t="s">
        <v>30</v>
      </c>
      <c r="D194" s="32" t="s">
        <v>420</v>
      </c>
      <c r="E194" s="48" t="s">
        <v>347</v>
      </c>
      <c r="F194" s="48" t="s">
        <v>161</v>
      </c>
      <c r="G194" s="48" t="s">
        <v>157</v>
      </c>
      <c r="H194" s="48" t="s">
        <v>354</v>
      </c>
      <c r="I194" s="33" t="s">
        <v>151</v>
      </c>
      <c r="J194" s="49">
        <v>45755</v>
      </c>
      <c r="K194" s="55">
        <v>125000</v>
      </c>
      <c r="L194" s="51" t="s">
        <v>170</v>
      </c>
      <c r="M194" s="33">
        <v>100.25</v>
      </c>
      <c r="N194" s="51" t="s">
        <v>153</v>
      </c>
      <c r="O194" s="33">
        <v>100.25</v>
      </c>
      <c r="P194" s="33" t="s">
        <v>154</v>
      </c>
      <c r="Q194" s="52">
        <v>7.3784539999999996E-2</v>
      </c>
      <c r="R194" s="52">
        <v>7.5587660000000001E-2</v>
      </c>
      <c r="S194" s="53">
        <v>8.3333333333333339E-4</v>
      </c>
      <c r="T194" s="33" t="s">
        <v>155</v>
      </c>
      <c r="U194" s="56"/>
      <c r="V194" s="40" t="str">
        <f>VLOOKUP(L194,[1]Sheet1!$B:$C,2,0)</f>
        <v>Earthquake / U.S.</v>
      </c>
    </row>
    <row r="195" spans="1:22" s="40" customFormat="1" ht="12" x14ac:dyDescent="0.25">
      <c r="A195" s="30" t="s">
        <v>489</v>
      </c>
      <c r="B195" s="33" t="s">
        <v>23</v>
      </c>
      <c r="C195" s="33" t="s">
        <v>31</v>
      </c>
      <c r="D195" s="32" t="s">
        <v>420</v>
      </c>
      <c r="E195" s="48" t="s">
        <v>348</v>
      </c>
      <c r="F195" s="48" t="s">
        <v>161</v>
      </c>
      <c r="G195" s="48" t="s">
        <v>150</v>
      </c>
      <c r="H195" s="48" t="s">
        <v>352</v>
      </c>
      <c r="I195" s="33" t="s">
        <v>151</v>
      </c>
      <c r="J195" s="49">
        <v>45755</v>
      </c>
      <c r="K195" s="55">
        <v>125000</v>
      </c>
      <c r="L195" s="51" t="s">
        <v>355</v>
      </c>
      <c r="M195" s="33">
        <v>100.65</v>
      </c>
      <c r="N195" s="51" t="s">
        <v>153</v>
      </c>
      <c r="O195" s="33">
        <v>100.65</v>
      </c>
      <c r="P195" s="33" t="s">
        <v>159</v>
      </c>
      <c r="Q195" s="52">
        <v>8.9900000000000008E-2</v>
      </c>
      <c r="R195" s="52">
        <v>9.0425339999999993E-2</v>
      </c>
      <c r="S195" s="53">
        <v>1.25E-3</v>
      </c>
      <c r="T195" s="33" t="s">
        <v>155</v>
      </c>
      <c r="U195" s="56"/>
      <c r="V195" s="40" t="str">
        <f>VLOOKUP(L195,[1]Sheet1!$B:$C,2,0)</f>
        <v>Earthquake ; Named Storm / U.S., Canada, Caribbean</v>
      </c>
    </row>
    <row r="196" spans="1:22" s="40" customFormat="1" ht="12" x14ac:dyDescent="0.25">
      <c r="A196" s="30" t="s">
        <v>489</v>
      </c>
      <c r="B196" s="33" t="s">
        <v>23</v>
      </c>
      <c r="C196" s="33" t="s">
        <v>32</v>
      </c>
      <c r="D196" s="32" t="s">
        <v>420</v>
      </c>
      <c r="E196" s="48" t="s">
        <v>349</v>
      </c>
      <c r="F196" s="48" t="s">
        <v>161</v>
      </c>
      <c r="G196" s="48" t="s">
        <v>150</v>
      </c>
      <c r="H196" s="48" t="s">
        <v>352</v>
      </c>
      <c r="I196" s="33" t="s">
        <v>151</v>
      </c>
      <c r="J196" s="49">
        <v>45756</v>
      </c>
      <c r="K196" s="55">
        <v>125000</v>
      </c>
      <c r="L196" s="51" t="s">
        <v>356</v>
      </c>
      <c r="M196" s="33">
        <v>102.3</v>
      </c>
      <c r="N196" s="51" t="s">
        <v>153</v>
      </c>
      <c r="O196" s="33">
        <v>102.3</v>
      </c>
      <c r="P196" s="33" t="s">
        <v>154</v>
      </c>
      <c r="Q196" s="52">
        <v>7.8799999999999995E-2</v>
      </c>
      <c r="R196" s="52">
        <v>6.796395999999999E-2</v>
      </c>
      <c r="S196" s="53">
        <v>9.8039215686274508E-4</v>
      </c>
      <c r="T196" s="33" t="s">
        <v>155</v>
      </c>
      <c r="U196" s="56"/>
      <c r="V196" s="40" t="str">
        <f>VLOOKUP(L196,[1]Sheet1!$B:$C,2,0)</f>
        <v>Named Storm / Texas</v>
      </c>
    </row>
    <row r="197" spans="1:22" s="40" customFormat="1" ht="12" x14ac:dyDescent="0.25">
      <c r="A197" s="30" t="s">
        <v>490</v>
      </c>
      <c r="B197" s="33" t="s">
        <v>23</v>
      </c>
      <c r="C197" s="33" t="s">
        <v>24</v>
      </c>
      <c r="D197" s="32" t="s">
        <v>421</v>
      </c>
      <c r="E197" s="48" t="s">
        <v>342</v>
      </c>
      <c r="F197" s="48" t="s">
        <v>149</v>
      </c>
      <c r="G197" s="48" t="s">
        <v>150</v>
      </c>
      <c r="H197" s="48" t="s">
        <v>352</v>
      </c>
      <c r="I197" s="33" t="s">
        <v>151</v>
      </c>
      <c r="J197" s="57">
        <v>45932</v>
      </c>
      <c r="K197" s="50">
        <v>250000</v>
      </c>
      <c r="L197" s="51" t="s">
        <v>152</v>
      </c>
      <c r="M197" s="33">
        <v>101</v>
      </c>
      <c r="N197" s="51" t="s">
        <v>153</v>
      </c>
      <c r="O197" s="33">
        <v>101</v>
      </c>
      <c r="P197" s="33" t="s">
        <v>154</v>
      </c>
      <c r="Q197" s="52">
        <v>6.1507199764251702E-2</v>
      </c>
      <c r="R197" s="52">
        <v>5.6114689999999995E-2</v>
      </c>
      <c r="S197" s="53">
        <v>1.6666666666666668E-3</v>
      </c>
      <c r="T197" s="33" t="s">
        <v>155</v>
      </c>
      <c r="U197" s="56"/>
      <c r="V197" s="40" t="str">
        <f>VLOOKUP(L197,[1]Sheet1!$B:$C,2,0)</f>
        <v>Earthquake / Japan</v>
      </c>
    </row>
    <row r="198" spans="1:22" s="40" customFormat="1" ht="12" x14ac:dyDescent="0.25">
      <c r="A198" s="30" t="s">
        <v>490</v>
      </c>
      <c r="B198" s="33" t="s">
        <v>23</v>
      </c>
      <c r="C198" s="33" t="s">
        <v>25</v>
      </c>
      <c r="D198" s="32" t="s">
        <v>421</v>
      </c>
      <c r="E198" s="48" t="s">
        <v>343</v>
      </c>
      <c r="F198" s="48" t="s">
        <v>156</v>
      </c>
      <c r="G198" s="48" t="s">
        <v>157</v>
      </c>
      <c r="H198" s="48" t="s">
        <v>352</v>
      </c>
      <c r="I198" s="33" t="s">
        <v>151</v>
      </c>
      <c r="J198" s="57">
        <v>45934</v>
      </c>
      <c r="K198" s="50">
        <v>250000</v>
      </c>
      <c r="L198" s="51" t="s">
        <v>158</v>
      </c>
      <c r="M198" s="33">
        <v>100.2</v>
      </c>
      <c r="N198" s="51" t="s">
        <v>153</v>
      </c>
      <c r="O198" s="33">
        <v>100.2</v>
      </c>
      <c r="P198" s="33" t="s">
        <v>159</v>
      </c>
      <c r="Q198" s="52">
        <v>0.1041071997642517</v>
      </c>
      <c r="R198" s="52">
        <v>0.10300053000000001</v>
      </c>
      <c r="S198" s="53">
        <v>8.3333333333333332E-3</v>
      </c>
      <c r="T198" s="33" t="s">
        <v>155</v>
      </c>
      <c r="U198" s="56"/>
      <c r="V198" s="40" t="str">
        <f>VLOOKUP(L198,[1]Sheet1!$B:$C,2,0)</f>
        <v>Earthquake / U.S., Canada, Puerto Rico, U.S. VI ; Named Storm / U.S., Puerto Rico, U.S. VI</v>
      </c>
    </row>
    <row r="199" spans="1:22" s="40" customFormat="1" ht="12" x14ac:dyDescent="0.25">
      <c r="A199" s="30" t="s">
        <v>490</v>
      </c>
      <c r="B199" s="33" t="s">
        <v>23</v>
      </c>
      <c r="C199" s="33" t="s">
        <v>30</v>
      </c>
      <c r="D199" s="32" t="s">
        <v>421</v>
      </c>
      <c r="E199" s="48" t="s">
        <v>347</v>
      </c>
      <c r="F199" s="48" t="s">
        <v>161</v>
      </c>
      <c r="G199" s="48" t="s">
        <v>157</v>
      </c>
      <c r="H199" s="48" t="s">
        <v>354</v>
      </c>
      <c r="I199" s="33" t="s">
        <v>151</v>
      </c>
      <c r="J199" s="57">
        <v>45938</v>
      </c>
      <c r="K199" s="50">
        <v>250000</v>
      </c>
      <c r="L199" s="51" t="s">
        <v>170</v>
      </c>
      <c r="M199" s="33">
        <v>100.25</v>
      </c>
      <c r="N199" s="51" t="s">
        <v>153</v>
      </c>
      <c r="O199" s="33">
        <v>100.25</v>
      </c>
      <c r="P199" s="33" t="s">
        <v>154</v>
      </c>
      <c r="Q199" s="52">
        <v>7.3784539999999996E-2</v>
      </c>
      <c r="R199" s="52">
        <v>7.5587660000000001E-2</v>
      </c>
      <c r="S199" s="53">
        <v>8.3333333333333339E-4</v>
      </c>
      <c r="T199" s="33" t="s">
        <v>155</v>
      </c>
      <c r="U199" s="56"/>
      <c r="V199" s="40" t="str">
        <f>VLOOKUP(L199,[1]Sheet1!$B:$C,2,0)</f>
        <v>Earthquake / U.S.</v>
      </c>
    </row>
    <row r="200" spans="1:22" s="40" customFormat="1" ht="12" x14ac:dyDescent="0.25">
      <c r="A200" s="30" t="s">
        <v>490</v>
      </c>
      <c r="B200" s="33" t="s">
        <v>23</v>
      </c>
      <c r="C200" s="33" t="s">
        <v>31</v>
      </c>
      <c r="D200" s="32" t="s">
        <v>421</v>
      </c>
      <c r="E200" s="48" t="s">
        <v>348</v>
      </c>
      <c r="F200" s="48" t="s">
        <v>161</v>
      </c>
      <c r="G200" s="48" t="s">
        <v>150</v>
      </c>
      <c r="H200" s="48" t="s">
        <v>352</v>
      </c>
      <c r="I200" s="33" t="s">
        <v>151</v>
      </c>
      <c r="J200" s="57">
        <v>45938</v>
      </c>
      <c r="K200" s="50">
        <v>250000</v>
      </c>
      <c r="L200" s="51" t="s">
        <v>355</v>
      </c>
      <c r="M200" s="33">
        <v>100.65</v>
      </c>
      <c r="N200" s="51" t="s">
        <v>153</v>
      </c>
      <c r="O200" s="33">
        <v>100.65</v>
      </c>
      <c r="P200" s="33" t="s">
        <v>159</v>
      </c>
      <c r="Q200" s="52">
        <v>8.9900000000000008E-2</v>
      </c>
      <c r="R200" s="52">
        <v>9.0425339999999993E-2</v>
      </c>
      <c r="S200" s="53">
        <v>1.25E-3</v>
      </c>
      <c r="T200" s="33" t="s">
        <v>155</v>
      </c>
      <c r="U200" s="56"/>
      <c r="V200" s="40" t="str">
        <f>VLOOKUP(L200,[1]Sheet1!$B:$C,2,0)</f>
        <v>Earthquake ; Named Storm / U.S., Canada, Caribbean</v>
      </c>
    </row>
    <row r="201" spans="1:22" s="40" customFormat="1" ht="12" x14ac:dyDescent="0.25">
      <c r="A201" s="30" t="s">
        <v>490</v>
      </c>
      <c r="B201" s="33" t="s">
        <v>23</v>
      </c>
      <c r="C201" s="33" t="s">
        <v>32</v>
      </c>
      <c r="D201" s="32" t="s">
        <v>421</v>
      </c>
      <c r="E201" s="48" t="s">
        <v>349</v>
      </c>
      <c r="F201" s="48" t="s">
        <v>161</v>
      </c>
      <c r="G201" s="48" t="s">
        <v>150</v>
      </c>
      <c r="H201" s="48" t="s">
        <v>352</v>
      </c>
      <c r="I201" s="33" t="s">
        <v>151</v>
      </c>
      <c r="J201" s="57">
        <v>45939</v>
      </c>
      <c r="K201" s="50">
        <v>250000</v>
      </c>
      <c r="L201" s="51" t="s">
        <v>356</v>
      </c>
      <c r="M201" s="33">
        <v>102.3</v>
      </c>
      <c r="N201" s="51" t="s">
        <v>153</v>
      </c>
      <c r="O201" s="33">
        <v>102.3</v>
      </c>
      <c r="P201" s="33" t="s">
        <v>154</v>
      </c>
      <c r="Q201" s="52">
        <v>7.8799999999999995E-2</v>
      </c>
      <c r="R201" s="52">
        <v>6.796395999999999E-2</v>
      </c>
      <c r="S201" s="53">
        <v>9.8039215686274508E-4</v>
      </c>
      <c r="T201" s="33" t="s">
        <v>155</v>
      </c>
      <c r="U201" s="56"/>
      <c r="V201" s="40" t="str">
        <f>VLOOKUP(L201,[1]Sheet1!$B:$C,2,0)</f>
        <v>Named Storm / Texas</v>
      </c>
    </row>
    <row r="202" spans="1:22" s="40" customFormat="1" ht="12" x14ac:dyDescent="0.25">
      <c r="A202" s="30" t="s">
        <v>491</v>
      </c>
      <c r="B202" s="33" t="s">
        <v>23</v>
      </c>
      <c r="C202" s="33" t="s">
        <v>24</v>
      </c>
      <c r="D202" s="32" t="s">
        <v>422</v>
      </c>
      <c r="E202" s="48" t="s">
        <v>342</v>
      </c>
      <c r="F202" s="48" t="s">
        <v>149</v>
      </c>
      <c r="G202" s="48" t="s">
        <v>150</v>
      </c>
      <c r="H202" s="48" t="s">
        <v>352</v>
      </c>
      <c r="I202" s="33" t="s">
        <v>151</v>
      </c>
      <c r="J202" s="49">
        <v>45749</v>
      </c>
      <c r="K202" s="55">
        <v>2500000</v>
      </c>
      <c r="L202" s="51" t="s">
        <v>152</v>
      </c>
      <c r="M202" s="33">
        <v>101</v>
      </c>
      <c r="N202" s="51" t="s">
        <v>153</v>
      </c>
      <c r="O202" s="33">
        <v>101</v>
      </c>
      <c r="P202" s="33" t="s">
        <v>154</v>
      </c>
      <c r="Q202" s="52">
        <v>6.1507199764251702E-2</v>
      </c>
      <c r="R202" s="52">
        <v>5.6114689999999995E-2</v>
      </c>
      <c r="S202" s="53">
        <v>1.6666666666666668E-3</v>
      </c>
      <c r="T202" s="33" t="s">
        <v>155</v>
      </c>
      <c r="U202" s="56"/>
      <c r="V202" s="40" t="str">
        <f>VLOOKUP(L202,[1]Sheet1!$B:$C,2,0)</f>
        <v>Earthquake / Japan</v>
      </c>
    </row>
    <row r="203" spans="1:22" s="40" customFormat="1" ht="12" x14ac:dyDescent="0.25">
      <c r="A203" s="30" t="s">
        <v>491</v>
      </c>
      <c r="B203" s="33" t="s">
        <v>23</v>
      </c>
      <c r="C203" s="33" t="s">
        <v>25</v>
      </c>
      <c r="D203" s="32" t="s">
        <v>422</v>
      </c>
      <c r="E203" s="48" t="s">
        <v>343</v>
      </c>
      <c r="F203" s="48" t="s">
        <v>156</v>
      </c>
      <c r="G203" s="48" t="s">
        <v>157</v>
      </c>
      <c r="H203" s="48" t="s">
        <v>352</v>
      </c>
      <c r="I203" s="33" t="s">
        <v>151</v>
      </c>
      <c r="J203" s="49">
        <v>45751</v>
      </c>
      <c r="K203" s="50">
        <v>250000</v>
      </c>
      <c r="L203" s="51" t="s">
        <v>158</v>
      </c>
      <c r="M203" s="33">
        <v>100.2</v>
      </c>
      <c r="N203" s="51" t="s">
        <v>153</v>
      </c>
      <c r="O203" s="33">
        <v>100.2</v>
      </c>
      <c r="P203" s="33" t="s">
        <v>159</v>
      </c>
      <c r="Q203" s="52">
        <v>0.1041071997642517</v>
      </c>
      <c r="R203" s="52">
        <v>0.10300053000000001</v>
      </c>
      <c r="S203" s="53">
        <v>8.3333333333333332E-3</v>
      </c>
      <c r="T203" s="33" t="s">
        <v>155</v>
      </c>
      <c r="U203" s="56"/>
      <c r="V203" s="40" t="str">
        <f>VLOOKUP(L203,[1]Sheet1!$B:$C,2,0)</f>
        <v>Earthquake / U.S., Canada, Puerto Rico, U.S. VI ; Named Storm / U.S., Puerto Rico, U.S. VI</v>
      </c>
    </row>
    <row r="204" spans="1:22" s="40" customFormat="1" ht="12" x14ac:dyDescent="0.25">
      <c r="A204" s="30" t="s">
        <v>491</v>
      </c>
      <c r="B204" s="33" t="s">
        <v>23</v>
      </c>
      <c r="C204" s="33" t="s">
        <v>30</v>
      </c>
      <c r="D204" s="32" t="s">
        <v>422</v>
      </c>
      <c r="E204" s="48" t="s">
        <v>347</v>
      </c>
      <c r="F204" s="48" t="s">
        <v>161</v>
      </c>
      <c r="G204" s="48" t="s">
        <v>157</v>
      </c>
      <c r="H204" s="48" t="s">
        <v>354</v>
      </c>
      <c r="I204" s="33" t="s">
        <v>151</v>
      </c>
      <c r="J204" s="49">
        <v>45755</v>
      </c>
      <c r="K204" s="50">
        <v>250000</v>
      </c>
      <c r="L204" s="51" t="s">
        <v>170</v>
      </c>
      <c r="M204" s="33">
        <v>100.25</v>
      </c>
      <c r="N204" s="51" t="s">
        <v>153</v>
      </c>
      <c r="O204" s="33">
        <v>100.25</v>
      </c>
      <c r="P204" s="33" t="s">
        <v>154</v>
      </c>
      <c r="Q204" s="52">
        <v>7.3784539999999996E-2</v>
      </c>
      <c r="R204" s="52">
        <v>7.5587660000000001E-2</v>
      </c>
      <c r="S204" s="53">
        <v>8.3333333333333339E-4</v>
      </c>
      <c r="T204" s="33" t="s">
        <v>155</v>
      </c>
      <c r="U204" s="56"/>
      <c r="V204" s="40" t="str">
        <f>VLOOKUP(L204,[1]Sheet1!$B:$C,2,0)</f>
        <v>Earthquake / U.S.</v>
      </c>
    </row>
    <row r="205" spans="1:22" s="40" customFormat="1" ht="12" x14ac:dyDescent="0.25">
      <c r="A205" s="30" t="s">
        <v>491</v>
      </c>
      <c r="B205" s="33" t="s">
        <v>23</v>
      </c>
      <c r="C205" s="33" t="s">
        <v>31</v>
      </c>
      <c r="D205" s="32" t="s">
        <v>422</v>
      </c>
      <c r="E205" s="48" t="s">
        <v>348</v>
      </c>
      <c r="F205" s="48" t="s">
        <v>161</v>
      </c>
      <c r="G205" s="48" t="s">
        <v>150</v>
      </c>
      <c r="H205" s="48" t="s">
        <v>352</v>
      </c>
      <c r="I205" s="33" t="s">
        <v>151</v>
      </c>
      <c r="J205" s="49">
        <v>45755</v>
      </c>
      <c r="K205" s="50">
        <v>250000</v>
      </c>
      <c r="L205" s="51" t="s">
        <v>355</v>
      </c>
      <c r="M205" s="33">
        <v>100.65</v>
      </c>
      <c r="N205" s="51" t="s">
        <v>153</v>
      </c>
      <c r="O205" s="33">
        <v>100.65</v>
      </c>
      <c r="P205" s="33" t="s">
        <v>159</v>
      </c>
      <c r="Q205" s="52">
        <v>8.9900000000000008E-2</v>
      </c>
      <c r="R205" s="52">
        <v>9.0425339999999993E-2</v>
      </c>
      <c r="S205" s="53">
        <v>1.25E-3</v>
      </c>
      <c r="T205" s="33" t="s">
        <v>155</v>
      </c>
      <c r="U205" s="56"/>
      <c r="V205" s="40" t="str">
        <f>VLOOKUP(L205,[1]Sheet1!$B:$C,2,0)</f>
        <v>Earthquake ; Named Storm / U.S., Canada, Caribbean</v>
      </c>
    </row>
    <row r="206" spans="1:22" s="40" customFormat="1" ht="12" x14ac:dyDescent="0.25">
      <c r="A206" s="30" t="s">
        <v>491</v>
      </c>
      <c r="B206" s="33" t="s">
        <v>23</v>
      </c>
      <c r="C206" s="33" t="s">
        <v>32</v>
      </c>
      <c r="D206" s="32" t="s">
        <v>422</v>
      </c>
      <c r="E206" s="48" t="s">
        <v>349</v>
      </c>
      <c r="F206" s="48" t="s">
        <v>161</v>
      </c>
      <c r="G206" s="48" t="s">
        <v>150</v>
      </c>
      <c r="H206" s="48" t="s">
        <v>352</v>
      </c>
      <c r="I206" s="33" t="s">
        <v>151</v>
      </c>
      <c r="J206" s="49">
        <v>45756</v>
      </c>
      <c r="K206" s="50">
        <v>250000</v>
      </c>
      <c r="L206" s="51" t="s">
        <v>356</v>
      </c>
      <c r="M206" s="33">
        <v>102.3</v>
      </c>
      <c r="N206" s="51" t="s">
        <v>153</v>
      </c>
      <c r="O206" s="33">
        <v>102.3</v>
      </c>
      <c r="P206" s="33" t="s">
        <v>154</v>
      </c>
      <c r="Q206" s="52">
        <v>7.8799999999999995E-2</v>
      </c>
      <c r="R206" s="52">
        <v>6.796395999999999E-2</v>
      </c>
      <c r="S206" s="53">
        <v>9.8039215686274508E-4</v>
      </c>
      <c r="T206" s="33" t="s">
        <v>155</v>
      </c>
      <c r="U206" s="56"/>
      <c r="V206" s="40" t="str">
        <f>VLOOKUP(L206,[1]Sheet1!$B:$C,2,0)</f>
        <v>Named Storm / Texas</v>
      </c>
    </row>
    <row r="207" spans="1:22" s="40" customFormat="1" ht="12" x14ac:dyDescent="0.25">
      <c r="A207" s="30" t="s">
        <v>492</v>
      </c>
      <c r="B207" s="58" t="s">
        <v>23</v>
      </c>
      <c r="C207" s="58" t="s">
        <v>24</v>
      </c>
      <c r="D207" s="59" t="s">
        <v>423</v>
      </c>
      <c r="E207" s="48" t="s">
        <v>342</v>
      </c>
      <c r="F207" s="48" t="s">
        <v>149</v>
      </c>
      <c r="G207" s="48" t="s">
        <v>150</v>
      </c>
      <c r="H207" s="48" t="s">
        <v>352</v>
      </c>
      <c r="I207" s="58" t="s">
        <v>151</v>
      </c>
      <c r="J207" s="49">
        <v>45749</v>
      </c>
      <c r="K207" s="50">
        <v>250000</v>
      </c>
      <c r="L207" s="51" t="s">
        <v>152</v>
      </c>
      <c r="M207" s="60">
        <v>99</v>
      </c>
      <c r="N207" s="51" t="s">
        <v>153</v>
      </c>
      <c r="O207" s="58">
        <v>101</v>
      </c>
      <c r="P207" s="58" t="s">
        <v>154</v>
      </c>
      <c r="Q207" s="52">
        <v>6.1507199764251702E-2</v>
      </c>
      <c r="R207" s="52">
        <v>5.6114689999999995E-2</v>
      </c>
      <c r="S207" s="53">
        <v>1.6666666666666668E-3</v>
      </c>
      <c r="T207" s="58" t="s">
        <v>155</v>
      </c>
      <c r="U207" s="56"/>
      <c r="V207" s="40" t="str">
        <f>VLOOKUP(L207,[1]Sheet1!$B:$C,2,0)</f>
        <v>Earthquake / Japan</v>
      </c>
    </row>
    <row r="208" spans="1:22" s="40" customFormat="1" ht="12" x14ac:dyDescent="0.25">
      <c r="A208" s="30" t="s">
        <v>492</v>
      </c>
      <c r="B208" s="58" t="s">
        <v>23</v>
      </c>
      <c r="C208" s="58" t="s">
        <v>25</v>
      </c>
      <c r="D208" s="59" t="s">
        <v>423</v>
      </c>
      <c r="E208" s="48" t="s">
        <v>343</v>
      </c>
      <c r="F208" s="48" t="s">
        <v>156</v>
      </c>
      <c r="G208" s="48" t="s">
        <v>157</v>
      </c>
      <c r="H208" s="48" t="s">
        <v>352</v>
      </c>
      <c r="I208" s="58" t="s">
        <v>151</v>
      </c>
      <c r="J208" s="49">
        <v>45751</v>
      </c>
      <c r="K208" s="50">
        <v>250000</v>
      </c>
      <c r="L208" s="51" t="s">
        <v>158</v>
      </c>
      <c r="M208" s="60">
        <v>98.7</v>
      </c>
      <c r="N208" s="51" t="s">
        <v>153</v>
      </c>
      <c r="O208" s="58">
        <v>100.2</v>
      </c>
      <c r="P208" s="58" t="s">
        <v>159</v>
      </c>
      <c r="Q208" s="52">
        <v>0.1041071997642517</v>
      </c>
      <c r="R208" s="52">
        <v>0.10300053000000001</v>
      </c>
      <c r="S208" s="53">
        <v>8.3333333333333332E-3</v>
      </c>
      <c r="T208" s="58" t="s">
        <v>155</v>
      </c>
      <c r="U208" s="56"/>
      <c r="V208" s="40" t="str">
        <f>VLOOKUP(L208,[1]Sheet1!$B:$C,2,0)</f>
        <v>Earthquake / U.S., Canada, Puerto Rico, U.S. VI ; Named Storm / U.S., Puerto Rico, U.S. VI</v>
      </c>
    </row>
    <row r="209" spans="1:22" s="40" customFormat="1" ht="12" x14ac:dyDescent="0.25">
      <c r="A209" s="30" t="s">
        <v>492</v>
      </c>
      <c r="B209" s="58" t="s">
        <v>23</v>
      </c>
      <c r="C209" s="58" t="s">
        <v>30</v>
      </c>
      <c r="D209" s="59" t="s">
        <v>423</v>
      </c>
      <c r="E209" s="48" t="s">
        <v>347</v>
      </c>
      <c r="F209" s="48" t="s">
        <v>161</v>
      </c>
      <c r="G209" s="48" t="s">
        <v>157</v>
      </c>
      <c r="H209" s="48" t="s">
        <v>354</v>
      </c>
      <c r="I209" s="58" t="s">
        <v>151</v>
      </c>
      <c r="J209" s="49">
        <v>45755</v>
      </c>
      <c r="K209" s="50">
        <v>250000</v>
      </c>
      <c r="L209" s="51" t="s">
        <v>170</v>
      </c>
      <c r="M209" s="60">
        <v>100.75</v>
      </c>
      <c r="N209" s="51" t="s">
        <v>153</v>
      </c>
      <c r="O209" s="58">
        <v>100.25</v>
      </c>
      <c r="P209" s="58" t="s">
        <v>154</v>
      </c>
      <c r="Q209" s="52">
        <v>7.3784539999999996E-2</v>
      </c>
      <c r="R209" s="52">
        <v>7.5587660000000001E-2</v>
      </c>
      <c r="S209" s="53">
        <v>8.3333333333333339E-4</v>
      </c>
      <c r="T209" s="58" t="s">
        <v>155</v>
      </c>
      <c r="U209" s="56"/>
      <c r="V209" s="40" t="str">
        <f>VLOOKUP(L209,[1]Sheet1!$B:$C,2,0)</f>
        <v>Earthquake / U.S.</v>
      </c>
    </row>
    <row r="210" spans="1:22" s="40" customFormat="1" ht="12" x14ac:dyDescent="0.25">
      <c r="A210" s="30" t="s">
        <v>492</v>
      </c>
      <c r="B210" s="58" t="s">
        <v>23</v>
      </c>
      <c r="C210" s="58" t="s">
        <v>31</v>
      </c>
      <c r="D210" s="59" t="s">
        <v>423</v>
      </c>
      <c r="E210" s="48" t="s">
        <v>348</v>
      </c>
      <c r="F210" s="48" t="s">
        <v>161</v>
      </c>
      <c r="G210" s="48" t="s">
        <v>150</v>
      </c>
      <c r="H210" s="48" t="s">
        <v>352</v>
      </c>
      <c r="I210" s="58" t="s">
        <v>151</v>
      </c>
      <c r="J210" s="49">
        <v>45755</v>
      </c>
      <c r="K210" s="50">
        <v>250000</v>
      </c>
      <c r="L210" s="51" t="s">
        <v>355</v>
      </c>
      <c r="M210" s="60">
        <v>101.65</v>
      </c>
      <c r="N210" s="51" t="s">
        <v>153</v>
      </c>
      <c r="O210" s="58">
        <v>100.65</v>
      </c>
      <c r="P210" s="58" t="s">
        <v>159</v>
      </c>
      <c r="Q210" s="52">
        <v>8.9900000000000008E-2</v>
      </c>
      <c r="R210" s="52">
        <v>9.0425339999999993E-2</v>
      </c>
      <c r="S210" s="53">
        <v>1.25E-3</v>
      </c>
      <c r="T210" s="58" t="s">
        <v>155</v>
      </c>
      <c r="U210" s="56"/>
      <c r="V210" s="40" t="str">
        <f>VLOOKUP(L210,[1]Sheet1!$B:$C,2,0)</f>
        <v>Earthquake ; Named Storm / U.S., Canada, Caribbean</v>
      </c>
    </row>
    <row r="211" spans="1:22" s="40" customFormat="1" ht="12" x14ac:dyDescent="0.25">
      <c r="A211" s="30" t="s">
        <v>492</v>
      </c>
      <c r="B211" s="58" t="s">
        <v>23</v>
      </c>
      <c r="C211" s="58" t="s">
        <v>32</v>
      </c>
      <c r="D211" s="59" t="s">
        <v>423</v>
      </c>
      <c r="E211" s="48" t="s">
        <v>349</v>
      </c>
      <c r="F211" s="48" t="s">
        <v>161</v>
      </c>
      <c r="G211" s="48" t="s">
        <v>150</v>
      </c>
      <c r="H211" s="48" t="s">
        <v>352</v>
      </c>
      <c r="I211" s="58" t="s">
        <v>151</v>
      </c>
      <c r="J211" s="49">
        <v>45756</v>
      </c>
      <c r="K211" s="50">
        <v>250000</v>
      </c>
      <c r="L211" s="51" t="s">
        <v>356</v>
      </c>
      <c r="M211" s="60">
        <v>103.8</v>
      </c>
      <c r="N211" s="51" t="s">
        <v>153</v>
      </c>
      <c r="O211" s="58">
        <v>102.3</v>
      </c>
      <c r="P211" s="58" t="s">
        <v>154</v>
      </c>
      <c r="Q211" s="52">
        <v>7.8799999999999995E-2</v>
      </c>
      <c r="R211" s="52">
        <v>6.796395999999999E-2</v>
      </c>
      <c r="S211" s="53">
        <v>9.8039215686274508E-4</v>
      </c>
      <c r="T211" s="58" t="s">
        <v>155</v>
      </c>
      <c r="U211" s="56"/>
      <c r="V211" s="40" t="str">
        <f>VLOOKUP(L211,[1]Sheet1!$B:$C,2,0)</f>
        <v>Named Storm / Texas</v>
      </c>
    </row>
    <row r="212" spans="1:22" s="40" customFormat="1" ht="12" x14ac:dyDescent="0.25">
      <c r="A212" s="30" t="s">
        <v>493</v>
      </c>
      <c r="B212" s="58" t="s">
        <v>23</v>
      </c>
      <c r="C212" s="58" t="s">
        <v>24</v>
      </c>
      <c r="D212" s="59" t="s">
        <v>424</v>
      </c>
      <c r="E212" s="48" t="s">
        <v>342</v>
      </c>
      <c r="F212" s="48" t="s">
        <v>149</v>
      </c>
      <c r="G212" s="48" t="s">
        <v>150</v>
      </c>
      <c r="H212" s="48" t="s">
        <v>352</v>
      </c>
      <c r="I212" s="58" t="s">
        <v>151</v>
      </c>
      <c r="J212" s="49">
        <v>45749</v>
      </c>
      <c r="K212" s="50">
        <v>250000</v>
      </c>
      <c r="L212" s="51" t="s">
        <v>152</v>
      </c>
      <c r="M212" s="60">
        <v>100</v>
      </c>
      <c r="N212" s="51" t="s">
        <v>153</v>
      </c>
      <c r="O212" s="58">
        <v>101</v>
      </c>
      <c r="P212" s="58" t="s">
        <v>154</v>
      </c>
      <c r="Q212" s="52">
        <v>6.1507199764251702E-2</v>
      </c>
      <c r="R212" s="52">
        <v>5.6114689999999995E-2</v>
      </c>
      <c r="S212" s="53">
        <v>1.6666666666666668E-3</v>
      </c>
      <c r="T212" s="58" t="s">
        <v>155</v>
      </c>
      <c r="U212" s="61"/>
      <c r="V212" s="40" t="str">
        <f>VLOOKUP(L212,[1]Sheet1!$B:$C,2,0)</f>
        <v>Earthquake / Japan</v>
      </c>
    </row>
    <row r="213" spans="1:22" s="40" customFormat="1" ht="12" x14ac:dyDescent="0.25">
      <c r="A213" s="30" t="s">
        <v>493</v>
      </c>
      <c r="B213" s="58" t="s">
        <v>23</v>
      </c>
      <c r="C213" s="58" t="s">
        <v>25</v>
      </c>
      <c r="D213" s="59" t="s">
        <v>424</v>
      </c>
      <c r="E213" s="48" t="s">
        <v>343</v>
      </c>
      <c r="F213" s="48" t="s">
        <v>156</v>
      </c>
      <c r="G213" s="48" t="s">
        <v>157</v>
      </c>
      <c r="H213" s="48" t="s">
        <v>352</v>
      </c>
      <c r="I213" s="58" t="s">
        <v>151</v>
      </c>
      <c r="J213" s="49">
        <v>45751</v>
      </c>
      <c r="K213" s="50">
        <v>250000</v>
      </c>
      <c r="L213" s="51" t="s">
        <v>158</v>
      </c>
      <c r="M213" s="60">
        <v>100</v>
      </c>
      <c r="N213" s="51" t="s">
        <v>153</v>
      </c>
      <c r="O213" s="58">
        <v>100.2</v>
      </c>
      <c r="P213" s="58" t="s">
        <v>159</v>
      </c>
      <c r="Q213" s="52">
        <v>0.1041071997642517</v>
      </c>
      <c r="R213" s="52">
        <v>0.10300053000000001</v>
      </c>
      <c r="S213" s="53">
        <v>8.3333333333333332E-3</v>
      </c>
      <c r="T213" s="58" t="s">
        <v>155</v>
      </c>
      <c r="U213" s="61"/>
      <c r="V213" s="40" t="str">
        <f>VLOOKUP(L213,[1]Sheet1!$B:$C,2,0)</f>
        <v>Earthquake / U.S., Canada, Puerto Rico, U.S. VI ; Named Storm / U.S., Puerto Rico, U.S. VI</v>
      </c>
    </row>
    <row r="214" spans="1:22" s="40" customFormat="1" ht="12" x14ac:dyDescent="0.25">
      <c r="A214" s="30" t="s">
        <v>493</v>
      </c>
      <c r="B214" s="58" t="s">
        <v>23</v>
      </c>
      <c r="C214" s="58" t="s">
        <v>30</v>
      </c>
      <c r="D214" s="59" t="s">
        <v>424</v>
      </c>
      <c r="E214" s="48" t="s">
        <v>347</v>
      </c>
      <c r="F214" s="48" t="s">
        <v>161</v>
      </c>
      <c r="G214" s="48" t="s">
        <v>157</v>
      </c>
      <c r="H214" s="48" t="s">
        <v>354</v>
      </c>
      <c r="I214" s="58" t="s">
        <v>151</v>
      </c>
      <c r="J214" s="49">
        <v>45755</v>
      </c>
      <c r="K214" s="50">
        <v>250000</v>
      </c>
      <c r="L214" s="51" t="s">
        <v>170</v>
      </c>
      <c r="M214" s="60">
        <v>100</v>
      </c>
      <c r="N214" s="51" t="s">
        <v>153</v>
      </c>
      <c r="O214" s="58">
        <v>100.25</v>
      </c>
      <c r="P214" s="58" t="s">
        <v>154</v>
      </c>
      <c r="Q214" s="52">
        <v>7.3784539999999996E-2</v>
      </c>
      <c r="R214" s="52">
        <v>7.5587660000000001E-2</v>
      </c>
      <c r="S214" s="53">
        <v>8.3333333333333339E-4</v>
      </c>
      <c r="T214" s="58" t="s">
        <v>155</v>
      </c>
      <c r="U214" s="61"/>
      <c r="V214" s="40" t="str">
        <f>VLOOKUP(L214,[1]Sheet1!$B:$C,2,0)</f>
        <v>Earthquake / U.S.</v>
      </c>
    </row>
    <row r="215" spans="1:22" s="40" customFormat="1" ht="12" x14ac:dyDescent="0.25">
      <c r="A215" s="30" t="s">
        <v>493</v>
      </c>
      <c r="B215" s="58" t="s">
        <v>23</v>
      </c>
      <c r="C215" s="58" t="s">
        <v>31</v>
      </c>
      <c r="D215" s="59" t="s">
        <v>424</v>
      </c>
      <c r="E215" s="48" t="s">
        <v>348</v>
      </c>
      <c r="F215" s="48" t="s">
        <v>161</v>
      </c>
      <c r="G215" s="48" t="s">
        <v>150</v>
      </c>
      <c r="H215" s="48" t="s">
        <v>352</v>
      </c>
      <c r="I215" s="58" t="s">
        <v>151</v>
      </c>
      <c r="J215" s="49">
        <v>45755</v>
      </c>
      <c r="K215" s="50">
        <v>250000</v>
      </c>
      <c r="L215" s="51" t="s">
        <v>355</v>
      </c>
      <c r="M215" s="60">
        <v>100</v>
      </c>
      <c r="N215" s="51" t="s">
        <v>153</v>
      </c>
      <c r="O215" s="58">
        <v>100.65</v>
      </c>
      <c r="P215" s="58" t="s">
        <v>159</v>
      </c>
      <c r="Q215" s="52">
        <v>8.9900000000000008E-2</v>
      </c>
      <c r="R215" s="52">
        <v>9.0425339999999993E-2</v>
      </c>
      <c r="S215" s="53">
        <v>1.25E-3</v>
      </c>
      <c r="T215" s="58" t="s">
        <v>155</v>
      </c>
      <c r="U215" s="61"/>
      <c r="V215" s="40" t="str">
        <f>VLOOKUP(L215,[1]Sheet1!$B:$C,2,0)</f>
        <v>Earthquake ; Named Storm / U.S., Canada, Caribbean</v>
      </c>
    </row>
    <row r="216" spans="1:22" s="40" customFormat="1" ht="12" x14ac:dyDescent="0.25">
      <c r="A216" s="30" t="s">
        <v>493</v>
      </c>
      <c r="B216" s="58" t="s">
        <v>23</v>
      </c>
      <c r="C216" s="58" t="s">
        <v>32</v>
      </c>
      <c r="D216" s="59" t="s">
        <v>424</v>
      </c>
      <c r="E216" s="48" t="s">
        <v>349</v>
      </c>
      <c r="F216" s="48" t="s">
        <v>161</v>
      </c>
      <c r="G216" s="48" t="s">
        <v>150</v>
      </c>
      <c r="H216" s="48" t="s">
        <v>352</v>
      </c>
      <c r="I216" s="58" t="s">
        <v>151</v>
      </c>
      <c r="J216" s="49">
        <v>45756</v>
      </c>
      <c r="K216" s="50">
        <v>250000</v>
      </c>
      <c r="L216" s="51" t="s">
        <v>356</v>
      </c>
      <c r="M216" s="60">
        <v>100</v>
      </c>
      <c r="N216" s="51" t="s">
        <v>153</v>
      </c>
      <c r="O216" s="58">
        <v>102.3</v>
      </c>
      <c r="P216" s="58" t="s">
        <v>154</v>
      </c>
      <c r="Q216" s="52">
        <v>7.8799999999999995E-2</v>
      </c>
      <c r="R216" s="52">
        <v>6.796395999999999E-2</v>
      </c>
      <c r="S216" s="53">
        <v>9.8039215686274508E-4</v>
      </c>
      <c r="T216" s="58" t="s">
        <v>155</v>
      </c>
      <c r="U216" s="61"/>
      <c r="V216" s="40" t="str">
        <f>VLOOKUP(L216,[1]Sheet1!$B:$C,2,0)</f>
        <v>Named Storm / Texas</v>
      </c>
    </row>
    <row r="217" spans="1:22" s="40" customFormat="1" ht="12" x14ac:dyDescent="0.25">
      <c r="A217" s="30" t="s">
        <v>494</v>
      </c>
      <c r="B217" s="58" t="s">
        <v>23</v>
      </c>
      <c r="C217" s="58" t="s">
        <v>24</v>
      </c>
      <c r="D217" s="59" t="s">
        <v>425</v>
      </c>
      <c r="E217" s="48" t="s">
        <v>342</v>
      </c>
      <c r="F217" s="48" t="s">
        <v>149</v>
      </c>
      <c r="G217" s="48" t="s">
        <v>150</v>
      </c>
      <c r="H217" s="48" t="s">
        <v>352</v>
      </c>
      <c r="I217" s="58" t="s">
        <v>151</v>
      </c>
      <c r="J217" s="49">
        <v>45749</v>
      </c>
      <c r="K217" s="50">
        <v>250000</v>
      </c>
      <c r="L217" s="51" t="s">
        <v>152</v>
      </c>
      <c r="M217" s="60">
        <v>95</v>
      </c>
      <c r="N217" s="51" t="s">
        <v>153</v>
      </c>
      <c r="O217" s="58">
        <v>101</v>
      </c>
      <c r="P217" s="58" t="s">
        <v>154</v>
      </c>
      <c r="Q217" s="52">
        <v>6.1507199764251702E-2</v>
      </c>
      <c r="R217" s="52">
        <v>5.6114689999999995E-2</v>
      </c>
      <c r="S217" s="53">
        <v>1.6666666666666668E-3</v>
      </c>
      <c r="T217" s="58" t="s">
        <v>155</v>
      </c>
      <c r="U217" s="56"/>
      <c r="V217" s="40" t="str">
        <f>VLOOKUP(L217,[1]Sheet1!$B:$C,2,0)</f>
        <v>Earthquake / Japan</v>
      </c>
    </row>
    <row r="218" spans="1:22" s="40" customFormat="1" ht="12" x14ac:dyDescent="0.25">
      <c r="A218" s="30" t="s">
        <v>494</v>
      </c>
      <c r="B218" s="58" t="s">
        <v>23</v>
      </c>
      <c r="C218" s="58" t="s">
        <v>25</v>
      </c>
      <c r="D218" s="59" t="s">
        <v>425</v>
      </c>
      <c r="E218" s="48" t="s">
        <v>343</v>
      </c>
      <c r="F218" s="48" t="s">
        <v>156</v>
      </c>
      <c r="G218" s="48" t="s">
        <v>157</v>
      </c>
      <c r="H218" s="48" t="s">
        <v>352</v>
      </c>
      <c r="I218" s="58" t="s">
        <v>151</v>
      </c>
      <c r="J218" s="49">
        <v>45751</v>
      </c>
      <c r="K218" s="50">
        <v>250000</v>
      </c>
      <c r="L218" s="51" t="s">
        <v>158</v>
      </c>
      <c r="M218" s="60">
        <v>95</v>
      </c>
      <c r="N218" s="51" t="s">
        <v>153</v>
      </c>
      <c r="O218" s="58">
        <v>100.2</v>
      </c>
      <c r="P218" s="58" t="s">
        <v>159</v>
      </c>
      <c r="Q218" s="52">
        <v>0.1041071997642517</v>
      </c>
      <c r="R218" s="52">
        <v>0.10300053000000001</v>
      </c>
      <c r="S218" s="53">
        <v>8.3333333333333332E-3</v>
      </c>
      <c r="T218" s="58" t="s">
        <v>155</v>
      </c>
      <c r="U218" s="56"/>
      <c r="V218" s="40" t="str">
        <f>VLOOKUP(L218,[1]Sheet1!$B:$C,2,0)</f>
        <v>Earthquake / U.S., Canada, Puerto Rico, U.S. VI ; Named Storm / U.S., Puerto Rico, U.S. VI</v>
      </c>
    </row>
    <row r="219" spans="1:22" s="40" customFormat="1" ht="12" x14ac:dyDescent="0.25">
      <c r="A219" s="30" t="s">
        <v>494</v>
      </c>
      <c r="B219" s="58" t="s">
        <v>23</v>
      </c>
      <c r="C219" s="58" t="s">
        <v>30</v>
      </c>
      <c r="D219" s="59" t="s">
        <v>425</v>
      </c>
      <c r="E219" s="48" t="s">
        <v>347</v>
      </c>
      <c r="F219" s="48" t="s">
        <v>161</v>
      </c>
      <c r="G219" s="48" t="s">
        <v>157</v>
      </c>
      <c r="H219" s="48" t="s">
        <v>354</v>
      </c>
      <c r="I219" s="58" t="s">
        <v>151</v>
      </c>
      <c r="J219" s="49">
        <v>45755</v>
      </c>
      <c r="K219" s="50">
        <v>250000</v>
      </c>
      <c r="L219" s="51" t="s">
        <v>170</v>
      </c>
      <c r="M219" s="60">
        <v>95</v>
      </c>
      <c r="N219" s="51" t="s">
        <v>153</v>
      </c>
      <c r="O219" s="58">
        <v>100.25</v>
      </c>
      <c r="P219" s="58" t="s">
        <v>154</v>
      </c>
      <c r="Q219" s="52">
        <v>7.3784539999999996E-2</v>
      </c>
      <c r="R219" s="52">
        <v>7.5587660000000001E-2</v>
      </c>
      <c r="S219" s="53">
        <v>8.3333333333333339E-4</v>
      </c>
      <c r="T219" s="58" t="s">
        <v>155</v>
      </c>
      <c r="U219" s="56"/>
      <c r="V219" s="40" t="str">
        <f>VLOOKUP(L219,[1]Sheet1!$B:$C,2,0)</f>
        <v>Earthquake / U.S.</v>
      </c>
    </row>
    <row r="220" spans="1:22" s="40" customFormat="1" ht="12" x14ac:dyDescent="0.25">
      <c r="A220" s="30" t="s">
        <v>494</v>
      </c>
      <c r="B220" s="58" t="s">
        <v>23</v>
      </c>
      <c r="C220" s="58" t="s">
        <v>31</v>
      </c>
      <c r="D220" s="59" t="s">
        <v>425</v>
      </c>
      <c r="E220" s="48" t="s">
        <v>348</v>
      </c>
      <c r="F220" s="48" t="s">
        <v>161</v>
      </c>
      <c r="G220" s="48" t="s">
        <v>150</v>
      </c>
      <c r="H220" s="48" t="s">
        <v>352</v>
      </c>
      <c r="I220" s="58" t="s">
        <v>151</v>
      </c>
      <c r="J220" s="49">
        <v>45755</v>
      </c>
      <c r="K220" s="50">
        <v>250000</v>
      </c>
      <c r="L220" s="51" t="s">
        <v>355</v>
      </c>
      <c r="M220" s="60">
        <v>95</v>
      </c>
      <c r="N220" s="51" t="s">
        <v>153</v>
      </c>
      <c r="O220" s="58">
        <v>100.65</v>
      </c>
      <c r="P220" s="58" t="s">
        <v>159</v>
      </c>
      <c r="Q220" s="52">
        <v>8.9900000000000008E-2</v>
      </c>
      <c r="R220" s="52">
        <v>9.0425339999999993E-2</v>
      </c>
      <c r="S220" s="53">
        <v>1.25E-3</v>
      </c>
      <c r="T220" s="58" t="s">
        <v>155</v>
      </c>
      <c r="U220" s="56"/>
      <c r="V220" s="40" t="str">
        <f>VLOOKUP(L220,[1]Sheet1!$B:$C,2,0)</f>
        <v>Earthquake ; Named Storm / U.S., Canada, Caribbean</v>
      </c>
    </row>
    <row r="221" spans="1:22" s="40" customFormat="1" ht="12" x14ac:dyDescent="0.25">
      <c r="A221" s="30" t="s">
        <v>494</v>
      </c>
      <c r="B221" s="58" t="s">
        <v>23</v>
      </c>
      <c r="C221" s="58" t="s">
        <v>32</v>
      </c>
      <c r="D221" s="59" t="s">
        <v>425</v>
      </c>
      <c r="E221" s="48" t="s">
        <v>349</v>
      </c>
      <c r="F221" s="48" t="s">
        <v>161</v>
      </c>
      <c r="G221" s="48" t="s">
        <v>150</v>
      </c>
      <c r="H221" s="48" t="s">
        <v>352</v>
      </c>
      <c r="I221" s="58" t="s">
        <v>151</v>
      </c>
      <c r="J221" s="49">
        <v>45756</v>
      </c>
      <c r="K221" s="50">
        <v>250000</v>
      </c>
      <c r="L221" s="51" t="s">
        <v>356</v>
      </c>
      <c r="M221" s="60">
        <v>95</v>
      </c>
      <c r="N221" s="51" t="s">
        <v>153</v>
      </c>
      <c r="O221" s="58">
        <v>102.3</v>
      </c>
      <c r="P221" s="58" t="s">
        <v>154</v>
      </c>
      <c r="Q221" s="52">
        <v>7.8799999999999995E-2</v>
      </c>
      <c r="R221" s="52">
        <v>6.796395999999999E-2</v>
      </c>
      <c r="S221" s="53">
        <v>9.8039215686274508E-4</v>
      </c>
      <c r="T221" s="58" t="s">
        <v>155</v>
      </c>
      <c r="U221" s="56"/>
      <c r="V221" s="40" t="str">
        <f>VLOOKUP(L221,[1]Sheet1!$B:$C,2,0)</f>
        <v>Named Storm / Texas</v>
      </c>
    </row>
    <row r="222" spans="1:22" s="40" customFormat="1" ht="12" x14ac:dyDescent="0.25">
      <c r="A222" s="30" t="s">
        <v>495</v>
      </c>
      <c r="B222" s="58" t="s">
        <v>23</v>
      </c>
      <c r="C222" s="58" t="s">
        <v>24</v>
      </c>
      <c r="D222" s="59" t="s">
        <v>426</v>
      </c>
      <c r="E222" s="48" t="s">
        <v>342</v>
      </c>
      <c r="F222" s="48" t="s">
        <v>149</v>
      </c>
      <c r="G222" s="48" t="s">
        <v>150</v>
      </c>
      <c r="H222" s="48" t="s">
        <v>352</v>
      </c>
      <c r="I222" s="58" t="s">
        <v>151</v>
      </c>
      <c r="J222" s="57">
        <v>46305</v>
      </c>
      <c r="K222" s="50">
        <v>250000</v>
      </c>
      <c r="L222" s="51" t="s">
        <v>152</v>
      </c>
      <c r="M222" s="33">
        <v>101</v>
      </c>
      <c r="N222" s="51" t="s">
        <v>153</v>
      </c>
      <c r="O222" s="58">
        <v>101</v>
      </c>
      <c r="P222" s="58" t="s">
        <v>154</v>
      </c>
      <c r="Q222" s="52">
        <v>6.1507199764251702E-2</v>
      </c>
      <c r="R222" s="52">
        <v>5.6114689999999995E-2</v>
      </c>
      <c r="S222" s="53">
        <v>1.6666666666666668E-3</v>
      </c>
      <c r="T222" s="58" t="s">
        <v>155</v>
      </c>
      <c r="U222" s="56"/>
      <c r="V222" s="40" t="str">
        <f>VLOOKUP(L222,[1]Sheet1!$B:$C,2,0)</f>
        <v>Earthquake / Japan</v>
      </c>
    </row>
    <row r="223" spans="1:22" s="40" customFormat="1" ht="12" x14ac:dyDescent="0.25">
      <c r="A223" s="30" t="s">
        <v>495</v>
      </c>
      <c r="B223" s="58" t="s">
        <v>23</v>
      </c>
      <c r="C223" s="58" t="s">
        <v>25</v>
      </c>
      <c r="D223" s="59" t="s">
        <v>426</v>
      </c>
      <c r="E223" s="48" t="s">
        <v>343</v>
      </c>
      <c r="F223" s="48" t="s">
        <v>156</v>
      </c>
      <c r="G223" s="48" t="s">
        <v>157</v>
      </c>
      <c r="H223" s="48" t="s">
        <v>352</v>
      </c>
      <c r="I223" s="58" t="s">
        <v>151</v>
      </c>
      <c r="J223" s="49">
        <v>45751</v>
      </c>
      <c r="K223" s="50">
        <v>250000</v>
      </c>
      <c r="L223" s="51" t="s">
        <v>158</v>
      </c>
      <c r="M223" s="33">
        <v>100.2</v>
      </c>
      <c r="N223" s="51" t="s">
        <v>153</v>
      </c>
      <c r="O223" s="58">
        <v>100.2</v>
      </c>
      <c r="P223" s="58" t="s">
        <v>159</v>
      </c>
      <c r="Q223" s="52">
        <v>0.1041071997642517</v>
      </c>
      <c r="R223" s="52">
        <v>0.10300053000000001</v>
      </c>
      <c r="S223" s="53">
        <v>8.3333333333333332E-3</v>
      </c>
      <c r="T223" s="58" t="s">
        <v>155</v>
      </c>
      <c r="U223" s="56"/>
      <c r="V223" s="40" t="str">
        <f>VLOOKUP(L223,[1]Sheet1!$B:$C,2,0)</f>
        <v>Earthquake / U.S., Canada, Puerto Rico, U.S. VI ; Named Storm / U.S., Puerto Rico, U.S. VI</v>
      </c>
    </row>
    <row r="224" spans="1:22" s="40" customFormat="1" ht="12" x14ac:dyDescent="0.25">
      <c r="A224" s="30" t="s">
        <v>495</v>
      </c>
      <c r="B224" s="58" t="s">
        <v>23</v>
      </c>
      <c r="C224" s="58" t="s">
        <v>30</v>
      </c>
      <c r="D224" s="59" t="s">
        <v>426</v>
      </c>
      <c r="E224" s="48" t="s">
        <v>347</v>
      </c>
      <c r="F224" s="48" t="s">
        <v>161</v>
      </c>
      <c r="G224" s="48" t="s">
        <v>157</v>
      </c>
      <c r="H224" s="48" t="s">
        <v>354</v>
      </c>
      <c r="I224" s="58" t="s">
        <v>151</v>
      </c>
      <c r="J224" s="49">
        <v>45755</v>
      </c>
      <c r="K224" s="50">
        <v>250000</v>
      </c>
      <c r="L224" s="51" t="s">
        <v>170</v>
      </c>
      <c r="M224" s="33">
        <v>100.25</v>
      </c>
      <c r="N224" s="51" t="s">
        <v>153</v>
      </c>
      <c r="O224" s="58">
        <v>100.25</v>
      </c>
      <c r="P224" s="58" t="s">
        <v>154</v>
      </c>
      <c r="Q224" s="52">
        <v>7.3784539999999996E-2</v>
      </c>
      <c r="R224" s="52">
        <v>7.5587660000000001E-2</v>
      </c>
      <c r="S224" s="53">
        <v>8.3333333333333339E-4</v>
      </c>
      <c r="T224" s="58" t="s">
        <v>155</v>
      </c>
      <c r="U224" s="56"/>
      <c r="V224" s="40" t="str">
        <f>VLOOKUP(L224,[1]Sheet1!$B:$C,2,0)</f>
        <v>Earthquake / U.S.</v>
      </c>
    </row>
    <row r="225" spans="1:22" s="40" customFormat="1" ht="12" x14ac:dyDescent="0.25">
      <c r="A225" s="30" t="s">
        <v>495</v>
      </c>
      <c r="B225" s="58" t="s">
        <v>23</v>
      </c>
      <c r="C225" s="58" t="s">
        <v>31</v>
      </c>
      <c r="D225" s="59" t="s">
        <v>426</v>
      </c>
      <c r="E225" s="48" t="s">
        <v>348</v>
      </c>
      <c r="F225" s="48" t="s">
        <v>161</v>
      </c>
      <c r="G225" s="48" t="s">
        <v>150</v>
      </c>
      <c r="H225" s="48" t="s">
        <v>352</v>
      </c>
      <c r="I225" s="58" t="s">
        <v>151</v>
      </c>
      <c r="J225" s="49">
        <v>45755</v>
      </c>
      <c r="K225" s="50">
        <v>250000</v>
      </c>
      <c r="L225" s="51" t="s">
        <v>355</v>
      </c>
      <c r="M225" s="33">
        <v>100.65</v>
      </c>
      <c r="N225" s="51" t="s">
        <v>153</v>
      </c>
      <c r="O225" s="58">
        <v>100.65</v>
      </c>
      <c r="P225" s="58" t="s">
        <v>159</v>
      </c>
      <c r="Q225" s="52">
        <v>8.9900000000000008E-2</v>
      </c>
      <c r="R225" s="52">
        <v>9.0425339999999993E-2</v>
      </c>
      <c r="S225" s="53">
        <v>1.25E-3</v>
      </c>
      <c r="T225" s="58" t="s">
        <v>155</v>
      </c>
      <c r="U225" s="56"/>
      <c r="V225" s="40" t="str">
        <f>VLOOKUP(L225,[1]Sheet1!$B:$C,2,0)</f>
        <v>Earthquake ; Named Storm / U.S., Canada, Caribbean</v>
      </c>
    </row>
    <row r="226" spans="1:22" s="40" customFormat="1" ht="12" x14ac:dyDescent="0.25">
      <c r="A226" s="30" t="s">
        <v>495</v>
      </c>
      <c r="B226" s="58" t="s">
        <v>23</v>
      </c>
      <c r="C226" s="58" t="s">
        <v>32</v>
      </c>
      <c r="D226" s="59" t="s">
        <v>426</v>
      </c>
      <c r="E226" s="48" t="s">
        <v>349</v>
      </c>
      <c r="F226" s="48" t="s">
        <v>161</v>
      </c>
      <c r="G226" s="48" t="s">
        <v>150</v>
      </c>
      <c r="H226" s="48" t="s">
        <v>352</v>
      </c>
      <c r="I226" s="58" t="s">
        <v>151</v>
      </c>
      <c r="J226" s="49">
        <v>45756</v>
      </c>
      <c r="K226" s="50">
        <v>250000</v>
      </c>
      <c r="L226" s="51" t="s">
        <v>356</v>
      </c>
      <c r="M226" s="33">
        <v>102.3</v>
      </c>
      <c r="N226" s="51" t="s">
        <v>153</v>
      </c>
      <c r="O226" s="58">
        <v>102.3</v>
      </c>
      <c r="P226" s="58" t="s">
        <v>154</v>
      </c>
      <c r="Q226" s="52">
        <v>7.8799999999999995E-2</v>
      </c>
      <c r="R226" s="52">
        <v>6.796395999999999E-2</v>
      </c>
      <c r="S226" s="53">
        <v>9.8039215686274508E-4</v>
      </c>
      <c r="T226" s="58" t="s">
        <v>155</v>
      </c>
      <c r="U226" s="56"/>
      <c r="V226" s="40" t="str">
        <f>VLOOKUP(L226,[1]Sheet1!$B:$C,2,0)</f>
        <v>Named Storm / Texas</v>
      </c>
    </row>
    <row r="227" spans="1:22" s="40" customFormat="1" ht="12" x14ac:dyDescent="0.25">
      <c r="A227" s="30" t="s">
        <v>496</v>
      </c>
      <c r="B227" s="62" t="s">
        <v>23</v>
      </c>
      <c r="C227" s="62" t="s">
        <v>24</v>
      </c>
      <c r="D227" s="63" t="s">
        <v>427</v>
      </c>
      <c r="E227" s="40" t="s">
        <v>346</v>
      </c>
      <c r="F227" s="40" t="s">
        <v>167</v>
      </c>
      <c r="G227" s="40" t="s">
        <v>168</v>
      </c>
      <c r="H227" s="40">
        <v>2024</v>
      </c>
      <c r="I227" s="62" t="s">
        <v>151</v>
      </c>
      <c r="J227" s="36">
        <v>46481</v>
      </c>
      <c r="K227" s="37">
        <v>250000</v>
      </c>
      <c r="L227" s="36" t="s">
        <v>169</v>
      </c>
      <c r="M227" s="38">
        <v>103.95</v>
      </c>
      <c r="N227" s="51" t="s">
        <v>153</v>
      </c>
      <c r="O227" s="38">
        <v>103.95</v>
      </c>
      <c r="P227" s="58" t="s">
        <v>159</v>
      </c>
      <c r="Q227" s="64">
        <v>9.5799999999999996E-2</v>
      </c>
      <c r="R227" s="64">
        <v>3.4925629999999999E-2</v>
      </c>
      <c r="S227" s="40">
        <v>8.3333333333333339E-4</v>
      </c>
      <c r="T227" s="58" t="s">
        <v>155</v>
      </c>
      <c r="U227" s="32"/>
      <c r="V227" s="40" t="str">
        <f>VLOOKUP(L227,[1]Sheet1!$B:$C,2,0)</f>
        <v>Earthquake / California</v>
      </c>
    </row>
    <row r="228" spans="1:22" s="40" customFormat="1" ht="12" x14ac:dyDescent="0.25">
      <c r="A228" s="30" t="s">
        <v>496</v>
      </c>
      <c r="B228" s="62" t="s">
        <v>23</v>
      </c>
      <c r="C228" s="62" t="s">
        <v>25</v>
      </c>
      <c r="D228" s="63" t="s">
        <v>427</v>
      </c>
      <c r="E228" s="40" t="s">
        <v>366</v>
      </c>
      <c r="F228" s="40" t="s">
        <v>161</v>
      </c>
      <c r="G228" s="40" t="s">
        <v>162</v>
      </c>
      <c r="I228" s="62" t="s">
        <v>151</v>
      </c>
      <c r="J228" s="36">
        <v>46493</v>
      </c>
      <c r="K228" s="37">
        <v>250000</v>
      </c>
      <c r="L228" s="36" t="s">
        <v>367</v>
      </c>
      <c r="M228" s="38">
        <v>102.4</v>
      </c>
      <c r="N228" s="51" t="s">
        <v>153</v>
      </c>
      <c r="O228" s="38">
        <v>102.4</v>
      </c>
      <c r="P228" s="58" t="s">
        <v>159</v>
      </c>
      <c r="Q228" s="64">
        <v>8.352121925354003E-2</v>
      </c>
      <c r="R228" s="39">
        <v>6.2274010000000005E-2</v>
      </c>
      <c r="S228" s="64">
        <v>1.6666666666666668E-3</v>
      </c>
      <c r="T228" s="58" t="s">
        <v>155</v>
      </c>
      <c r="U228" s="32"/>
      <c r="V228" s="40" t="str">
        <f>VLOOKUP(L228,[1]Sheet1!$B:$C,2,0)</f>
        <v>Earthquake / U.S., Mexico</v>
      </c>
    </row>
    <row r="229" spans="1:22" s="40" customFormat="1" ht="12" x14ac:dyDescent="0.25">
      <c r="A229" s="30" t="s">
        <v>496</v>
      </c>
      <c r="B229" s="62" t="s">
        <v>23</v>
      </c>
      <c r="C229" s="62" t="s">
        <v>26</v>
      </c>
      <c r="D229" s="63" t="s">
        <v>427</v>
      </c>
      <c r="E229" s="40" t="s">
        <v>428</v>
      </c>
      <c r="F229" s="40" t="s">
        <v>149</v>
      </c>
      <c r="G229" s="40" t="s">
        <v>429</v>
      </c>
      <c r="H229" s="40">
        <v>2023</v>
      </c>
      <c r="I229" s="62" t="s">
        <v>151</v>
      </c>
      <c r="J229" s="36">
        <v>46223</v>
      </c>
      <c r="K229" s="37">
        <v>250000</v>
      </c>
      <c r="L229" s="40" t="s">
        <v>430</v>
      </c>
      <c r="M229" s="41">
        <v>100.37</v>
      </c>
      <c r="N229" s="51" t="s">
        <v>153</v>
      </c>
      <c r="O229" s="41">
        <v>100.37</v>
      </c>
      <c r="P229" s="58" t="s">
        <v>159</v>
      </c>
      <c r="Q229" s="64">
        <v>5.8700000000000002E-2</v>
      </c>
      <c r="R229" s="39">
        <v>8.6999999999999994E-3</v>
      </c>
      <c r="S229" s="64">
        <v>4.5454545454545455E-4</v>
      </c>
      <c r="T229" s="58" t="s">
        <v>155</v>
      </c>
      <c r="U229" s="32"/>
      <c r="V229" s="40" t="str">
        <f>VLOOKUP(L229,[1]Sheet1!$B:$C,2,0)</f>
        <v>Earthquake / Japan</v>
      </c>
    </row>
    <row r="230" spans="1:22" s="40" customFormat="1" ht="12" x14ac:dyDescent="0.25">
      <c r="A230" s="30" t="s">
        <v>496</v>
      </c>
      <c r="B230" s="62" t="s">
        <v>23</v>
      </c>
      <c r="C230" s="62" t="s">
        <v>28</v>
      </c>
      <c r="D230" s="63" t="s">
        <v>427</v>
      </c>
      <c r="E230" s="40" t="s">
        <v>428</v>
      </c>
      <c r="F230" s="40" t="s">
        <v>394</v>
      </c>
      <c r="G230" s="40" t="s">
        <v>429</v>
      </c>
      <c r="H230" s="40">
        <v>2023</v>
      </c>
      <c r="I230" s="62" t="s">
        <v>151</v>
      </c>
      <c r="J230" s="36">
        <v>46223</v>
      </c>
      <c r="K230" s="37">
        <v>250000</v>
      </c>
      <c r="L230" s="40" t="s">
        <v>431</v>
      </c>
      <c r="M230" s="41">
        <v>100.75</v>
      </c>
      <c r="N230" s="51" t="s">
        <v>153</v>
      </c>
      <c r="O230" s="41">
        <v>100.75</v>
      </c>
      <c r="P230" s="58" t="s">
        <v>159</v>
      </c>
      <c r="Q230" s="64">
        <v>6.5699999999999995E-2</v>
      </c>
      <c r="R230" s="39">
        <v>1.5699999999999992E-2</v>
      </c>
      <c r="S230" s="64">
        <v>1.1111111111111111E-3</v>
      </c>
      <c r="T230" s="58" t="s">
        <v>155</v>
      </c>
      <c r="U230" s="32"/>
      <c r="V230" s="40" t="str">
        <f>VLOOKUP(L230,[1]Sheet1!$B:$C,2,0)</f>
        <v>Earthquake / Japan</v>
      </c>
    </row>
    <row r="231" spans="1:22" s="40" customFormat="1" ht="12" x14ac:dyDescent="0.25">
      <c r="A231" s="30" t="s">
        <v>496</v>
      </c>
      <c r="B231" s="62" t="s">
        <v>23</v>
      </c>
      <c r="C231" s="62" t="s">
        <v>29</v>
      </c>
      <c r="D231" s="63" t="s">
        <v>427</v>
      </c>
      <c r="E231" s="40" t="s">
        <v>432</v>
      </c>
      <c r="F231" s="40" t="s">
        <v>433</v>
      </c>
      <c r="G231" s="40" t="s">
        <v>391</v>
      </c>
      <c r="H231" s="40">
        <v>2024</v>
      </c>
      <c r="I231" s="62" t="s">
        <v>151</v>
      </c>
      <c r="J231" s="36">
        <v>46223</v>
      </c>
      <c r="K231" s="37">
        <v>250000</v>
      </c>
      <c r="L231" s="40" t="s">
        <v>434</v>
      </c>
      <c r="M231" s="41">
        <v>104.68</v>
      </c>
      <c r="N231" s="51" t="s">
        <v>153</v>
      </c>
      <c r="O231" s="41">
        <v>104.68</v>
      </c>
      <c r="P231" s="58" t="s">
        <v>159</v>
      </c>
      <c r="Q231" s="64">
        <v>0.13109999999999999</v>
      </c>
      <c r="R231" s="39">
        <v>8.1099999999999992E-2</v>
      </c>
      <c r="S231" s="64">
        <v>1.0869565217391304E-3</v>
      </c>
      <c r="T231" s="58" t="s">
        <v>155</v>
      </c>
      <c r="U231" s="32"/>
      <c r="V231" s="40" t="str">
        <f>VLOOKUP(L231,[1]Sheet1!$B:$C,2,0)</f>
        <v>Earthquake / California</v>
      </c>
    </row>
    <row r="232" spans="1:22" s="40" customFormat="1" ht="12" x14ac:dyDescent="0.25">
      <c r="A232" s="30" t="s">
        <v>496</v>
      </c>
      <c r="B232" s="62" t="s">
        <v>23</v>
      </c>
      <c r="C232" s="62" t="s">
        <v>30</v>
      </c>
      <c r="D232" s="63" t="s">
        <v>427</v>
      </c>
      <c r="E232" s="40" t="s">
        <v>346</v>
      </c>
      <c r="F232" s="40" t="s">
        <v>435</v>
      </c>
      <c r="G232" s="40" t="s">
        <v>168</v>
      </c>
      <c r="H232" s="40">
        <v>2024</v>
      </c>
      <c r="I232" s="62" t="s">
        <v>151</v>
      </c>
      <c r="J232" s="36">
        <v>46223</v>
      </c>
      <c r="K232" s="37">
        <v>250000</v>
      </c>
      <c r="L232" s="40" t="s">
        <v>436</v>
      </c>
      <c r="M232" s="41">
        <v>104.34</v>
      </c>
      <c r="N232" s="51" t="s">
        <v>153</v>
      </c>
      <c r="O232" s="41">
        <v>104.34</v>
      </c>
      <c r="P232" s="58" t="s">
        <v>159</v>
      </c>
      <c r="Q232" s="64">
        <v>0.12590000000000001</v>
      </c>
      <c r="R232" s="39">
        <v>7.5900000000000009E-2</v>
      </c>
      <c r="S232" s="64">
        <v>7.1428571428571429E-4</v>
      </c>
      <c r="T232" s="58" t="s">
        <v>155</v>
      </c>
      <c r="U232" s="32"/>
      <c r="V232" s="40" t="str">
        <f>VLOOKUP(L232,[1]Sheet1!$B:$C,2,0)</f>
        <v>Earthquake / California</v>
      </c>
    </row>
    <row r="233" spans="1:22" s="40" customFormat="1" ht="12" x14ac:dyDescent="0.25">
      <c r="A233" s="30" t="s">
        <v>496</v>
      </c>
      <c r="B233" s="62" t="s">
        <v>23</v>
      </c>
      <c r="C233" s="62" t="s">
        <v>31</v>
      </c>
      <c r="D233" s="63" t="s">
        <v>427</v>
      </c>
      <c r="E233" s="40" t="s">
        <v>437</v>
      </c>
      <c r="F233" s="40" t="s">
        <v>161</v>
      </c>
      <c r="G233" s="40" t="s">
        <v>165</v>
      </c>
      <c r="H233" s="40">
        <v>2025</v>
      </c>
      <c r="I233" s="62" t="s">
        <v>151</v>
      </c>
      <c r="J233" s="36">
        <v>46223</v>
      </c>
      <c r="K233" s="37">
        <v>250000</v>
      </c>
      <c r="L233" s="40" t="s">
        <v>438</v>
      </c>
      <c r="M233" s="41">
        <v>106.83</v>
      </c>
      <c r="N233" s="51" t="s">
        <v>153</v>
      </c>
      <c r="O233" s="41">
        <v>106.83</v>
      </c>
      <c r="P233" s="58" t="s">
        <v>159</v>
      </c>
      <c r="Q233" s="64">
        <v>0.173328993320465</v>
      </c>
      <c r="R233" s="39">
        <v>0.123328993320465</v>
      </c>
      <c r="S233" s="64">
        <v>3.1250000000000002E-3</v>
      </c>
      <c r="T233" s="58" t="s">
        <v>155</v>
      </c>
      <c r="U233" s="32"/>
      <c r="V233" s="40" t="str">
        <f>VLOOKUP(L233,[1]Sheet1!$B:$C,2,0)</f>
        <v>Earthquake / U.S., Canada</v>
      </c>
    </row>
    <row r="234" spans="1:22" s="40" customFormat="1" ht="12" x14ac:dyDescent="0.25">
      <c r="A234" s="30" t="s">
        <v>497</v>
      </c>
      <c r="B234" s="62" t="s">
        <v>23</v>
      </c>
      <c r="C234" s="62" t="s">
        <v>24</v>
      </c>
      <c r="D234" s="63" t="s">
        <v>439</v>
      </c>
      <c r="E234" s="40" t="s">
        <v>344</v>
      </c>
      <c r="F234" s="40" t="s">
        <v>161</v>
      </c>
      <c r="G234" s="40" t="s">
        <v>162</v>
      </c>
      <c r="H234" s="40">
        <v>2025</v>
      </c>
      <c r="I234" s="62" t="s">
        <v>151</v>
      </c>
      <c r="J234" s="36">
        <v>46481</v>
      </c>
      <c r="K234" s="37">
        <v>250000</v>
      </c>
      <c r="L234" s="40" t="s">
        <v>163</v>
      </c>
      <c r="M234" s="40">
        <v>102.85</v>
      </c>
      <c r="N234" s="51" t="s">
        <v>153</v>
      </c>
      <c r="O234" s="40">
        <v>102.85</v>
      </c>
      <c r="P234" s="40" t="s">
        <v>159</v>
      </c>
      <c r="Q234" s="64">
        <v>9.2521219253540038E-2</v>
      </c>
      <c r="R234" s="42">
        <v>6.5428009999999995E-2</v>
      </c>
      <c r="S234" s="64">
        <v>1.25E-3</v>
      </c>
      <c r="T234" s="58" t="s">
        <v>155</v>
      </c>
      <c r="U234" s="32"/>
      <c r="V234" s="40" t="str">
        <f>VLOOKUP(L234,[1]Sheet1!$B:$C,2,0)</f>
        <v>Named Storm / North Carolina</v>
      </c>
    </row>
    <row r="235" spans="1:22" s="40" customFormat="1" ht="12" x14ac:dyDescent="0.25">
      <c r="A235" s="30" t="s">
        <v>497</v>
      </c>
      <c r="B235" s="62" t="s">
        <v>23</v>
      </c>
      <c r="C235" s="62" t="s">
        <v>25</v>
      </c>
      <c r="D235" s="63" t="s">
        <v>439</v>
      </c>
      <c r="E235" s="40" t="s">
        <v>344</v>
      </c>
      <c r="F235" s="40" t="s">
        <v>156</v>
      </c>
      <c r="G235" s="40" t="s">
        <v>162</v>
      </c>
      <c r="H235" s="40">
        <v>2025</v>
      </c>
      <c r="I235" s="62" t="s">
        <v>151</v>
      </c>
      <c r="J235" s="36">
        <v>46223</v>
      </c>
      <c r="K235" s="37">
        <v>250000</v>
      </c>
      <c r="L235" s="40" t="s">
        <v>441</v>
      </c>
      <c r="M235" s="40">
        <v>106.08</v>
      </c>
      <c r="N235" s="51" t="s">
        <v>153</v>
      </c>
      <c r="O235" s="40">
        <v>106.08</v>
      </c>
      <c r="P235" s="40" t="s">
        <v>159</v>
      </c>
      <c r="Q235" s="64">
        <v>0.1183</v>
      </c>
      <c r="R235" s="42">
        <v>6.83E-2</v>
      </c>
      <c r="S235" s="65">
        <v>1.25E-3</v>
      </c>
      <c r="T235" s="58" t="s">
        <v>155</v>
      </c>
      <c r="U235" s="32"/>
      <c r="V235" s="40" t="str">
        <f>VLOOKUP(L235,[1]Sheet1!$B:$C,2,0)</f>
        <v>Named Storm / North Carolina</v>
      </c>
    </row>
    <row r="236" spans="1:22" s="40" customFormat="1" ht="12" x14ac:dyDescent="0.25">
      <c r="A236" s="30" t="s">
        <v>497</v>
      </c>
      <c r="B236" s="62" t="s">
        <v>23</v>
      </c>
      <c r="C236" s="62" t="s">
        <v>26</v>
      </c>
      <c r="D236" s="63" t="s">
        <v>439</v>
      </c>
      <c r="E236" s="40" t="s">
        <v>502</v>
      </c>
      <c r="F236" s="40" t="s">
        <v>161</v>
      </c>
      <c r="G236" s="40" t="s">
        <v>162</v>
      </c>
      <c r="H236" s="40">
        <v>2025</v>
      </c>
      <c r="I236" s="62" t="s">
        <v>151</v>
      </c>
      <c r="J236" s="36">
        <v>46223</v>
      </c>
      <c r="K236" s="37">
        <v>250000</v>
      </c>
      <c r="L236" s="40" t="s">
        <v>443</v>
      </c>
      <c r="M236" s="40">
        <v>104.34</v>
      </c>
      <c r="N236" s="51" t="s">
        <v>153</v>
      </c>
      <c r="O236" s="40">
        <v>104.34</v>
      </c>
      <c r="P236" s="40" t="s">
        <v>159</v>
      </c>
      <c r="Q236" s="64">
        <v>0.13830316781997701</v>
      </c>
      <c r="R236" s="42">
        <v>8.8303167819977005E-2</v>
      </c>
      <c r="S236" s="65">
        <v>1.6666666666666668E-3</v>
      </c>
      <c r="T236" s="58" t="s">
        <v>155</v>
      </c>
      <c r="U236" s="32"/>
      <c r="V236" s="40" t="str">
        <f>VLOOKUP(L236,[1]Sheet1!$B:$C,2,0)</f>
        <v>Named Storm / Florida, Louisiana</v>
      </c>
    </row>
    <row r="237" spans="1:22" s="40" customFormat="1" ht="12" x14ac:dyDescent="0.25">
      <c r="A237" s="30" t="s">
        <v>497</v>
      </c>
      <c r="B237" s="62" t="s">
        <v>23</v>
      </c>
      <c r="C237" s="62" t="s">
        <v>28</v>
      </c>
      <c r="D237" s="63" t="s">
        <v>439</v>
      </c>
      <c r="E237" s="40" t="s">
        <v>502</v>
      </c>
      <c r="F237" s="40" t="s">
        <v>156</v>
      </c>
      <c r="G237" s="40" t="s">
        <v>162</v>
      </c>
      <c r="H237" s="40">
        <v>2025</v>
      </c>
      <c r="I237" s="62" t="s">
        <v>151</v>
      </c>
      <c r="J237" s="36">
        <v>46223</v>
      </c>
      <c r="K237" s="37">
        <v>250000</v>
      </c>
      <c r="L237" s="40" t="s">
        <v>445</v>
      </c>
      <c r="M237" s="40">
        <v>104.87</v>
      </c>
      <c r="N237" s="51" t="s">
        <v>153</v>
      </c>
      <c r="O237" s="40">
        <v>104.87</v>
      </c>
      <c r="P237" s="40" t="s">
        <v>159</v>
      </c>
      <c r="Q237" s="64">
        <v>0.17330316781997701</v>
      </c>
      <c r="R237" s="42">
        <v>0.12330316781997701</v>
      </c>
      <c r="S237" s="65">
        <v>5.5555555555555558E-3</v>
      </c>
      <c r="T237" s="58" t="s">
        <v>155</v>
      </c>
      <c r="U237" s="32"/>
      <c r="V237" s="40" t="str">
        <f>VLOOKUP(L237,[1]Sheet1!$B:$C,2,0)</f>
        <v>Named Storm / Florida, Louisiana</v>
      </c>
    </row>
    <row r="238" spans="1:22" s="40" customFormat="1" ht="12" x14ac:dyDescent="0.25">
      <c r="A238" s="30" t="s">
        <v>497</v>
      </c>
      <c r="B238" s="62" t="s">
        <v>23</v>
      </c>
      <c r="C238" s="62" t="s">
        <v>29</v>
      </c>
      <c r="D238" s="63" t="s">
        <v>439</v>
      </c>
      <c r="E238" s="40" t="s">
        <v>395</v>
      </c>
      <c r="F238" s="40" t="s">
        <v>161</v>
      </c>
      <c r="G238" s="40" t="s">
        <v>150</v>
      </c>
      <c r="H238" s="40">
        <v>2025</v>
      </c>
      <c r="I238" s="62" t="s">
        <v>151</v>
      </c>
      <c r="J238" s="36">
        <v>46223</v>
      </c>
      <c r="K238" s="37">
        <v>250000</v>
      </c>
      <c r="L238" s="40" t="s">
        <v>396</v>
      </c>
      <c r="M238" s="40">
        <v>107.78</v>
      </c>
      <c r="N238" s="51" t="s">
        <v>153</v>
      </c>
      <c r="O238" s="40">
        <v>107.78</v>
      </c>
      <c r="P238" s="40" t="s">
        <v>159</v>
      </c>
      <c r="Q238" s="64">
        <v>0.14050000000000001</v>
      </c>
      <c r="R238" s="42">
        <v>9.0500000000000011E-2</v>
      </c>
      <c r="S238" s="65">
        <v>1E-3</v>
      </c>
      <c r="T238" s="58" t="s">
        <v>155</v>
      </c>
      <c r="U238" s="32"/>
      <c r="V238" s="40" t="str">
        <f>VLOOKUP(L238,[1]Sheet1!$B:$C,2,0)</f>
        <v>Named Storm / Florida</v>
      </c>
    </row>
    <row r="239" spans="1:22" s="40" customFormat="1" ht="12" x14ac:dyDescent="0.25">
      <c r="A239" s="30" t="s">
        <v>497</v>
      </c>
      <c r="B239" s="62" t="s">
        <v>23</v>
      </c>
      <c r="C239" s="62" t="s">
        <v>30</v>
      </c>
      <c r="D239" s="63" t="s">
        <v>439</v>
      </c>
      <c r="E239" s="40" t="s">
        <v>395</v>
      </c>
      <c r="F239" s="40" t="s">
        <v>156</v>
      </c>
      <c r="G239" s="40" t="s">
        <v>150</v>
      </c>
      <c r="H239" s="40">
        <v>2025</v>
      </c>
      <c r="I239" s="62" t="s">
        <v>151</v>
      </c>
      <c r="J239" s="36">
        <v>46223</v>
      </c>
      <c r="K239" s="37">
        <v>250000</v>
      </c>
      <c r="L239" s="40" t="s">
        <v>397</v>
      </c>
      <c r="M239" s="40">
        <v>107.81</v>
      </c>
      <c r="N239" s="51" t="s">
        <v>153</v>
      </c>
      <c r="O239" s="40">
        <v>107.81</v>
      </c>
      <c r="P239" s="40" t="s">
        <v>159</v>
      </c>
      <c r="Q239" s="64">
        <v>0.15529999999999999</v>
      </c>
      <c r="R239" s="42">
        <v>0.10529999999999999</v>
      </c>
      <c r="S239" s="65">
        <v>1.6666666666666668E-3</v>
      </c>
      <c r="T239" s="58" t="s">
        <v>155</v>
      </c>
      <c r="U239" s="32"/>
      <c r="V239" s="40" t="str">
        <f>VLOOKUP(L239,[1]Sheet1!$B:$C,2,0)</f>
        <v>Named Storm / Florida</v>
      </c>
    </row>
    <row r="240" spans="1:22" s="40" customFormat="1" ht="12" x14ac:dyDescent="0.25">
      <c r="A240" s="30" t="s">
        <v>497</v>
      </c>
      <c r="B240" s="62" t="s">
        <v>23</v>
      </c>
      <c r="C240" s="62" t="s">
        <v>31</v>
      </c>
      <c r="D240" s="63" t="s">
        <v>439</v>
      </c>
      <c r="E240" s="40" t="s">
        <v>503</v>
      </c>
      <c r="F240" s="40" t="s">
        <v>161</v>
      </c>
      <c r="G240" s="40" t="s">
        <v>162</v>
      </c>
      <c r="H240" s="40">
        <v>2025</v>
      </c>
      <c r="I240" s="62" t="s">
        <v>151</v>
      </c>
      <c r="J240" s="36">
        <v>46223</v>
      </c>
      <c r="K240" s="37">
        <v>250000</v>
      </c>
      <c r="L240" s="40" t="s">
        <v>449</v>
      </c>
      <c r="M240" s="40">
        <v>101.12</v>
      </c>
      <c r="N240" s="51" t="s">
        <v>153</v>
      </c>
      <c r="O240" s="40">
        <v>101.12</v>
      </c>
      <c r="P240" s="40" t="s">
        <v>159</v>
      </c>
      <c r="Q240" s="64">
        <v>9.8360000000000003E-2</v>
      </c>
      <c r="R240" s="42">
        <v>4.836E-2</v>
      </c>
      <c r="S240" s="65">
        <v>3.3333333333333335E-3</v>
      </c>
      <c r="T240" s="58" t="s">
        <v>155</v>
      </c>
      <c r="U240" s="32"/>
      <c r="V240" s="40" t="str">
        <f>VLOOKUP(L240,[1]Sheet1!$B:$C,2,0)</f>
        <v>Windstorm ; Severe Thunderstorm / Belgium, Netherlands</v>
      </c>
    </row>
    <row r="241" spans="1:22" s="40" customFormat="1" ht="12" x14ac:dyDescent="0.25">
      <c r="A241" s="30" t="s">
        <v>497</v>
      </c>
      <c r="B241" s="62" t="s">
        <v>23</v>
      </c>
      <c r="C241" s="62" t="s">
        <v>32</v>
      </c>
      <c r="D241" s="63" t="s">
        <v>439</v>
      </c>
      <c r="E241" s="40" t="s">
        <v>504</v>
      </c>
      <c r="F241" s="40" t="s">
        <v>161</v>
      </c>
      <c r="G241" s="40" t="s">
        <v>162</v>
      </c>
      <c r="H241" s="40">
        <v>2025</v>
      </c>
      <c r="I241" s="62" t="s">
        <v>151</v>
      </c>
      <c r="J241" s="36">
        <v>46223</v>
      </c>
      <c r="K241" s="37">
        <v>250000</v>
      </c>
      <c r="L241" s="40" t="s">
        <v>451</v>
      </c>
      <c r="M241" s="40">
        <v>100.97</v>
      </c>
      <c r="N241" s="51" t="s">
        <v>153</v>
      </c>
      <c r="O241" s="40">
        <v>100.97</v>
      </c>
      <c r="P241" s="40" t="s">
        <v>159</v>
      </c>
      <c r="Q241" s="64">
        <v>5.5840000000000001E-2</v>
      </c>
      <c r="R241" s="42">
        <v>5.839999999999998E-3</v>
      </c>
      <c r="S241" s="65">
        <v>1.6666666666666668E-3</v>
      </c>
      <c r="T241" s="58" t="s">
        <v>155</v>
      </c>
      <c r="U241" s="32"/>
      <c r="V241" s="40" t="str">
        <f>VLOOKUP(L241,[1]Sheet1!$B:$C,2,0)</f>
        <v>Windstorm / Europe</v>
      </c>
    </row>
    <row r="242" spans="1:22" s="40" customFormat="1" ht="12" x14ac:dyDescent="0.25">
      <c r="A242" s="30" t="s">
        <v>498</v>
      </c>
      <c r="B242" s="62" t="s">
        <v>23</v>
      </c>
      <c r="C242" s="62" t="s">
        <v>24</v>
      </c>
      <c r="D242" s="63" t="s">
        <v>452</v>
      </c>
      <c r="E242" s="40" t="s">
        <v>344</v>
      </c>
      <c r="F242" s="40" t="s">
        <v>161</v>
      </c>
      <c r="G242" s="40" t="s">
        <v>162</v>
      </c>
      <c r="H242" s="40">
        <v>2025</v>
      </c>
      <c r="I242" s="62" t="s">
        <v>151</v>
      </c>
      <c r="J242" s="36">
        <v>46481</v>
      </c>
      <c r="K242" s="37">
        <v>250000</v>
      </c>
      <c r="L242" s="40" t="s">
        <v>163</v>
      </c>
      <c r="M242" s="40">
        <v>102.85</v>
      </c>
      <c r="N242" s="51" t="s">
        <v>153</v>
      </c>
      <c r="O242" s="40">
        <v>102.85</v>
      </c>
      <c r="P242" s="40" t="s">
        <v>159</v>
      </c>
      <c r="Q242" s="64">
        <v>9.2521219253540038E-2</v>
      </c>
      <c r="R242" s="42">
        <v>6.5428009999999995E-2</v>
      </c>
      <c r="S242" s="64">
        <v>1.25E-3</v>
      </c>
      <c r="T242" s="58" t="s">
        <v>155</v>
      </c>
      <c r="U242" s="32"/>
      <c r="V242" s="40" t="str">
        <f>VLOOKUP(L242,[1]Sheet1!$B:$C,2,0)</f>
        <v>Named Storm / North Carolina</v>
      </c>
    </row>
    <row r="243" spans="1:22" s="40" customFormat="1" ht="12" x14ac:dyDescent="0.25">
      <c r="A243" s="30" t="s">
        <v>498</v>
      </c>
      <c r="B243" s="62" t="s">
        <v>23</v>
      </c>
      <c r="C243" s="62" t="s">
        <v>25</v>
      </c>
      <c r="D243" s="63" t="s">
        <v>452</v>
      </c>
      <c r="E243" s="40" t="s">
        <v>344</v>
      </c>
      <c r="F243" s="40" t="s">
        <v>156</v>
      </c>
      <c r="G243" s="40" t="s">
        <v>162</v>
      </c>
      <c r="H243" s="40">
        <v>2025</v>
      </c>
      <c r="I243" s="62" t="s">
        <v>151</v>
      </c>
      <c r="J243" s="36">
        <v>46223</v>
      </c>
      <c r="K243" s="37">
        <v>250000</v>
      </c>
      <c r="L243" s="40" t="s">
        <v>441</v>
      </c>
      <c r="M243" s="40">
        <v>106.08</v>
      </c>
      <c r="N243" s="51" t="s">
        <v>153</v>
      </c>
      <c r="O243" s="40">
        <v>106.08</v>
      </c>
      <c r="P243" s="40" t="s">
        <v>159</v>
      </c>
      <c r="Q243" s="64">
        <v>0.1183</v>
      </c>
      <c r="R243" s="42">
        <v>6.83E-2</v>
      </c>
      <c r="S243" s="65">
        <v>1.25E-3</v>
      </c>
      <c r="T243" s="58" t="s">
        <v>155</v>
      </c>
      <c r="U243" s="32"/>
      <c r="V243" s="40" t="str">
        <f>VLOOKUP(L243,[1]Sheet1!$B:$C,2,0)</f>
        <v>Named Storm / North Carolina</v>
      </c>
    </row>
    <row r="244" spans="1:22" s="40" customFormat="1" ht="12" x14ac:dyDescent="0.25">
      <c r="A244" s="30" t="s">
        <v>498</v>
      </c>
      <c r="B244" s="62" t="s">
        <v>23</v>
      </c>
      <c r="C244" s="62" t="s">
        <v>26</v>
      </c>
      <c r="D244" s="63" t="s">
        <v>452</v>
      </c>
      <c r="E244" s="40" t="s">
        <v>502</v>
      </c>
      <c r="F244" s="40" t="s">
        <v>161</v>
      </c>
      <c r="G244" s="40" t="s">
        <v>162</v>
      </c>
      <c r="H244" s="40">
        <v>2025</v>
      </c>
      <c r="I244" s="62" t="s">
        <v>151</v>
      </c>
      <c r="J244" s="36">
        <v>46223</v>
      </c>
      <c r="K244" s="37">
        <v>250000</v>
      </c>
      <c r="L244" s="40" t="s">
        <v>443</v>
      </c>
      <c r="M244" s="40">
        <v>104.34</v>
      </c>
      <c r="N244" s="51" t="s">
        <v>153</v>
      </c>
      <c r="O244" s="40">
        <v>104.34</v>
      </c>
      <c r="P244" s="40" t="s">
        <v>159</v>
      </c>
      <c r="Q244" s="64">
        <v>0.13830316781997701</v>
      </c>
      <c r="R244" s="42">
        <v>8.8303167819977005E-2</v>
      </c>
      <c r="S244" s="65">
        <v>1.6666666666666668E-3</v>
      </c>
      <c r="T244" s="58" t="s">
        <v>155</v>
      </c>
      <c r="U244" s="32"/>
      <c r="V244" s="40" t="str">
        <f>VLOOKUP(L244,[1]Sheet1!$B:$C,2,0)</f>
        <v>Named Storm / Florida, Louisiana</v>
      </c>
    </row>
    <row r="245" spans="1:22" s="40" customFormat="1" ht="12" x14ac:dyDescent="0.25">
      <c r="A245" s="30" t="s">
        <v>498</v>
      </c>
      <c r="B245" s="62" t="s">
        <v>23</v>
      </c>
      <c r="C245" s="62" t="s">
        <v>28</v>
      </c>
      <c r="D245" s="63" t="s">
        <v>452</v>
      </c>
      <c r="E245" s="40" t="s">
        <v>502</v>
      </c>
      <c r="F245" s="40" t="s">
        <v>156</v>
      </c>
      <c r="G245" s="40" t="s">
        <v>162</v>
      </c>
      <c r="H245" s="40">
        <v>2025</v>
      </c>
      <c r="I245" s="62" t="s">
        <v>151</v>
      </c>
      <c r="J245" s="36">
        <v>46223</v>
      </c>
      <c r="K245" s="37">
        <v>250000</v>
      </c>
      <c r="L245" s="40" t="s">
        <v>445</v>
      </c>
      <c r="M245" s="40">
        <v>104.87</v>
      </c>
      <c r="N245" s="51" t="s">
        <v>153</v>
      </c>
      <c r="O245" s="40">
        <v>104.87</v>
      </c>
      <c r="P245" s="40" t="s">
        <v>159</v>
      </c>
      <c r="Q245" s="64">
        <v>0.17330316781997701</v>
      </c>
      <c r="R245" s="42">
        <v>0.12330316781997701</v>
      </c>
      <c r="S245" s="65">
        <v>5.5555555555555558E-3</v>
      </c>
      <c r="T245" s="58" t="s">
        <v>155</v>
      </c>
      <c r="U245" s="32"/>
      <c r="V245" s="40" t="str">
        <f>VLOOKUP(L245,[1]Sheet1!$B:$C,2,0)</f>
        <v>Named Storm / Florida, Louisiana</v>
      </c>
    </row>
    <row r="246" spans="1:22" s="40" customFormat="1" ht="12" x14ac:dyDescent="0.25">
      <c r="A246" s="30" t="s">
        <v>498</v>
      </c>
      <c r="B246" s="62" t="s">
        <v>23</v>
      </c>
      <c r="C246" s="62" t="s">
        <v>29</v>
      </c>
      <c r="D246" s="63" t="s">
        <v>452</v>
      </c>
      <c r="E246" s="40" t="s">
        <v>395</v>
      </c>
      <c r="F246" s="40" t="s">
        <v>161</v>
      </c>
      <c r="G246" s="40" t="s">
        <v>150</v>
      </c>
      <c r="H246" s="40">
        <v>2025</v>
      </c>
      <c r="I246" s="62" t="s">
        <v>151</v>
      </c>
      <c r="J246" s="36">
        <v>46223</v>
      </c>
      <c r="K246" s="37">
        <v>250000</v>
      </c>
      <c r="L246" s="40" t="s">
        <v>396</v>
      </c>
      <c r="M246" s="40">
        <v>107.78</v>
      </c>
      <c r="N246" s="51" t="s">
        <v>153</v>
      </c>
      <c r="O246" s="40">
        <v>107.78</v>
      </c>
      <c r="P246" s="40" t="s">
        <v>159</v>
      </c>
      <c r="Q246" s="64">
        <v>0.14050000000000001</v>
      </c>
      <c r="R246" s="42">
        <v>9.0500000000000011E-2</v>
      </c>
      <c r="S246" s="65">
        <v>1E-3</v>
      </c>
      <c r="T246" s="58" t="s">
        <v>155</v>
      </c>
      <c r="U246" s="32"/>
      <c r="V246" s="40" t="str">
        <f>VLOOKUP(L246,[1]Sheet1!$B:$C,2,0)</f>
        <v>Named Storm / Florida</v>
      </c>
    </row>
    <row r="247" spans="1:22" s="40" customFormat="1" ht="12" x14ac:dyDescent="0.25">
      <c r="A247" s="30" t="s">
        <v>498</v>
      </c>
      <c r="B247" s="62" t="s">
        <v>23</v>
      </c>
      <c r="C247" s="62" t="s">
        <v>30</v>
      </c>
      <c r="D247" s="63" t="s">
        <v>452</v>
      </c>
      <c r="E247" s="40" t="s">
        <v>395</v>
      </c>
      <c r="F247" s="40" t="s">
        <v>156</v>
      </c>
      <c r="G247" s="40" t="s">
        <v>150</v>
      </c>
      <c r="H247" s="40">
        <v>2025</v>
      </c>
      <c r="I247" s="62" t="s">
        <v>151</v>
      </c>
      <c r="J247" s="36">
        <v>46223</v>
      </c>
      <c r="K247" s="37">
        <v>250000</v>
      </c>
      <c r="L247" s="40" t="s">
        <v>397</v>
      </c>
      <c r="M247" s="40">
        <v>107.81</v>
      </c>
      <c r="N247" s="51" t="s">
        <v>153</v>
      </c>
      <c r="O247" s="40">
        <v>107.81</v>
      </c>
      <c r="P247" s="40" t="s">
        <v>159</v>
      </c>
      <c r="Q247" s="64">
        <v>0.15529999999999999</v>
      </c>
      <c r="R247" s="42">
        <v>0.10529999999999999</v>
      </c>
      <c r="S247" s="65">
        <v>1.6666666666666668E-3</v>
      </c>
      <c r="T247" s="58" t="s">
        <v>155</v>
      </c>
      <c r="U247" s="32"/>
      <c r="V247" s="40" t="str">
        <f>VLOOKUP(L247,[1]Sheet1!$B:$C,2,0)</f>
        <v>Named Storm / Florida</v>
      </c>
    </row>
    <row r="248" spans="1:22" s="40" customFormat="1" ht="12" x14ac:dyDescent="0.25">
      <c r="A248" s="30" t="s">
        <v>498</v>
      </c>
      <c r="B248" s="62" t="s">
        <v>23</v>
      </c>
      <c r="C248" s="62" t="s">
        <v>31</v>
      </c>
      <c r="D248" s="63" t="s">
        <v>452</v>
      </c>
      <c r="E248" s="40" t="s">
        <v>503</v>
      </c>
      <c r="F248" s="40" t="s">
        <v>161</v>
      </c>
      <c r="G248" s="40" t="s">
        <v>162</v>
      </c>
      <c r="H248" s="40">
        <v>2025</v>
      </c>
      <c r="I248" s="62" t="s">
        <v>151</v>
      </c>
      <c r="J248" s="36">
        <v>46223</v>
      </c>
      <c r="K248" s="37">
        <v>250000</v>
      </c>
      <c r="L248" s="40" t="s">
        <v>449</v>
      </c>
      <c r="M248" s="40">
        <v>101.12</v>
      </c>
      <c r="N248" s="51" t="s">
        <v>153</v>
      </c>
      <c r="O248" s="40">
        <v>101.12</v>
      </c>
      <c r="P248" s="40" t="s">
        <v>159</v>
      </c>
      <c r="Q248" s="64">
        <v>9.8360000000000003E-2</v>
      </c>
      <c r="R248" s="42">
        <v>4.836E-2</v>
      </c>
      <c r="S248" s="65">
        <v>3.3333333333333335E-3</v>
      </c>
      <c r="T248" s="58" t="s">
        <v>155</v>
      </c>
      <c r="U248" s="32"/>
      <c r="V248" s="40" t="str">
        <f>VLOOKUP(L248,[1]Sheet1!$B:$C,2,0)</f>
        <v>Windstorm ; Severe Thunderstorm / Belgium, Netherlands</v>
      </c>
    </row>
    <row r="249" spans="1:22" s="40" customFormat="1" ht="12" x14ac:dyDescent="0.25">
      <c r="A249" s="30" t="s">
        <v>498</v>
      </c>
      <c r="B249" s="62" t="s">
        <v>23</v>
      </c>
      <c r="C249" s="62" t="s">
        <v>32</v>
      </c>
      <c r="D249" s="63" t="s">
        <v>452</v>
      </c>
      <c r="E249" s="40" t="s">
        <v>504</v>
      </c>
      <c r="F249" s="40" t="s">
        <v>161</v>
      </c>
      <c r="G249" s="40" t="s">
        <v>162</v>
      </c>
      <c r="H249" s="40">
        <v>2025</v>
      </c>
      <c r="I249" s="62" t="s">
        <v>151</v>
      </c>
      <c r="J249" s="36">
        <v>46223</v>
      </c>
      <c r="K249" s="37">
        <v>250000</v>
      </c>
      <c r="L249" s="40" t="s">
        <v>451</v>
      </c>
      <c r="M249" s="40">
        <v>100.97</v>
      </c>
      <c r="N249" s="51" t="s">
        <v>153</v>
      </c>
      <c r="O249" s="40">
        <v>100.97</v>
      </c>
      <c r="P249" s="40" t="s">
        <v>159</v>
      </c>
      <c r="Q249" s="64">
        <v>5.5840000000000001E-2</v>
      </c>
      <c r="R249" s="42">
        <v>5.839999999999998E-3</v>
      </c>
      <c r="S249" s="65">
        <v>1.6666666666666668E-3</v>
      </c>
      <c r="T249" s="58" t="s">
        <v>155</v>
      </c>
      <c r="U249" s="32"/>
      <c r="V249" s="40" t="str">
        <f>VLOOKUP(L249,[1]Sheet1!$B:$C,2,0)</f>
        <v>Windstorm / Europe</v>
      </c>
    </row>
    <row r="250" spans="1:22" s="40" customFormat="1" ht="12" x14ac:dyDescent="0.25">
      <c r="A250" s="30" t="s">
        <v>499</v>
      </c>
      <c r="B250" s="62" t="s">
        <v>23</v>
      </c>
      <c r="C250" s="62" t="s">
        <v>24</v>
      </c>
      <c r="D250" s="66" t="s">
        <v>453</v>
      </c>
      <c r="E250" s="40" t="s">
        <v>346</v>
      </c>
      <c r="F250" s="40" t="s">
        <v>167</v>
      </c>
      <c r="G250" s="40" t="s">
        <v>168</v>
      </c>
      <c r="H250" s="40">
        <v>2024</v>
      </c>
      <c r="I250" s="62" t="s">
        <v>151</v>
      </c>
      <c r="J250" s="36">
        <v>46481</v>
      </c>
      <c r="K250" s="37">
        <v>250000</v>
      </c>
      <c r="L250" s="36" t="s">
        <v>169</v>
      </c>
      <c r="M250" s="38">
        <v>103.95</v>
      </c>
      <c r="N250" s="51" t="s">
        <v>153</v>
      </c>
      <c r="O250" s="38">
        <v>103.95</v>
      </c>
      <c r="P250" s="58" t="s">
        <v>159</v>
      </c>
      <c r="Q250" s="64">
        <v>9.5799999999999996E-2</v>
      </c>
      <c r="R250" s="64">
        <v>3.4925629999999999E-2</v>
      </c>
      <c r="S250" s="40">
        <v>8.3333333333333339E-4</v>
      </c>
      <c r="T250" s="58" t="s">
        <v>155</v>
      </c>
      <c r="U250" s="32"/>
      <c r="V250" s="40" t="str">
        <f>VLOOKUP(L250,[1]Sheet1!$B:$C,2,0)</f>
        <v>Earthquake / California</v>
      </c>
    </row>
    <row r="251" spans="1:22" s="40" customFormat="1" ht="12" x14ac:dyDescent="0.25">
      <c r="A251" s="30" t="s">
        <v>499</v>
      </c>
      <c r="B251" s="62" t="s">
        <v>23</v>
      </c>
      <c r="C251" s="62" t="s">
        <v>25</v>
      </c>
      <c r="D251" s="66" t="s">
        <v>453</v>
      </c>
      <c r="E251" s="40" t="s">
        <v>366</v>
      </c>
      <c r="F251" s="40" t="s">
        <v>161</v>
      </c>
      <c r="G251" s="40" t="s">
        <v>162</v>
      </c>
      <c r="I251" s="62" t="s">
        <v>151</v>
      </c>
      <c r="J251" s="36">
        <v>46493</v>
      </c>
      <c r="K251" s="37">
        <v>250000</v>
      </c>
      <c r="L251" s="36" t="s">
        <v>367</v>
      </c>
      <c r="M251" s="38">
        <v>102.4</v>
      </c>
      <c r="N251" s="51" t="s">
        <v>153</v>
      </c>
      <c r="O251" s="38">
        <v>102.4</v>
      </c>
      <c r="P251" s="58" t="s">
        <v>159</v>
      </c>
      <c r="Q251" s="64">
        <v>8.352121925354003E-2</v>
      </c>
      <c r="R251" s="39">
        <v>6.2274010000000005E-2</v>
      </c>
      <c r="S251" s="64">
        <v>1.6666666666666668E-3</v>
      </c>
      <c r="T251" s="58" t="s">
        <v>155</v>
      </c>
      <c r="U251" s="32"/>
      <c r="V251" s="40" t="str">
        <f>VLOOKUP(L251,[1]Sheet1!$B:$C,2,0)</f>
        <v>Earthquake / U.S., Mexico</v>
      </c>
    </row>
    <row r="252" spans="1:22" s="40" customFormat="1" ht="12" x14ac:dyDescent="0.25">
      <c r="A252" s="30" t="s">
        <v>499</v>
      </c>
      <c r="B252" s="62" t="s">
        <v>23</v>
      </c>
      <c r="C252" s="62" t="s">
        <v>26</v>
      </c>
      <c r="D252" s="66" t="s">
        <v>453</v>
      </c>
      <c r="E252" s="40" t="s">
        <v>428</v>
      </c>
      <c r="F252" s="40" t="s">
        <v>149</v>
      </c>
      <c r="G252" s="40" t="s">
        <v>429</v>
      </c>
      <c r="H252" s="40">
        <v>2023</v>
      </c>
      <c r="I252" s="62" t="s">
        <v>151</v>
      </c>
      <c r="J252" s="36">
        <v>46223</v>
      </c>
      <c r="K252" s="37">
        <v>250000</v>
      </c>
      <c r="L252" s="40" t="s">
        <v>430</v>
      </c>
      <c r="M252" s="41">
        <v>100.37</v>
      </c>
      <c r="N252" s="51" t="s">
        <v>153</v>
      </c>
      <c r="O252" s="41">
        <v>100.37</v>
      </c>
      <c r="P252" s="58" t="s">
        <v>159</v>
      </c>
      <c r="Q252" s="64">
        <v>5.8700000000000002E-2</v>
      </c>
      <c r="R252" s="39">
        <v>8.6999999999999994E-3</v>
      </c>
      <c r="S252" s="64">
        <v>4.5454545454545455E-4</v>
      </c>
      <c r="T252" s="58" t="s">
        <v>155</v>
      </c>
      <c r="U252" s="32"/>
      <c r="V252" s="40" t="str">
        <f>VLOOKUP(L252,[1]Sheet1!$B:$C,2,0)</f>
        <v>Earthquake / Japan</v>
      </c>
    </row>
    <row r="253" spans="1:22" s="40" customFormat="1" ht="12" x14ac:dyDescent="0.25">
      <c r="A253" s="30" t="s">
        <v>499</v>
      </c>
      <c r="B253" s="62" t="s">
        <v>23</v>
      </c>
      <c r="C253" s="62" t="s">
        <v>28</v>
      </c>
      <c r="D253" s="66" t="s">
        <v>453</v>
      </c>
      <c r="E253" s="40" t="s">
        <v>428</v>
      </c>
      <c r="F253" s="40" t="s">
        <v>394</v>
      </c>
      <c r="G253" s="40" t="s">
        <v>429</v>
      </c>
      <c r="H253" s="40">
        <v>2023</v>
      </c>
      <c r="I253" s="62" t="s">
        <v>151</v>
      </c>
      <c r="J253" s="36">
        <v>46223</v>
      </c>
      <c r="K253" s="37">
        <v>250000</v>
      </c>
      <c r="L253" s="40" t="s">
        <v>431</v>
      </c>
      <c r="M253" s="41">
        <v>100.75</v>
      </c>
      <c r="N253" s="51" t="s">
        <v>153</v>
      </c>
      <c r="O253" s="41">
        <v>100.75</v>
      </c>
      <c r="P253" s="58" t="s">
        <v>159</v>
      </c>
      <c r="Q253" s="64">
        <v>6.5699999999999995E-2</v>
      </c>
      <c r="R253" s="39">
        <v>1.5699999999999992E-2</v>
      </c>
      <c r="S253" s="64">
        <v>1.1111111111111111E-3</v>
      </c>
      <c r="T253" s="58" t="s">
        <v>155</v>
      </c>
      <c r="U253" s="32"/>
      <c r="V253" s="40" t="str">
        <f>VLOOKUP(L253,[1]Sheet1!$B:$C,2,0)</f>
        <v>Earthquake / Japan</v>
      </c>
    </row>
    <row r="254" spans="1:22" s="40" customFormat="1" ht="12" x14ac:dyDescent="0.25">
      <c r="A254" s="30" t="s">
        <v>499</v>
      </c>
      <c r="B254" s="62" t="s">
        <v>23</v>
      </c>
      <c r="C254" s="62" t="s">
        <v>29</v>
      </c>
      <c r="D254" s="66" t="s">
        <v>453</v>
      </c>
      <c r="E254" s="40" t="s">
        <v>432</v>
      </c>
      <c r="F254" s="40" t="s">
        <v>433</v>
      </c>
      <c r="G254" s="40" t="s">
        <v>391</v>
      </c>
      <c r="H254" s="40">
        <v>2024</v>
      </c>
      <c r="I254" s="62" t="s">
        <v>151</v>
      </c>
      <c r="J254" s="36">
        <v>46223</v>
      </c>
      <c r="K254" s="37">
        <v>250000</v>
      </c>
      <c r="L254" s="40" t="s">
        <v>434</v>
      </c>
      <c r="M254" s="41">
        <v>104.68</v>
      </c>
      <c r="N254" s="51" t="s">
        <v>153</v>
      </c>
      <c r="O254" s="41">
        <v>104.68</v>
      </c>
      <c r="P254" s="58" t="s">
        <v>159</v>
      </c>
      <c r="Q254" s="64">
        <v>0.13109999999999999</v>
      </c>
      <c r="R254" s="39">
        <v>8.1099999999999992E-2</v>
      </c>
      <c r="S254" s="64">
        <v>1.0869565217391304E-3</v>
      </c>
      <c r="T254" s="58" t="s">
        <v>155</v>
      </c>
      <c r="U254" s="32"/>
      <c r="V254" s="40" t="str">
        <f>VLOOKUP(L254,[1]Sheet1!$B:$C,2,0)</f>
        <v>Earthquake / California</v>
      </c>
    </row>
    <row r="255" spans="1:22" s="40" customFormat="1" ht="12" x14ac:dyDescent="0.25">
      <c r="A255" s="30" t="s">
        <v>499</v>
      </c>
      <c r="B255" s="62" t="s">
        <v>23</v>
      </c>
      <c r="C255" s="62" t="s">
        <v>30</v>
      </c>
      <c r="D255" s="66" t="s">
        <v>453</v>
      </c>
      <c r="E255" s="40" t="s">
        <v>346</v>
      </c>
      <c r="F255" s="40" t="s">
        <v>435</v>
      </c>
      <c r="G255" s="40" t="s">
        <v>168</v>
      </c>
      <c r="H255" s="40">
        <v>2024</v>
      </c>
      <c r="I255" s="62" t="s">
        <v>151</v>
      </c>
      <c r="J255" s="36">
        <v>46223</v>
      </c>
      <c r="K255" s="37">
        <v>250000</v>
      </c>
      <c r="L255" s="40" t="s">
        <v>436</v>
      </c>
      <c r="M255" s="41">
        <v>104.34</v>
      </c>
      <c r="N255" s="51" t="s">
        <v>153</v>
      </c>
      <c r="O255" s="41">
        <v>104.34</v>
      </c>
      <c r="P255" s="58" t="s">
        <v>159</v>
      </c>
      <c r="Q255" s="64">
        <v>0.12590000000000001</v>
      </c>
      <c r="R255" s="39">
        <v>7.5900000000000009E-2</v>
      </c>
      <c r="S255" s="64">
        <v>7.1428571428571429E-4</v>
      </c>
      <c r="T255" s="58" t="s">
        <v>155</v>
      </c>
      <c r="U255" s="32"/>
      <c r="V255" s="40" t="str">
        <f>VLOOKUP(L255,[1]Sheet1!$B:$C,2,0)</f>
        <v>Earthquake / California</v>
      </c>
    </row>
    <row r="256" spans="1:22" s="40" customFormat="1" ht="12" x14ac:dyDescent="0.25">
      <c r="A256" s="30" t="s">
        <v>499</v>
      </c>
      <c r="B256" s="62" t="s">
        <v>23</v>
      </c>
      <c r="C256" s="62" t="s">
        <v>31</v>
      </c>
      <c r="D256" s="66" t="s">
        <v>453</v>
      </c>
      <c r="E256" s="40" t="s">
        <v>437</v>
      </c>
      <c r="F256" s="40" t="s">
        <v>161</v>
      </c>
      <c r="G256" s="40" t="s">
        <v>165</v>
      </c>
      <c r="H256" s="40">
        <v>2025</v>
      </c>
      <c r="I256" s="62" t="s">
        <v>151</v>
      </c>
      <c r="J256" s="36">
        <v>46223</v>
      </c>
      <c r="K256" s="37">
        <v>250000</v>
      </c>
      <c r="L256" s="40" t="s">
        <v>438</v>
      </c>
      <c r="M256" s="41">
        <v>106.83</v>
      </c>
      <c r="N256" s="51" t="s">
        <v>153</v>
      </c>
      <c r="O256" s="41">
        <v>106.83</v>
      </c>
      <c r="P256" s="58" t="s">
        <v>159</v>
      </c>
      <c r="Q256" s="64">
        <v>0.173328993320465</v>
      </c>
      <c r="R256" s="39">
        <v>0.123328993320465</v>
      </c>
      <c r="S256" s="64">
        <v>3.1250000000000002E-3</v>
      </c>
      <c r="T256" s="58" t="s">
        <v>155</v>
      </c>
      <c r="U256" s="32"/>
      <c r="V256" s="40" t="str">
        <f>VLOOKUP(L256,[1]Sheet1!$B:$C,2,0)</f>
        <v>Earthquake / U.S., Canada</v>
      </c>
    </row>
  </sheetData>
  <sortState xmlns:xlrd2="http://schemas.microsoft.com/office/spreadsheetml/2017/richdata2" ref="B6:U15">
    <sortCondition ref="D6:D15"/>
  </sortState>
  <mergeCells count="5">
    <mergeCell ref="A1:U1"/>
    <mergeCell ref="A2:B2"/>
    <mergeCell ref="L2:T2"/>
    <mergeCell ref="D2:K2"/>
    <mergeCell ref="U2:AB2"/>
  </mergeCells>
  <phoneticPr fontId="19" type="noConversion"/>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DFB3A-0621-478B-8386-E18A08BD058A}">
  <dimension ref="A1:I256"/>
  <sheetViews>
    <sheetView zoomScaleNormal="100" workbookViewId="0">
      <pane ySplit="5" topLeftCell="A250" activePane="bottomLeft" state="frozen"/>
      <selection pane="bottomLeft" activeCell="B5" sqref="B5"/>
    </sheetView>
  </sheetViews>
  <sheetFormatPr defaultColWidth="8.6640625" defaultRowHeight="14.4" x14ac:dyDescent="0.3"/>
  <cols>
    <col min="1" max="1" width="14" customWidth="1"/>
    <col min="2" max="2" width="12" customWidth="1"/>
    <col min="3" max="3" width="18" customWidth="1"/>
    <col min="4" max="4" width="51.44140625" bestFit="1" customWidth="1"/>
    <col min="5" max="5" width="18" customWidth="1"/>
    <col min="6" max="6" width="34" customWidth="1"/>
    <col min="7" max="7" width="14" customWidth="1"/>
    <col min="8" max="8" width="20" customWidth="1"/>
    <col min="9" max="9" width="40" customWidth="1"/>
  </cols>
  <sheetData>
    <row r="1" spans="1:9" ht="25.5" customHeight="1" x14ac:dyDescent="0.3">
      <c r="A1" s="90" t="s">
        <v>0</v>
      </c>
      <c r="B1" s="91"/>
      <c r="C1" s="91"/>
      <c r="D1" s="91"/>
      <c r="E1" s="91"/>
      <c r="F1" s="91"/>
      <c r="G1" s="91"/>
      <c r="H1" s="91"/>
      <c r="I1" s="91"/>
    </row>
    <row r="2" spans="1:9" ht="19.5" customHeight="1" x14ac:dyDescent="0.3">
      <c r="A2" s="92" t="s">
        <v>1</v>
      </c>
      <c r="B2" s="93"/>
      <c r="C2" s="92" t="s">
        <v>2</v>
      </c>
      <c r="D2" s="94"/>
      <c r="E2" s="93"/>
      <c r="F2" s="92" t="s">
        <v>3</v>
      </c>
      <c r="G2" s="94"/>
      <c r="H2" s="94"/>
      <c r="I2" s="93"/>
    </row>
    <row r="3" spans="1:9" ht="36" customHeight="1" x14ac:dyDescent="0.3">
      <c r="A3" s="9" t="s">
        <v>4</v>
      </c>
      <c r="B3" s="9" t="s">
        <v>5</v>
      </c>
      <c r="C3" s="9" t="s">
        <v>6</v>
      </c>
      <c r="D3" s="9" t="s">
        <v>7</v>
      </c>
      <c r="E3" s="10" t="s">
        <v>8</v>
      </c>
      <c r="F3" s="9" t="s">
        <v>9</v>
      </c>
      <c r="G3" s="11" t="s">
        <v>10</v>
      </c>
      <c r="H3" s="11" t="s">
        <v>11</v>
      </c>
      <c r="I3" s="10" t="s">
        <v>12</v>
      </c>
    </row>
    <row r="4" spans="1:9" ht="24" customHeight="1" x14ac:dyDescent="0.3">
      <c r="A4" s="12" t="s">
        <v>13</v>
      </c>
      <c r="B4" s="12" t="s">
        <v>14</v>
      </c>
      <c r="C4" s="12" t="s">
        <v>15</v>
      </c>
      <c r="D4" s="12" t="s">
        <v>16</v>
      </c>
      <c r="E4" s="12" t="s">
        <v>17</v>
      </c>
      <c r="F4" s="12" t="s">
        <v>18</v>
      </c>
      <c r="G4" s="12" t="s">
        <v>19</v>
      </c>
      <c r="H4" s="12" t="s">
        <v>19</v>
      </c>
      <c r="I4" s="12" t="s">
        <v>19</v>
      </c>
    </row>
    <row r="5" spans="1:9" ht="18" customHeight="1" x14ac:dyDescent="0.3">
      <c r="A5" s="23" t="s">
        <v>20</v>
      </c>
      <c r="B5" s="23" t="s">
        <v>20</v>
      </c>
      <c r="C5" s="23" t="s">
        <v>20</v>
      </c>
      <c r="D5" s="23" t="s">
        <v>20</v>
      </c>
      <c r="E5" s="24" t="s">
        <v>21</v>
      </c>
      <c r="F5" s="23" t="s">
        <v>20</v>
      </c>
      <c r="G5" s="29" t="s">
        <v>22</v>
      </c>
      <c r="H5" s="29" t="s">
        <v>22</v>
      </c>
      <c r="I5" s="24" t="s">
        <v>21</v>
      </c>
    </row>
    <row r="6" spans="1:9" s="47" customFormat="1" ht="12" x14ac:dyDescent="0.25">
      <c r="A6" s="30" t="s">
        <v>114</v>
      </c>
      <c r="B6" s="43" t="s">
        <v>501</v>
      </c>
      <c r="C6" s="33" t="s">
        <v>24</v>
      </c>
      <c r="D6" s="44" t="s">
        <v>505</v>
      </c>
      <c r="E6" s="45"/>
      <c r="F6" s="46"/>
      <c r="G6" s="45"/>
      <c r="H6" s="45"/>
      <c r="I6" s="45"/>
    </row>
    <row r="7" spans="1:9" s="47" customFormat="1" ht="12" x14ac:dyDescent="0.25">
      <c r="A7" s="30" t="s">
        <v>114</v>
      </c>
      <c r="B7" s="43" t="s">
        <v>501</v>
      </c>
      <c r="C7" s="33" t="s">
        <v>25</v>
      </c>
      <c r="D7" s="44" t="s">
        <v>506</v>
      </c>
      <c r="E7" s="45"/>
      <c r="F7" s="46"/>
      <c r="G7" s="45"/>
      <c r="H7" s="45"/>
      <c r="I7" s="45"/>
    </row>
    <row r="8" spans="1:9" s="47" customFormat="1" ht="12" x14ac:dyDescent="0.25">
      <c r="A8" s="30" t="s">
        <v>114</v>
      </c>
      <c r="B8" s="43" t="s">
        <v>501</v>
      </c>
      <c r="C8" s="33" t="s">
        <v>26</v>
      </c>
      <c r="D8" s="44" t="s">
        <v>27</v>
      </c>
      <c r="E8" s="45"/>
      <c r="F8" s="46"/>
      <c r="G8" s="45"/>
      <c r="H8" s="45"/>
      <c r="I8" s="45"/>
    </row>
    <row r="9" spans="1:9" s="47" customFormat="1" ht="12" x14ac:dyDescent="0.25">
      <c r="A9" s="30" t="s">
        <v>114</v>
      </c>
      <c r="B9" s="43" t="s">
        <v>501</v>
      </c>
      <c r="C9" s="33" t="s">
        <v>28</v>
      </c>
      <c r="D9" s="44" t="s">
        <v>507</v>
      </c>
      <c r="E9" s="45"/>
      <c r="F9" s="46"/>
      <c r="G9" s="45"/>
      <c r="H9" s="45"/>
      <c r="I9" s="45"/>
    </row>
    <row r="10" spans="1:9" s="47" customFormat="1" ht="12" x14ac:dyDescent="0.25">
      <c r="A10" s="30" t="s">
        <v>114</v>
      </c>
      <c r="B10" s="43" t="s">
        <v>501</v>
      </c>
      <c r="C10" s="33" t="s">
        <v>29</v>
      </c>
      <c r="D10" s="44" t="s">
        <v>508</v>
      </c>
      <c r="E10" s="45"/>
      <c r="F10" s="46"/>
      <c r="G10" s="45"/>
      <c r="H10" s="45"/>
      <c r="I10" s="45"/>
    </row>
    <row r="11" spans="1:9" s="47" customFormat="1" ht="12" x14ac:dyDescent="0.25">
      <c r="A11" s="30" t="s">
        <v>114</v>
      </c>
      <c r="B11" s="43" t="s">
        <v>501</v>
      </c>
      <c r="C11" s="33" t="s">
        <v>30</v>
      </c>
      <c r="D11" s="44" t="s">
        <v>509</v>
      </c>
      <c r="E11" s="45"/>
      <c r="F11" s="46"/>
      <c r="G11" s="45"/>
      <c r="H11" s="45"/>
      <c r="I11" s="45"/>
    </row>
    <row r="12" spans="1:9" s="47" customFormat="1" ht="12" x14ac:dyDescent="0.25">
      <c r="A12" s="30" t="s">
        <v>114</v>
      </c>
      <c r="B12" s="43" t="s">
        <v>501</v>
      </c>
      <c r="C12" s="33" t="s">
        <v>31</v>
      </c>
      <c r="D12" s="44" t="s">
        <v>510</v>
      </c>
      <c r="E12" s="45"/>
      <c r="F12" s="46"/>
      <c r="G12" s="45"/>
      <c r="H12" s="45"/>
      <c r="I12" s="45"/>
    </row>
    <row r="13" spans="1:9" s="47" customFormat="1" ht="12" x14ac:dyDescent="0.25">
      <c r="A13" s="30" t="s">
        <v>114</v>
      </c>
      <c r="B13" s="43" t="s">
        <v>501</v>
      </c>
      <c r="C13" s="33" t="s">
        <v>32</v>
      </c>
      <c r="D13" s="44" t="s">
        <v>511</v>
      </c>
      <c r="E13" s="45"/>
      <c r="F13" s="46"/>
      <c r="G13" s="45"/>
      <c r="H13" s="45"/>
      <c r="I13" s="45"/>
    </row>
    <row r="14" spans="1:9" s="47" customFormat="1" ht="12" x14ac:dyDescent="0.25">
      <c r="A14" s="30" t="s">
        <v>114</v>
      </c>
      <c r="B14" s="43" t="s">
        <v>501</v>
      </c>
      <c r="C14" s="33" t="s">
        <v>33</v>
      </c>
      <c r="D14" s="44" t="s">
        <v>512</v>
      </c>
      <c r="E14" s="45"/>
      <c r="F14" s="46"/>
      <c r="G14" s="45"/>
      <c r="H14" s="45"/>
      <c r="I14" s="45"/>
    </row>
    <row r="15" spans="1:9" s="47" customFormat="1" ht="12" x14ac:dyDescent="0.25">
      <c r="A15" s="30" t="s">
        <v>114</v>
      </c>
      <c r="B15" s="43" t="s">
        <v>501</v>
      </c>
      <c r="C15" s="33" t="s">
        <v>34</v>
      </c>
      <c r="D15" s="44" t="s">
        <v>513</v>
      </c>
      <c r="E15" s="45"/>
      <c r="F15" s="46"/>
      <c r="G15" s="45"/>
      <c r="H15" s="45"/>
      <c r="I15" s="45"/>
    </row>
    <row r="16" spans="1:9" s="47" customFormat="1" ht="12" x14ac:dyDescent="0.25">
      <c r="A16" s="30" t="s">
        <v>339</v>
      </c>
      <c r="B16" s="43" t="s">
        <v>501</v>
      </c>
      <c r="C16" s="33" t="s">
        <v>24</v>
      </c>
      <c r="D16" s="44" t="s">
        <v>505</v>
      </c>
      <c r="E16" s="45"/>
      <c r="F16" s="46"/>
      <c r="G16" s="45"/>
      <c r="H16" s="45"/>
      <c r="I16" s="45"/>
    </row>
    <row r="17" spans="1:9" s="47" customFormat="1" ht="12" x14ac:dyDescent="0.25">
      <c r="A17" s="30" t="s">
        <v>339</v>
      </c>
      <c r="B17" s="43" t="s">
        <v>501</v>
      </c>
      <c r="C17" s="33" t="s">
        <v>25</v>
      </c>
      <c r="D17" s="44" t="s">
        <v>506</v>
      </c>
      <c r="E17" s="45"/>
      <c r="F17" s="46"/>
      <c r="G17" s="45"/>
      <c r="H17" s="45"/>
      <c r="I17" s="45"/>
    </row>
    <row r="18" spans="1:9" s="47" customFormat="1" ht="12" x14ac:dyDescent="0.25">
      <c r="A18" s="30" t="s">
        <v>339</v>
      </c>
      <c r="B18" s="43" t="s">
        <v>501</v>
      </c>
      <c r="C18" s="33" t="s">
        <v>26</v>
      </c>
      <c r="D18" s="44" t="s">
        <v>27</v>
      </c>
      <c r="E18" s="45"/>
      <c r="F18" s="46"/>
      <c r="G18" s="45"/>
      <c r="H18" s="45"/>
      <c r="I18" s="45"/>
    </row>
    <row r="19" spans="1:9" s="47" customFormat="1" ht="12" x14ac:dyDescent="0.25">
      <c r="A19" s="30" t="s">
        <v>339</v>
      </c>
      <c r="B19" s="43" t="s">
        <v>501</v>
      </c>
      <c r="C19" s="33" t="s">
        <v>28</v>
      </c>
      <c r="D19" s="44" t="s">
        <v>507</v>
      </c>
      <c r="E19" s="45"/>
      <c r="F19" s="46"/>
      <c r="G19" s="45"/>
      <c r="H19" s="45"/>
      <c r="I19" s="45"/>
    </row>
    <row r="20" spans="1:9" s="47" customFormat="1" ht="12" x14ac:dyDescent="0.25">
      <c r="A20" s="30" t="s">
        <v>339</v>
      </c>
      <c r="B20" s="43" t="s">
        <v>501</v>
      </c>
      <c r="C20" s="33" t="s">
        <v>29</v>
      </c>
      <c r="D20" s="44" t="s">
        <v>508</v>
      </c>
      <c r="E20" s="45"/>
      <c r="F20" s="46"/>
      <c r="G20" s="45"/>
      <c r="H20" s="45"/>
      <c r="I20" s="45"/>
    </row>
    <row r="21" spans="1:9" s="47" customFormat="1" ht="12" x14ac:dyDescent="0.25">
      <c r="A21" s="30" t="s">
        <v>339</v>
      </c>
      <c r="B21" s="43" t="s">
        <v>501</v>
      </c>
      <c r="C21" s="33" t="s">
        <v>30</v>
      </c>
      <c r="D21" s="44" t="s">
        <v>509</v>
      </c>
      <c r="E21" s="45"/>
      <c r="F21" s="46"/>
      <c r="G21" s="45"/>
      <c r="H21" s="45"/>
      <c r="I21" s="45"/>
    </row>
    <row r="22" spans="1:9" s="47" customFormat="1" ht="12" x14ac:dyDescent="0.25">
      <c r="A22" s="30" t="s">
        <v>339</v>
      </c>
      <c r="B22" s="43" t="s">
        <v>501</v>
      </c>
      <c r="C22" s="33" t="s">
        <v>31</v>
      </c>
      <c r="D22" s="44" t="s">
        <v>510</v>
      </c>
      <c r="E22" s="45"/>
      <c r="F22" s="46"/>
      <c r="G22" s="45"/>
      <c r="H22" s="45"/>
      <c r="I22" s="45"/>
    </row>
    <row r="23" spans="1:9" s="47" customFormat="1" ht="12" x14ac:dyDescent="0.25">
      <c r="A23" s="30" t="s">
        <v>339</v>
      </c>
      <c r="B23" s="43" t="s">
        <v>501</v>
      </c>
      <c r="C23" s="33" t="s">
        <v>32</v>
      </c>
      <c r="D23" s="44" t="s">
        <v>511</v>
      </c>
      <c r="E23" s="45"/>
      <c r="F23" s="46"/>
      <c r="G23" s="45"/>
      <c r="H23" s="45"/>
      <c r="I23" s="45"/>
    </row>
    <row r="24" spans="1:9" s="47" customFormat="1" ht="12" x14ac:dyDescent="0.25">
      <c r="A24" s="30" t="s">
        <v>339</v>
      </c>
      <c r="B24" s="43" t="s">
        <v>501</v>
      </c>
      <c r="C24" s="33" t="s">
        <v>33</v>
      </c>
      <c r="D24" s="44" t="s">
        <v>512</v>
      </c>
      <c r="E24" s="45"/>
      <c r="F24" s="46"/>
      <c r="G24" s="45"/>
      <c r="H24" s="45"/>
      <c r="I24" s="45"/>
    </row>
    <row r="25" spans="1:9" s="47" customFormat="1" ht="12" x14ac:dyDescent="0.25">
      <c r="A25" s="30" t="s">
        <v>339</v>
      </c>
      <c r="B25" s="43" t="s">
        <v>501</v>
      </c>
      <c r="C25" s="33" t="s">
        <v>34</v>
      </c>
      <c r="D25" s="44" t="s">
        <v>513</v>
      </c>
      <c r="E25" s="45"/>
      <c r="F25" s="46"/>
      <c r="G25" s="45"/>
      <c r="H25" s="45"/>
      <c r="I25" s="45"/>
    </row>
    <row r="26" spans="1:9" s="47" customFormat="1" ht="12" x14ac:dyDescent="0.25">
      <c r="A26" s="30" t="s">
        <v>405</v>
      </c>
      <c r="B26" s="43" t="s">
        <v>501</v>
      </c>
      <c r="C26" s="33" t="s">
        <v>24</v>
      </c>
      <c r="D26" s="44" t="s">
        <v>505</v>
      </c>
      <c r="E26" s="45"/>
      <c r="F26" s="46"/>
      <c r="G26" s="45"/>
      <c r="H26" s="45"/>
      <c r="I26" s="45"/>
    </row>
    <row r="27" spans="1:9" s="47" customFormat="1" ht="12" x14ac:dyDescent="0.25">
      <c r="A27" s="30" t="s">
        <v>405</v>
      </c>
      <c r="B27" s="43" t="s">
        <v>501</v>
      </c>
      <c r="C27" s="33" t="s">
        <v>25</v>
      </c>
      <c r="D27" s="44" t="s">
        <v>506</v>
      </c>
      <c r="E27" s="45"/>
      <c r="F27" s="46"/>
      <c r="G27" s="45"/>
      <c r="H27" s="45"/>
      <c r="I27" s="45"/>
    </row>
    <row r="28" spans="1:9" s="47" customFormat="1" ht="12" x14ac:dyDescent="0.25">
      <c r="A28" s="30" t="s">
        <v>405</v>
      </c>
      <c r="B28" s="43" t="s">
        <v>501</v>
      </c>
      <c r="C28" s="33" t="s">
        <v>26</v>
      </c>
      <c r="D28" s="44" t="s">
        <v>27</v>
      </c>
      <c r="E28" s="45"/>
      <c r="F28" s="46"/>
      <c r="G28" s="45"/>
      <c r="H28" s="45"/>
      <c r="I28" s="45"/>
    </row>
    <row r="29" spans="1:9" s="47" customFormat="1" ht="12" x14ac:dyDescent="0.25">
      <c r="A29" s="30" t="s">
        <v>405</v>
      </c>
      <c r="B29" s="43" t="s">
        <v>501</v>
      </c>
      <c r="C29" s="33" t="s">
        <v>28</v>
      </c>
      <c r="D29" s="44" t="s">
        <v>507</v>
      </c>
      <c r="E29" s="45"/>
      <c r="F29" s="46"/>
      <c r="G29" s="45"/>
      <c r="H29" s="45"/>
      <c r="I29" s="45"/>
    </row>
    <row r="30" spans="1:9" s="47" customFormat="1" ht="12" x14ac:dyDescent="0.25">
      <c r="A30" s="30" t="s">
        <v>405</v>
      </c>
      <c r="B30" s="43" t="s">
        <v>501</v>
      </c>
      <c r="C30" s="33" t="s">
        <v>29</v>
      </c>
      <c r="D30" s="44" t="s">
        <v>508</v>
      </c>
      <c r="E30" s="45"/>
      <c r="F30" s="46"/>
      <c r="G30" s="45"/>
      <c r="H30" s="45"/>
      <c r="I30" s="45"/>
    </row>
    <row r="31" spans="1:9" s="47" customFormat="1" ht="12" x14ac:dyDescent="0.25">
      <c r="A31" s="30" t="s">
        <v>405</v>
      </c>
      <c r="B31" s="43" t="s">
        <v>501</v>
      </c>
      <c r="C31" s="33" t="s">
        <v>30</v>
      </c>
      <c r="D31" s="44" t="s">
        <v>509</v>
      </c>
      <c r="E31" s="45"/>
      <c r="F31" s="46"/>
      <c r="G31" s="45"/>
      <c r="H31" s="45"/>
      <c r="I31" s="45"/>
    </row>
    <row r="32" spans="1:9" s="47" customFormat="1" ht="12" x14ac:dyDescent="0.25">
      <c r="A32" s="30" t="s">
        <v>405</v>
      </c>
      <c r="B32" s="43" t="s">
        <v>501</v>
      </c>
      <c r="C32" s="33" t="s">
        <v>31</v>
      </c>
      <c r="D32" s="44" t="s">
        <v>510</v>
      </c>
      <c r="E32" s="45"/>
      <c r="F32" s="46"/>
      <c r="G32" s="45"/>
      <c r="H32" s="45"/>
      <c r="I32" s="45"/>
    </row>
    <row r="33" spans="1:9" s="47" customFormat="1" ht="12" x14ac:dyDescent="0.25">
      <c r="A33" s="30" t="s">
        <v>405</v>
      </c>
      <c r="B33" s="43" t="s">
        <v>501</v>
      </c>
      <c r="C33" s="33" t="s">
        <v>32</v>
      </c>
      <c r="D33" s="44" t="s">
        <v>511</v>
      </c>
      <c r="E33" s="45"/>
      <c r="F33" s="46"/>
      <c r="G33" s="45"/>
      <c r="H33" s="45"/>
      <c r="I33" s="45"/>
    </row>
    <row r="34" spans="1:9" s="47" customFormat="1" ht="12" x14ac:dyDescent="0.25">
      <c r="A34" s="30" t="s">
        <v>405</v>
      </c>
      <c r="B34" s="43" t="s">
        <v>501</v>
      </c>
      <c r="C34" s="33" t="s">
        <v>33</v>
      </c>
      <c r="D34" s="44" t="s">
        <v>512</v>
      </c>
      <c r="E34" s="45"/>
      <c r="F34" s="46"/>
      <c r="G34" s="45"/>
      <c r="H34" s="45"/>
      <c r="I34" s="45"/>
    </row>
    <row r="35" spans="1:9" s="47" customFormat="1" ht="12" x14ac:dyDescent="0.25">
      <c r="A35" s="30" t="s">
        <v>405</v>
      </c>
      <c r="B35" s="43" t="s">
        <v>501</v>
      </c>
      <c r="C35" s="33" t="s">
        <v>34</v>
      </c>
      <c r="D35" s="44" t="s">
        <v>513</v>
      </c>
      <c r="E35" s="45"/>
      <c r="F35" s="46"/>
      <c r="G35" s="45"/>
      <c r="H35" s="45"/>
      <c r="I35" s="45"/>
    </row>
    <row r="36" spans="1:9" s="47" customFormat="1" ht="12" x14ac:dyDescent="0.25">
      <c r="A36" s="30" t="s">
        <v>406</v>
      </c>
      <c r="B36" s="43" t="s">
        <v>501</v>
      </c>
      <c r="C36" s="33" t="s">
        <v>371</v>
      </c>
      <c r="D36" s="44" t="s">
        <v>563</v>
      </c>
      <c r="E36" s="45"/>
      <c r="F36" s="46"/>
      <c r="G36" s="45"/>
      <c r="H36" s="45"/>
      <c r="I36" s="45"/>
    </row>
    <row r="37" spans="1:9" s="47" customFormat="1" ht="12" x14ac:dyDescent="0.25">
      <c r="A37" s="30" t="s">
        <v>406</v>
      </c>
      <c r="B37" s="43" t="s">
        <v>501</v>
      </c>
      <c r="C37" s="33" t="s">
        <v>373</v>
      </c>
      <c r="D37" s="44" t="s">
        <v>521</v>
      </c>
      <c r="E37" s="45"/>
      <c r="F37" s="46"/>
      <c r="G37" s="45"/>
      <c r="H37" s="45"/>
      <c r="I37" s="45"/>
    </row>
    <row r="38" spans="1:9" s="47" customFormat="1" ht="12" x14ac:dyDescent="0.25">
      <c r="A38" s="30" t="s">
        <v>406</v>
      </c>
      <c r="B38" s="43" t="s">
        <v>501</v>
      </c>
      <c r="C38" s="33" t="s">
        <v>376</v>
      </c>
      <c r="D38" s="44" t="s">
        <v>522</v>
      </c>
      <c r="E38" s="45"/>
      <c r="F38" s="46"/>
      <c r="G38" s="45"/>
      <c r="H38" s="45"/>
      <c r="I38" s="45"/>
    </row>
    <row r="39" spans="1:9" s="47" customFormat="1" ht="12" x14ac:dyDescent="0.25">
      <c r="A39" s="30" t="s">
        <v>406</v>
      </c>
      <c r="B39" s="43" t="s">
        <v>501</v>
      </c>
      <c r="C39" s="33" t="s">
        <v>379</v>
      </c>
      <c r="D39" s="44" t="s">
        <v>525</v>
      </c>
      <c r="E39" s="45"/>
      <c r="F39" s="46"/>
      <c r="G39" s="45"/>
      <c r="H39" s="45"/>
      <c r="I39" s="45"/>
    </row>
    <row r="40" spans="1:9" s="47" customFormat="1" ht="12" x14ac:dyDescent="0.25">
      <c r="A40" s="30" t="s">
        <v>406</v>
      </c>
      <c r="B40" s="43" t="s">
        <v>501</v>
      </c>
      <c r="C40" s="33" t="s">
        <v>384</v>
      </c>
      <c r="D40" s="44" t="s">
        <v>530</v>
      </c>
      <c r="E40" s="45"/>
      <c r="F40" s="46"/>
      <c r="G40" s="45"/>
      <c r="H40" s="45"/>
      <c r="I40" s="45"/>
    </row>
    <row r="41" spans="1:9" s="47" customFormat="1" ht="12" x14ac:dyDescent="0.25">
      <c r="A41" s="30" t="s">
        <v>406</v>
      </c>
      <c r="B41" s="43" t="s">
        <v>501</v>
      </c>
      <c r="C41" s="33" t="s">
        <v>385</v>
      </c>
      <c r="D41" s="44" t="s">
        <v>531</v>
      </c>
      <c r="E41" s="45"/>
      <c r="F41" s="46"/>
      <c r="G41" s="45"/>
      <c r="H41" s="45"/>
      <c r="I41" s="45"/>
    </row>
    <row r="42" spans="1:9" s="47" customFormat="1" ht="12" x14ac:dyDescent="0.25">
      <c r="A42" s="30" t="s">
        <v>406</v>
      </c>
      <c r="B42" s="43" t="s">
        <v>501</v>
      </c>
      <c r="C42" s="33" t="s">
        <v>386</v>
      </c>
      <c r="D42" s="44" t="s">
        <v>532</v>
      </c>
      <c r="E42" s="45"/>
      <c r="F42" s="46"/>
      <c r="G42" s="45"/>
      <c r="H42" s="45"/>
      <c r="I42" s="45"/>
    </row>
    <row r="43" spans="1:9" s="47" customFormat="1" ht="12" x14ac:dyDescent="0.25">
      <c r="A43" s="30" t="s">
        <v>468</v>
      </c>
      <c r="B43" s="43" t="s">
        <v>501</v>
      </c>
      <c r="C43" s="33" t="s">
        <v>24</v>
      </c>
      <c r="D43" s="44" t="s">
        <v>505</v>
      </c>
      <c r="E43" s="45"/>
      <c r="F43" s="46"/>
      <c r="G43" s="45"/>
      <c r="H43" s="45"/>
      <c r="I43" s="45"/>
    </row>
    <row r="44" spans="1:9" s="47" customFormat="1" ht="12" x14ac:dyDescent="0.25">
      <c r="A44" s="30" t="s">
        <v>468</v>
      </c>
      <c r="B44" s="43" t="s">
        <v>501</v>
      </c>
      <c r="C44" s="33" t="s">
        <v>25</v>
      </c>
      <c r="D44" s="44" t="s">
        <v>506</v>
      </c>
      <c r="E44" s="45"/>
      <c r="F44" s="46"/>
      <c r="G44" s="45"/>
      <c r="H44" s="45"/>
      <c r="I44" s="45"/>
    </row>
    <row r="45" spans="1:9" s="47" customFormat="1" ht="12" x14ac:dyDescent="0.25">
      <c r="A45" s="30" t="s">
        <v>468</v>
      </c>
      <c r="B45" s="43" t="s">
        <v>501</v>
      </c>
      <c r="C45" s="33" t="s">
        <v>26</v>
      </c>
      <c r="D45" s="44" t="s">
        <v>27</v>
      </c>
      <c r="E45" s="45"/>
      <c r="F45" s="46"/>
      <c r="G45" s="45"/>
      <c r="H45" s="45"/>
      <c r="I45" s="45"/>
    </row>
    <row r="46" spans="1:9" s="47" customFormat="1" ht="12" x14ac:dyDescent="0.25">
      <c r="A46" s="30" t="s">
        <v>468</v>
      </c>
      <c r="B46" s="43" t="s">
        <v>501</v>
      </c>
      <c r="C46" s="33" t="s">
        <v>28</v>
      </c>
      <c r="D46" s="44" t="s">
        <v>507</v>
      </c>
      <c r="E46" s="45"/>
      <c r="F46" s="46"/>
      <c r="G46" s="45"/>
      <c r="H46" s="45"/>
      <c r="I46" s="45"/>
    </row>
    <row r="47" spans="1:9" s="47" customFormat="1" ht="12" x14ac:dyDescent="0.25">
      <c r="A47" s="30" t="s">
        <v>468</v>
      </c>
      <c r="B47" s="43" t="s">
        <v>501</v>
      </c>
      <c r="C47" s="33" t="s">
        <v>29</v>
      </c>
      <c r="D47" s="44" t="s">
        <v>508</v>
      </c>
      <c r="E47" s="45"/>
      <c r="F47" s="46"/>
      <c r="G47" s="45"/>
      <c r="H47" s="45"/>
      <c r="I47" s="45"/>
    </row>
    <row r="48" spans="1:9" s="47" customFormat="1" ht="12" x14ac:dyDescent="0.25">
      <c r="A48" s="30" t="s">
        <v>468</v>
      </c>
      <c r="B48" s="43" t="s">
        <v>501</v>
      </c>
      <c r="C48" s="33" t="s">
        <v>30</v>
      </c>
      <c r="D48" s="44" t="s">
        <v>509</v>
      </c>
      <c r="E48" s="45"/>
      <c r="F48" s="46"/>
      <c r="G48" s="45"/>
      <c r="H48" s="45"/>
      <c r="I48" s="45"/>
    </row>
    <row r="49" spans="1:9" s="47" customFormat="1" ht="12" x14ac:dyDescent="0.25">
      <c r="A49" s="30" t="s">
        <v>468</v>
      </c>
      <c r="B49" s="43" t="s">
        <v>501</v>
      </c>
      <c r="C49" s="33" t="s">
        <v>31</v>
      </c>
      <c r="D49" s="44" t="s">
        <v>510</v>
      </c>
      <c r="E49" s="45"/>
      <c r="F49" s="46"/>
      <c r="G49" s="45"/>
      <c r="H49" s="45"/>
      <c r="I49" s="45"/>
    </row>
    <row r="50" spans="1:9" s="47" customFormat="1" ht="12" x14ac:dyDescent="0.25">
      <c r="A50" s="30" t="s">
        <v>468</v>
      </c>
      <c r="B50" s="43" t="s">
        <v>501</v>
      </c>
      <c r="C50" s="33" t="s">
        <v>360</v>
      </c>
      <c r="D50" s="44" t="s">
        <v>567</v>
      </c>
      <c r="E50" s="45"/>
      <c r="F50" s="46"/>
      <c r="G50" s="45"/>
      <c r="H50" s="45"/>
      <c r="I50" s="45"/>
    </row>
    <row r="51" spans="1:9" s="47" customFormat="1" ht="12" x14ac:dyDescent="0.25">
      <c r="A51" s="30" t="s">
        <v>468</v>
      </c>
      <c r="B51" s="43" t="s">
        <v>501</v>
      </c>
      <c r="C51" s="33" t="s">
        <v>361</v>
      </c>
      <c r="D51" s="44" t="s">
        <v>514</v>
      </c>
      <c r="E51" s="45"/>
      <c r="F51" s="46"/>
      <c r="G51" s="45"/>
      <c r="H51" s="45"/>
      <c r="I51" s="45"/>
    </row>
    <row r="52" spans="1:9" s="47" customFormat="1" ht="12" x14ac:dyDescent="0.25">
      <c r="A52" s="30" t="s">
        <v>468</v>
      </c>
      <c r="B52" s="43" t="s">
        <v>501</v>
      </c>
      <c r="C52" s="33" t="s">
        <v>363</v>
      </c>
      <c r="D52" s="44" t="s">
        <v>515</v>
      </c>
      <c r="E52" s="45"/>
      <c r="F52" s="46"/>
      <c r="G52" s="45"/>
      <c r="H52" s="45"/>
      <c r="I52" s="45"/>
    </row>
    <row r="53" spans="1:9" s="47" customFormat="1" ht="12" x14ac:dyDescent="0.25">
      <c r="A53" s="30" t="s">
        <v>469</v>
      </c>
      <c r="B53" s="43" t="s">
        <v>501</v>
      </c>
      <c r="C53" s="33" t="s">
        <v>24</v>
      </c>
      <c r="D53" s="44" t="s">
        <v>505</v>
      </c>
      <c r="E53" s="45"/>
      <c r="F53" s="46"/>
      <c r="G53" s="45"/>
      <c r="H53" s="45"/>
      <c r="I53" s="45"/>
    </row>
    <row r="54" spans="1:9" s="47" customFormat="1" ht="12" x14ac:dyDescent="0.25">
      <c r="A54" s="30" t="s">
        <v>469</v>
      </c>
      <c r="B54" s="43" t="s">
        <v>501</v>
      </c>
      <c r="C54" s="33" t="s">
        <v>25</v>
      </c>
      <c r="D54" s="44" t="s">
        <v>506</v>
      </c>
      <c r="E54" s="45"/>
      <c r="F54" s="46"/>
      <c r="G54" s="45"/>
      <c r="H54" s="45"/>
      <c r="I54" s="45"/>
    </row>
    <row r="55" spans="1:9" s="47" customFormat="1" ht="12" x14ac:dyDescent="0.25">
      <c r="A55" s="30" t="s">
        <v>469</v>
      </c>
      <c r="B55" s="43" t="s">
        <v>501</v>
      </c>
      <c r="C55" s="33" t="s">
        <v>26</v>
      </c>
      <c r="D55" s="44" t="s">
        <v>27</v>
      </c>
      <c r="E55" s="45"/>
      <c r="F55" s="46"/>
      <c r="G55" s="45"/>
      <c r="H55" s="45"/>
      <c r="I55" s="45"/>
    </row>
    <row r="56" spans="1:9" s="47" customFormat="1" ht="12" x14ac:dyDescent="0.25">
      <c r="A56" s="30" t="s">
        <v>469</v>
      </c>
      <c r="B56" s="43" t="s">
        <v>501</v>
      </c>
      <c r="C56" s="33" t="s">
        <v>28</v>
      </c>
      <c r="D56" s="44" t="s">
        <v>507</v>
      </c>
      <c r="E56" s="45"/>
      <c r="F56" s="46"/>
      <c r="G56" s="45"/>
      <c r="H56" s="45"/>
      <c r="I56" s="45"/>
    </row>
    <row r="57" spans="1:9" s="47" customFormat="1" ht="12" x14ac:dyDescent="0.25">
      <c r="A57" s="30" t="s">
        <v>469</v>
      </c>
      <c r="B57" s="43" t="s">
        <v>501</v>
      </c>
      <c r="C57" s="33" t="s">
        <v>29</v>
      </c>
      <c r="D57" s="44" t="s">
        <v>508</v>
      </c>
      <c r="E57" s="45"/>
      <c r="F57" s="46"/>
      <c r="G57" s="45"/>
      <c r="H57" s="45"/>
      <c r="I57" s="45"/>
    </row>
    <row r="58" spans="1:9" s="47" customFormat="1" ht="12" x14ac:dyDescent="0.25">
      <c r="A58" s="30" t="s">
        <v>469</v>
      </c>
      <c r="B58" s="43" t="s">
        <v>501</v>
      </c>
      <c r="C58" s="33" t="s">
        <v>30</v>
      </c>
      <c r="D58" s="44" t="s">
        <v>509</v>
      </c>
      <c r="E58" s="45"/>
      <c r="F58" s="46"/>
      <c r="G58" s="45"/>
      <c r="H58" s="45"/>
      <c r="I58" s="45"/>
    </row>
    <row r="59" spans="1:9" s="47" customFormat="1" ht="12" x14ac:dyDescent="0.25">
      <c r="A59" s="30" t="s">
        <v>469</v>
      </c>
      <c r="B59" s="43" t="s">
        <v>501</v>
      </c>
      <c r="C59" s="33" t="s">
        <v>31</v>
      </c>
      <c r="D59" s="44" t="s">
        <v>510</v>
      </c>
      <c r="E59" s="45"/>
      <c r="F59" s="46"/>
      <c r="G59" s="45"/>
      <c r="H59" s="45"/>
      <c r="I59" s="45"/>
    </row>
    <row r="60" spans="1:9" s="47" customFormat="1" ht="12" x14ac:dyDescent="0.25">
      <c r="A60" s="30" t="s">
        <v>469</v>
      </c>
      <c r="B60" s="43" t="s">
        <v>501</v>
      </c>
      <c r="C60" s="33" t="s">
        <v>32</v>
      </c>
      <c r="D60" s="44" t="s">
        <v>511</v>
      </c>
      <c r="E60" s="45"/>
      <c r="F60" s="46"/>
      <c r="G60" s="45"/>
      <c r="H60" s="45"/>
      <c r="I60" s="45"/>
    </row>
    <row r="61" spans="1:9" s="47" customFormat="1" ht="12" x14ac:dyDescent="0.25">
      <c r="A61" s="30" t="s">
        <v>469</v>
      </c>
      <c r="B61" s="43" t="s">
        <v>501</v>
      </c>
      <c r="C61" s="33" t="s">
        <v>33</v>
      </c>
      <c r="D61" s="44" t="s">
        <v>512</v>
      </c>
      <c r="E61" s="45"/>
      <c r="F61" s="46"/>
      <c r="G61" s="45"/>
      <c r="H61" s="45"/>
      <c r="I61" s="45"/>
    </row>
    <row r="62" spans="1:9" s="47" customFormat="1" ht="12" x14ac:dyDescent="0.25">
      <c r="A62" s="30" t="s">
        <v>469</v>
      </c>
      <c r="B62" s="43" t="s">
        <v>501</v>
      </c>
      <c r="C62" s="33" t="s">
        <v>34</v>
      </c>
      <c r="D62" s="44" t="s">
        <v>513</v>
      </c>
      <c r="E62" s="45"/>
      <c r="F62" s="46"/>
      <c r="G62" s="45"/>
      <c r="H62" s="45"/>
      <c r="I62" s="45"/>
    </row>
    <row r="63" spans="1:9" s="47" customFormat="1" ht="12" x14ac:dyDescent="0.25">
      <c r="A63" s="30" t="s">
        <v>470</v>
      </c>
      <c r="B63" s="43" t="s">
        <v>501</v>
      </c>
      <c r="C63" s="33" t="s">
        <v>24</v>
      </c>
      <c r="D63" s="44" t="s">
        <v>505</v>
      </c>
      <c r="E63" s="45"/>
      <c r="F63" s="46"/>
      <c r="G63" s="45"/>
      <c r="H63" s="45"/>
      <c r="I63" s="45"/>
    </row>
    <row r="64" spans="1:9" s="47" customFormat="1" ht="12" x14ac:dyDescent="0.25">
      <c r="A64" s="30" t="s">
        <v>470</v>
      </c>
      <c r="B64" s="43" t="s">
        <v>501</v>
      </c>
      <c r="C64" s="33" t="s">
        <v>25</v>
      </c>
      <c r="D64" s="44" t="s">
        <v>506</v>
      </c>
      <c r="E64" s="45"/>
      <c r="F64" s="46"/>
      <c r="G64" s="45"/>
      <c r="H64" s="45"/>
      <c r="I64" s="45"/>
    </row>
    <row r="65" spans="1:9" s="47" customFormat="1" ht="12" x14ac:dyDescent="0.25">
      <c r="A65" s="30" t="s">
        <v>470</v>
      </c>
      <c r="B65" s="43" t="s">
        <v>501</v>
      </c>
      <c r="C65" s="33" t="s">
        <v>26</v>
      </c>
      <c r="D65" s="44" t="s">
        <v>27</v>
      </c>
      <c r="E65" s="45"/>
      <c r="F65" s="46"/>
      <c r="G65" s="45"/>
      <c r="H65" s="45"/>
      <c r="I65" s="45"/>
    </row>
    <row r="66" spans="1:9" s="47" customFormat="1" ht="12" x14ac:dyDescent="0.25">
      <c r="A66" s="30" t="s">
        <v>470</v>
      </c>
      <c r="B66" s="43" t="s">
        <v>501</v>
      </c>
      <c r="C66" s="33" t="s">
        <v>28</v>
      </c>
      <c r="D66" s="44" t="s">
        <v>507</v>
      </c>
      <c r="E66" s="45"/>
      <c r="F66" s="46"/>
      <c r="G66" s="45"/>
      <c r="H66" s="45"/>
      <c r="I66" s="45"/>
    </row>
    <row r="67" spans="1:9" s="47" customFormat="1" ht="12" x14ac:dyDescent="0.25">
      <c r="A67" s="30" t="s">
        <v>470</v>
      </c>
      <c r="B67" s="43" t="s">
        <v>501</v>
      </c>
      <c r="C67" s="33" t="s">
        <v>29</v>
      </c>
      <c r="D67" s="44" t="s">
        <v>508</v>
      </c>
      <c r="E67" s="45"/>
      <c r="F67" s="46"/>
      <c r="G67" s="45"/>
      <c r="H67" s="45"/>
      <c r="I67" s="45"/>
    </row>
    <row r="68" spans="1:9" s="47" customFormat="1" ht="12" x14ac:dyDescent="0.25">
      <c r="A68" s="30" t="s">
        <v>470</v>
      </c>
      <c r="B68" s="43" t="s">
        <v>501</v>
      </c>
      <c r="C68" s="33" t="s">
        <v>30</v>
      </c>
      <c r="D68" s="44" t="s">
        <v>509</v>
      </c>
      <c r="E68" s="45"/>
      <c r="F68" s="46"/>
      <c r="G68" s="45"/>
      <c r="H68" s="45"/>
      <c r="I68" s="45"/>
    </row>
    <row r="69" spans="1:9" s="47" customFormat="1" ht="12" x14ac:dyDescent="0.25">
      <c r="A69" s="30" t="s">
        <v>470</v>
      </c>
      <c r="B69" s="43" t="s">
        <v>501</v>
      </c>
      <c r="C69" s="33" t="s">
        <v>31</v>
      </c>
      <c r="D69" s="44" t="s">
        <v>510</v>
      </c>
      <c r="E69" s="45"/>
      <c r="F69" s="46"/>
      <c r="G69" s="45"/>
      <c r="H69" s="45"/>
      <c r="I69" s="45"/>
    </row>
    <row r="70" spans="1:9" s="47" customFormat="1" ht="12" x14ac:dyDescent="0.25">
      <c r="A70" s="30" t="s">
        <v>470</v>
      </c>
      <c r="B70" s="43" t="s">
        <v>501</v>
      </c>
      <c r="C70" s="33" t="s">
        <v>32</v>
      </c>
      <c r="D70" s="44" t="s">
        <v>511</v>
      </c>
      <c r="E70" s="45"/>
      <c r="F70" s="46"/>
      <c r="G70" s="45"/>
      <c r="H70" s="45"/>
      <c r="I70" s="45"/>
    </row>
    <row r="71" spans="1:9" s="47" customFormat="1" ht="12" x14ac:dyDescent="0.25">
      <c r="A71" s="30" t="s">
        <v>470</v>
      </c>
      <c r="B71" s="43" t="s">
        <v>501</v>
      </c>
      <c r="C71" s="33" t="s">
        <v>33</v>
      </c>
      <c r="D71" s="44" t="s">
        <v>512</v>
      </c>
      <c r="E71" s="45"/>
      <c r="F71" s="46"/>
      <c r="G71" s="45"/>
      <c r="H71" s="45"/>
      <c r="I71" s="45"/>
    </row>
    <row r="72" spans="1:9" s="47" customFormat="1" ht="12" x14ac:dyDescent="0.25">
      <c r="A72" s="30" t="s">
        <v>470</v>
      </c>
      <c r="B72" s="43" t="s">
        <v>501</v>
      </c>
      <c r="C72" s="33" t="s">
        <v>34</v>
      </c>
      <c r="D72" s="44" t="s">
        <v>513</v>
      </c>
      <c r="E72" s="45"/>
      <c r="F72" s="46"/>
      <c r="G72" s="45"/>
      <c r="H72" s="45"/>
      <c r="I72" s="45"/>
    </row>
    <row r="73" spans="1:9" s="47" customFormat="1" ht="12" x14ac:dyDescent="0.25">
      <c r="A73" s="30" t="s">
        <v>473</v>
      </c>
      <c r="B73" s="43" t="s">
        <v>501</v>
      </c>
      <c r="C73" s="33" t="s">
        <v>371</v>
      </c>
      <c r="D73" s="44" t="s">
        <v>563</v>
      </c>
      <c r="E73" s="45"/>
      <c r="F73" s="46"/>
      <c r="G73" s="45"/>
      <c r="H73" s="45"/>
      <c r="I73" s="45"/>
    </row>
    <row r="74" spans="1:9" s="47" customFormat="1" ht="12" x14ac:dyDescent="0.25">
      <c r="A74" s="30" t="s">
        <v>473</v>
      </c>
      <c r="B74" s="43" t="s">
        <v>501</v>
      </c>
      <c r="C74" s="33" t="s">
        <v>373</v>
      </c>
      <c r="D74" s="44" t="s">
        <v>521</v>
      </c>
      <c r="E74" s="45"/>
      <c r="F74" s="46"/>
      <c r="G74" s="45"/>
      <c r="H74" s="45"/>
      <c r="I74" s="45"/>
    </row>
    <row r="75" spans="1:9" s="47" customFormat="1" ht="12" x14ac:dyDescent="0.25">
      <c r="A75" s="30" t="s">
        <v>473</v>
      </c>
      <c r="B75" s="43" t="s">
        <v>501</v>
      </c>
      <c r="C75" s="33" t="s">
        <v>376</v>
      </c>
      <c r="D75" s="44" t="s">
        <v>522</v>
      </c>
      <c r="E75" s="45"/>
      <c r="F75" s="46"/>
      <c r="G75" s="45"/>
      <c r="H75" s="45"/>
      <c r="I75" s="45"/>
    </row>
    <row r="76" spans="1:9" s="47" customFormat="1" ht="12" x14ac:dyDescent="0.25">
      <c r="A76" s="30" t="s">
        <v>473</v>
      </c>
      <c r="B76" s="43" t="s">
        <v>501</v>
      </c>
      <c r="C76" s="33" t="s">
        <v>379</v>
      </c>
      <c r="D76" s="44" t="s">
        <v>525</v>
      </c>
      <c r="E76" s="45"/>
      <c r="F76" s="46"/>
      <c r="G76" s="45"/>
      <c r="H76" s="45"/>
      <c r="I76" s="45"/>
    </row>
    <row r="77" spans="1:9" s="47" customFormat="1" ht="12" x14ac:dyDescent="0.25">
      <c r="A77" s="30" t="s">
        <v>473</v>
      </c>
      <c r="B77" s="43" t="s">
        <v>501</v>
      </c>
      <c r="C77" s="33" t="s">
        <v>384</v>
      </c>
      <c r="D77" s="44" t="s">
        <v>530</v>
      </c>
      <c r="E77" s="45"/>
      <c r="F77" s="46"/>
      <c r="G77" s="45"/>
      <c r="H77" s="45"/>
      <c r="I77" s="45"/>
    </row>
    <row r="78" spans="1:9" s="47" customFormat="1" ht="12" x14ac:dyDescent="0.25">
      <c r="A78" s="30" t="s">
        <v>473</v>
      </c>
      <c r="B78" s="43" t="s">
        <v>501</v>
      </c>
      <c r="C78" s="33" t="s">
        <v>385</v>
      </c>
      <c r="D78" s="44" t="s">
        <v>531</v>
      </c>
      <c r="E78" s="45"/>
      <c r="F78" s="46"/>
      <c r="G78" s="45"/>
      <c r="H78" s="45"/>
      <c r="I78" s="45"/>
    </row>
    <row r="79" spans="1:9" s="47" customFormat="1" ht="12" x14ac:dyDescent="0.25">
      <c r="A79" s="30" t="s">
        <v>473</v>
      </c>
      <c r="B79" s="43" t="s">
        <v>501</v>
      </c>
      <c r="C79" s="33" t="s">
        <v>386</v>
      </c>
      <c r="D79" s="44" t="s">
        <v>532</v>
      </c>
      <c r="E79" s="45"/>
      <c r="F79" s="46"/>
      <c r="G79" s="45"/>
      <c r="H79" s="45"/>
      <c r="I79" s="45"/>
    </row>
    <row r="80" spans="1:9" s="47" customFormat="1" ht="12" x14ac:dyDescent="0.25">
      <c r="A80" s="30" t="s">
        <v>471</v>
      </c>
      <c r="B80" s="43" t="s">
        <v>501</v>
      </c>
      <c r="C80" s="33" t="s">
        <v>371</v>
      </c>
      <c r="D80" s="44" t="s">
        <v>563</v>
      </c>
      <c r="E80" s="45"/>
      <c r="F80" s="46"/>
      <c r="G80" s="45"/>
      <c r="H80" s="45"/>
      <c r="I80" s="45"/>
    </row>
    <row r="81" spans="1:9" s="47" customFormat="1" ht="12" x14ac:dyDescent="0.25">
      <c r="A81" s="30" t="s">
        <v>471</v>
      </c>
      <c r="B81" s="43" t="s">
        <v>501</v>
      </c>
      <c r="C81" s="33" t="s">
        <v>373</v>
      </c>
      <c r="D81" s="44" t="s">
        <v>521</v>
      </c>
      <c r="E81" s="45"/>
      <c r="F81" s="46"/>
      <c r="G81" s="45"/>
      <c r="H81" s="45"/>
      <c r="I81" s="45"/>
    </row>
    <row r="82" spans="1:9" s="47" customFormat="1" ht="12" x14ac:dyDescent="0.25">
      <c r="A82" s="30" t="s">
        <v>471</v>
      </c>
      <c r="B82" s="43" t="s">
        <v>501</v>
      </c>
      <c r="C82" s="33" t="s">
        <v>376</v>
      </c>
      <c r="D82" s="44" t="s">
        <v>522</v>
      </c>
      <c r="E82" s="45"/>
      <c r="F82" s="46"/>
      <c r="G82" s="45"/>
      <c r="H82" s="45"/>
      <c r="I82" s="45"/>
    </row>
    <row r="83" spans="1:9" s="47" customFormat="1" ht="12" x14ac:dyDescent="0.25">
      <c r="A83" s="30" t="s">
        <v>471</v>
      </c>
      <c r="B83" s="43" t="s">
        <v>501</v>
      </c>
      <c r="C83" s="33" t="s">
        <v>379</v>
      </c>
      <c r="D83" s="44" t="s">
        <v>525</v>
      </c>
      <c r="E83" s="45"/>
      <c r="F83" s="46"/>
      <c r="G83" s="45"/>
      <c r="H83" s="45"/>
      <c r="I83" s="45"/>
    </row>
    <row r="84" spans="1:9" s="47" customFormat="1" ht="12" x14ac:dyDescent="0.25">
      <c r="A84" s="30" t="s">
        <v>471</v>
      </c>
      <c r="B84" s="43" t="s">
        <v>501</v>
      </c>
      <c r="C84" s="33" t="s">
        <v>384</v>
      </c>
      <c r="D84" s="44" t="s">
        <v>530</v>
      </c>
      <c r="E84" s="45"/>
      <c r="F84" s="46"/>
      <c r="G84" s="45"/>
      <c r="H84" s="45"/>
      <c r="I84" s="45"/>
    </row>
    <row r="85" spans="1:9" s="47" customFormat="1" ht="12" x14ac:dyDescent="0.25">
      <c r="A85" s="30" t="s">
        <v>471</v>
      </c>
      <c r="B85" s="43" t="s">
        <v>501</v>
      </c>
      <c r="C85" s="33" t="s">
        <v>385</v>
      </c>
      <c r="D85" s="44" t="s">
        <v>531</v>
      </c>
      <c r="E85" s="45"/>
      <c r="F85" s="46"/>
      <c r="G85" s="45"/>
      <c r="H85" s="45"/>
      <c r="I85" s="45"/>
    </row>
    <row r="86" spans="1:9" s="47" customFormat="1" ht="12" x14ac:dyDescent="0.25">
      <c r="A86" s="30" t="s">
        <v>471</v>
      </c>
      <c r="B86" s="43" t="s">
        <v>501</v>
      </c>
      <c r="C86" s="33" t="s">
        <v>386</v>
      </c>
      <c r="D86" s="44" t="s">
        <v>532</v>
      </c>
      <c r="E86" s="45"/>
      <c r="F86" s="46"/>
      <c r="G86" s="45"/>
      <c r="H86" s="45"/>
      <c r="I86" s="45"/>
    </row>
    <row r="87" spans="1:9" s="47" customFormat="1" ht="12" x14ac:dyDescent="0.25">
      <c r="A87" s="30" t="s">
        <v>474</v>
      </c>
      <c r="B87" s="43" t="s">
        <v>501</v>
      </c>
      <c r="C87" s="33" t="s">
        <v>371</v>
      </c>
      <c r="D87" s="44" t="s">
        <v>563</v>
      </c>
      <c r="E87" s="45"/>
      <c r="F87" s="46"/>
      <c r="G87" s="45"/>
      <c r="H87" s="45"/>
      <c r="I87" s="45"/>
    </row>
    <row r="88" spans="1:9" s="47" customFormat="1" ht="12" x14ac:dyDescent="0.25">
      <c r="A88" s="30" t="s">
        <v>474</v>
      </c>
      <c r="B88" s="43" t="s">
        <v>501</v>
      </c>
      <c r="C88" s="33" t="s">
        <v>373</v>
      </c>
      <c r="D88" s="44" t="s">
        <v>521</v>
      </c>
      <c r="E88" s="45"/>
      <c r="F88" s="46"/>
      <c r="G88" s="45"/>
      <c r="H88" s="45"/>
      <c r="I88" s="45"/>
    </row>
    <row r="89" spans="1:9" s="47" customFormat="1" ht="12" x14ac:dyDescent="0.25">
      <c r="A89" s="30" t="s">
        <v>474</v>
      </c>
      <c r="B89" s="43" t="s">
        <v>501</v>
      </c>
      <c r="C89" s="33" t="s">
        <v>376</v>
      </c>
      <c r="D89" s="44" t="s">
        <v>522</v>
      </c>
      <c r="E89" s="45"/>
      <c r="F89" s="46"/>
      <c r="G89" s="45"/>
      <c r="H89" s="45"/>
      <c r="I89" s="45"/>
    </row>
    <row r="90" spans="1:9" s="47" customFormat="1" ht="12" x14ac:dyDescent="0.25">
      <c r="A90" s="30" t="s">
        <v>474</v>
      </c>
      <c r="B90" s="43" t="s">
        <v>501</v>
      </c>
      <c r="C90" s="33" t="s">
        <v>379</v>
      </c>
      <c r="D90" s="44" t="s">
        <v>525</v>
      </c>
      <c r="E90" s="45"/>
      <c r="F90" s="46"/>
      <c r="G90" s="45"/>
      <c r="H90" s="45"/>
      <c r="I90" s="45"/>
    </row>
    <row r="91" spans="1:9" s="47" customFormat="1" ht="12" x14ac:dyDescent="0.25">
      <c r="A91" s="30" t="s">
        <v>474</v>
      </c>
      <c r="B91" s="43" t="s">
        <v>501</v>
      </c>
      <c r="C91" s="33" t="s">
        <v>384</v>
      </c>
      <c r="D91" s="44" t="s">
        <v>530</v>
      </c>
      <c r="E91" s="45"/>
      <c r="F91" s="46"/>
      <c r="G91" s="45"/>
      <c r="H91" s="45"/>
      <c r="I91" s="45"/>
    </row>
    <row r="92" spans="1:9" s="47" customFormat="1" ht="12" x14ac:dyDescent="0.25">
      <c r="A92" s="30" t="s">
        <v>474</v>
      </c>
      <c r="B92" s="43" t="s">
        <v>501</v>
      </c>
      <c r="C92" s="33" t="s">
        <v>385</v>
      </c>
      <c r="D92" s="44" t="s">
        <v>531</v>
      </c>
      <c r="E92" s="45"/>
      <c r="F92" s="46"/>
      <c r="G92" s="45"/>
      <c r="H92" s="45"/>
      <c r="I92" s="45"/>
    </row>
    <row r="93" spans="1:9" s="47" customFormat="1" ht="12" x14ac:dyDescent="0.25">
      <c r="A93" s="30" t="s">
        <v>474</v>
      </c>
      <c r="B93" s="43" t="s">
        <v>501</v>
      </c>
      <c r="C93" s="33" t="s">
        <v>386</v>
      </c>
      <c r="D93" s="44" t="s">
        <v>532</v>
      </c>
      <c r="E93" s="45"/>
      <c r="F93" s="46"/>
      <c r="G93" s="45"/>
      <c r="H93" s="45"/>
      <c r="I93" s="45"/>
    </row>
    <row r="94" spans="1:9" s="47" customFormat="1" ht="12" x14ac:dyDescent="0.25">
      <c r="A94" s="30" t="s">
        <v>475</v>
      </c>
      <c r="B94" s="43" t="s">
        <v>501</v>
      </c>
      <c r="C94" s="33" t="s">
        <v>371</v>
      </c>
      <c r="D94" s="44" t="s">
        <v>563</v>
      </c>
      <c r="E94" s="45"/>
      <c r="F94" s="46"/>
      <c r="G94" s="45"/>
      <c r="H94" s="45"/>
      <c r="I94" s="45"/>
    </row>
    <row r="95" spans="1:9" s="47" customFormat="1" ht="12" x14ac:dyDescent="0.25">
      <c r="A95" s="30" t="s">
        <v>475</v>
      </c>
      <c r="B95" s="43" t="s">
        <v>501</v>
      </c>
      <c r="C95" s="33" t="s">
        <v>373</v>
      </c>
      <c r="D95" s="44" t="s">
        <v>521</v>
      </c>
      <c r="E95" s="45"/>
      <c r="F95" s="46"/>
      <c r="G95" s="45"/>
      <c r="H95" s="45"/>
      <c r="I95" s="45"/>
    </row>
    <row r="96" spans="1:9" s="47" customFormat="1" ht="12" x14ac:dyDescent="0.25">
      <c r="A96" s="30" t="s">
        <v>475</v>
      </c>
      <c r="B96" s="43" t="s">
        <v>501</v>
      </c>
      <c r="C96" s="33" t="s">
        <v>376</v>
      </c>
      <c r="D96" s="44" t="s">
        <v>522</v>
      </c>
      <c r="E96" s="45"/>
      <c r="F96" s="46"/>
      <c r="G96" s="45"/>
      <c r="H96" s="45"/>
      <c r="I96" s="45"/>
    </row>
    <row r="97" spans="1:9" s="47" customFormat="1" ht="12" x14ac:dyDescent="0.25">
      <c r="A97" s="30" t="s">
        <v>475</v>
      </c>
      <c r="B97" s="43" t="s">
        <v>501</v>
      </c>
      <c r="C97" s="33" t="s">
        <v>379</v>
      </c>
      <c r="D97" s="44" t="s">
        <v>525</v>
      </c>
      <c r="E97" s="45"/>
      <c r="F97" s="46"/>
      <c r="G97" s="45"/>
      <c r="H97" s="45"/>
      <c r="I97" s="45"/>
    </row>
    <row r="98" spans="1:9" s="47" customFormat="1" ht="12" x14ac:dyDescent="0.25">
      <c r="A98" s="30" t="s">
        <v>475</v>
      </c>
      <c r="B98" s="43" t="s">
        <v>501</v>
      </c>
      <c r="C98" s="33" t="s">
        <v>384</v>
      </c>
      <c r="D98" s="44" t="s">
        <v>530</v>
      </c>
      <c r="E98" s="45"/>
      <c r="F98" s="46"/>
      <c r="G98" s="45"/>
      <c r="H98" s="45"/>
      <c r="I98" s="45"/>
    </row>
    <row r="99" spans="1:9" s="47" customFormat="1" ht="12" x14ac:dyDescent="0.25">
      <c r="A99" s="30" t="s">
        <v>475</v>
      </c>
      <c r="B99" s="43" t="s">
        <v>501</v>
      </c>
      <c r="C99" s="33" t="s">
        <v>385</v>
      </c>
      <c r="D99" s="44" t="s">
        <v>531</v>
      </c>
      <c r="E99" s="45"/>
      <c r="F99" s="46"/>
      <c r="G99" s="45"/>
      <c r="H99" s="45"/>
      <c r="I99" s="45"/>
    </row>
    <row r="100" spans="1:9" s="47" customFormat="1" ht="12" x14ac:dyDescent="0.25">
      <c r="A100" s="30" t="s">
        <v>475</v>
      </c>
      <c r="B100" s="43" t="s">
        <v>501</v>
      </c>
      <c r="C100" s="33" t="s">
        <v>386</v>
      </c>
      <c r="D100" s="44" t="s">
        <v>532</v>
      </c>
      <c r="E100" s="45"/>
      <c r="F100" s="46"/>
      <c r="G100" s="45"/>
      <c r="H100" s="45"/>
      <c r="I100" s="45"/>
    </row>
    <row r="101" spans="1:9" s="47" customFormat="1" ht="12" x14ac:dyDescent="0.25">
      <c r="A101" s="30" t="s">
        <v>476</v>
      </c>
      <c r="B101" s="43" t="s">
        <v>501</v>
      </c>
      <c r="C101" s="33" t="s">
        <v>371</v>
      </c>
      <c r="D101" s="44" t="s">
        <v>563</v>
      </c>
      <c r="E101" s="45"/>
      <c r="F101" s="46"/>
      <c r="G101" s="45"/>
      <c r="H101" s="45"/>
      <c r="I101" s="45"/>
    </row>
    <row r="102" spans="1:9" s="47" customFormat="1" ht="12" x14ac:dyDescent="0.25">
      <c r="A102" s="30" t="s">
        <v>476</v>
      </c>
      <c r="B102" s="43" t="s">
        <v>501</v>
      </c>
      <c r="C102" s="33" t="s">
        <v>373</v>
      </c>
      <c r="D102" s="44" t="s">
        <v>521</v>
      </c>
      <c r="E102" s="45"/>
      <c r="F102" s="46"/>
      <c r="G102" s="45"/>
      <c r="H102" s="45"/>
      <c r="I102" s="45"/>
    </row>
    <row r="103" spans="1:9" s="47" customFormat="1" ht="12" x14ac:dyDescent="0.25">
      <c r="A103" s="30" t="s">
        <v>476</v>
      </c>
      <c r="B103" s="43" t="s">
        <v>501</v>
      </c>
      <c r="C103" s="33" t="s">
        <v>376</v>
      </c>
      <c r="D103" s="44" t="s">
        <v>522</v>
      </c>
      <c r="E103" s="45"/>
      <c r="F103" s="46"/>
      <c r="G103" s="45"/>
      <c r="H103" s="45"/>
      <c r="I103" s="45"/>
    </row>
    <row r="104" spans="1:9" s="47" customFormat="1" ht="12" x14ac:dyDescent="0.25">
      <c r="A104" s="30" t="s">
        <v>476</v>
      </c>
      <c r="B104" s="43" t="s">
        <v>501</v>
      </c>
      <c r="C104" s="33" t="s">
        <v>379</v>
      </c>
      <c r="D104" s="44" t="s">
        <v>525</v>
      </c>
      <c r="E104" s="45"/>
      <c r="F104" s="46"/>
      <c r="G104" s="45"/>
      <c r="H104" s="45"/>
      <c r="I104" s="45"/>
    </row>
    <row r="105" spans="1:9" s="47" customFormat="1" ht="12" x14ac:dyDescent="0.25">
      <c r="A105" s="30" t="s">
        <v>476</v>
      </c>
      <c r="B105" s="43" t="s">
        <v>501</v>
      </c>
      <c r="C105" s="33" t="s">
        <v>384</v>
      </c>
      <c r="D105" s="44" t="s">
        <v>530</v>
      </c>
      <c r="E105" s="45"/>
      <c r="F105" s="46"/>
      <c r="G105" s="45"/>
      <c r="H105" s="45"/>
      <c r="I105" s="45"/>
    </row>
    <row r="106" spans="1:9" s="47" customFormat="1" ht="12" x14ac:dyDescent="0.25">
      <c r="A106" s="30" t="s">
        <v>476</v>
      </c>
      <c r="B106" s="43" t="s">
        <v>501</v>
      </c>
      <c r="C106" s="33" t="s">
        <v>385</v>
      </c>
      <c r="D106" s="44" t="s">
        <v>531</v>
      </c>
      <c r="E106" s="45"/>
      <c r="F106" s="46"/>
      <c r="G106" s="45"/>
      <c r="H106" s="45"/>
      <c r="I106" s="45"/>
    </row>
    <row r="107" spans="1:9" s="47" customFormat="1" ht="12" x14ac:dyDescent="0.25">
      <c r="A107" s="30" t="s">
        <v>476</v>
      </c>
      <c r="B107" s="43" t="s">
        <v>501</v>
      </c>
      <c r="C107" s="33" t="s">
        <v>386</v>
      </c>
      <c r="D107" s="44" t="s">
        <v>532</v>
      </c>
      <c r="E107" s="45"/>
      <c r="F107" s="46"/>
      <c r="G107" s="45"/>
      <c r="H107" s="45"/>
      <c r="I107" s="45"/>
    </row>
    <row r="108" spans="1:9" s="47" customFormat="1" ht="12" x14ac:dyDescent="0.25">
      <c r="A108" s="30" t="s">
        <v>478</v>
      </c>
      <c r="B108" s="43" t="s">
        <v>501</v>
      </c>
      <c r="C108" s="33" t="s">
        <v>371</v>
      </c>
      <c r="D108" s="44" t="s">
        <v>563</v>
      </c>
      <c r="E108" s="45"/>
      <c r="F108" s="46"/>
      <c r="G108" s="45"/>
      <c r="H108" s="45"/>
      <c r="I108" s="45"/>
    </row>
    <row r="109" spans="1:9" s="47" customFormat="1" ht="12" x14ac:dyDescent="0.25">
      <c r="A109" s="30" t="s">
        <v>478</v>
      </c>
      <c r="B109" s="43" t="s">
        <v>501</v>
      </c>
      <c r="C109" s="33" t="s">
        <v>373</v>
      </c>
      <c r="D109" s="44" t="s">
        <v>521</v>
      </c>
      <c r="E109" s="45"/>
      <c r="F109" s="46"/>
      <c r="G109" s="45"/>
      <c r="H109" s="45"/>
      <c r="I109" s="45"/>
    </row>
    <row r="110" spans="1:9" s="47" customFormat="1" ht="12" x14ac:dyDescent="0.25">
      <c r="A110" s="30" t="s">
        <v>478</v>
      </c>
      <c r="B110" s="43" t="s">
        <v>501</v>
      </c>
      <c r="C110" s="33" t="s">
        <v>376</v>
      </c>
      <c r="D110" s="44" t="s">
        <v>522</v>
      </c>
      <c r="E110" s="45"/>
      <c r="F110" s="46"/>
      <c r="G110" s="45"/>
      <c r="H110" s="45"/>
      <c r="I110" s="45"/>
    </row>
    <row r="111" spans="1:9" s="47" customFormat="1" ht="12" x14ac:dyDescent="0.25">
      <c r="A111" s="30" t="s">
        <v>478</v>
      </c>
      <c r="B111" s="43" t="s">
        <v>501</v>
      </c>
      <c r="C111" s="33" t="s">
        <v>379</v>
      </c>
      <c r="D111" s="44" t="s">
        <v>525</v>
      </c>
      <c r="E111" s="45"/>
      <c r="F111" s="46"/>
      <c r="G111" s="45"/>
      <c r="H111" s="45"/>
      <c r="I111" s="45"/>
    </row>
    <row r="112" spans="1:9" s="47" customFormat="1" ht="12" x14ac:dyDescent="0.25">
      <c r="A112" s="30" t="s">
        <v>478</v>
      </c>
      <c r="B112" s="43" t="s">
        <v>501</v>
      </c>
      <c r="C112" s="33" t="s">
        <v>384</v>
      </c>
      <c r="D112" s="44" t="s">
        <v>530</v>
      </c>
      <c r="E112" s="45"/>
      <c r="F112" s="46"/>
      <c r="G112" s="45"/>
      <c r="H112" s="45"/>
      <c r="I112" s="45"/>
    </row>
    <row r="113" spans="1:9" s="47" customFormat="1" ht="12" x14ac:dyDescent="0.25">
      <c r="A113" s="30" t="s">
        <v>478</v>
      </c>
      <c r="B113" s="43" t="s">
        <v>501</v>
      </c>
      <c r="C113" s="33" t="s">
        <v>385</v>
      </c>
      <c r="D113" s="44" t="s">
        <v>531</v>
      </c>
      <c r="E113" s="45"/>
      <c r="F113" s="46"/>
      <c r="G113" s="45"/>
      <c r="H113" s="45"/>
      <c r="I113" s="45"/>
    </row>
    <row r="114" spans="1:9" s="47" customFormat="1" ht="12" x14ac:dyDescent="0.25">
      <c r="A114" s="30" t="s">
        <v>478</v>
      </c>
      <c r="B114" s="43" t="s">
        <v>501</v>
      </c>
      <c r="C114" s="33" t="s">
        <v>386</v>
      </c>
      <c r="D114" s="44" t="s">
        <v>532</v>
      </c>
      <c r="E114" s="45"/>
      <c r="F114" s="46"/>
      <c r="G114" s="45"/>
      <c r="H114" s="45"/>
      <c r="I114" s="45"/>
    </row>
    <row r="115" spans="1:9" s="47" customFormat="1" ht="12" x14ac:dyDescent="0.25">
      <c r="A115" s="30" t="s">
        <v>479</v>
      </c>
      <c r="B115" s="43" t="s">
        <v>501</v>
      </c>
      <c r="C115" s="33" t="s">
        <v>371</v>
      </c>
      <c r="D115" s="44" t="s">
        <v>563</v>
      </c>
      <c r="E115" s="45"/>
      <c r="F115" s="46"/>
      <c r="G115" s="45"/>
      <c r="H115" s="45"/>
      <c r="I115" s="45"/>
    </row>
    <row r="116" spans="1:9" s="47" customFormat="1" ht="12" x14ac:dyDescent="0.25">
      <c r="A116" s="30" t="s">
        <v>479</v>
      </c>
      <c r="B116" s="43" t="s">
        <v>501</v>
      </c>
      <c r="C116" s="33" t="s">
        <v>373</v>
      </c>
      <c r="D116" s="44" t="s">
        <v>521</v>
      </c>
      <c r="E116" s="45"/>
      <c r="F116" s="46"/>
      <c r="G116" s="45"/>
      <c r="H116" s="45"/>
      <c r="I116" s="45"/>
    </row>
    <row r="117" spans="1:9" s="47" customFormat="1" ht="12" x14ac:dyDescent="0.25">
      <c r="A117" s="30" t="s">
        <v>479</v>
      </c>
      <c r="B117" s="43" t="s">
        <v>501</v>
      </c>
      <c r="C117" s="33" t="s">
        <v>376</v>
      </c>
      <c r="D117" s="44" t="s">
        <v>522</v>
      </c>
      <c r="E117" s="45"/>
      <c r="F117" s="46"/>
      <c r="G117" s="45"/>
      <c r="H117" s="45"/>
      <c r="I117" s="45"/>
    </row>
    <row r="118" spans="1:9" s="47" customFormat="1" ht="12" x14ac:dyDescent="0.25">
      <c r="A118" s="30" t="s">
        <v>479</v>
      </c>
      <c r="B118" s="43" t="s">
        <v>501</v>
      </c>
      <c r="C118" s="33" t="s">
        <v>379</v>
      </c>
      <c r="D118" s="44" t="s">
        <v>525</v>
      </c>
      <c r="E118" s="45"/>
      <c r="F118" s="46"/>
      <c r="G118" s="45"/>
      <c r="H118" s="45"/>
      <c r="I118" s="45"/>
    </row>
    <row r="119" spans="1:9" s="47" customFormat="1" ht="12" x14ac:dyDescent="0.25">
      <c r="A119" s="30" t="s">
        <v>479</v>
      </c>
      <c r="B119" s="43" t="s">
        <v>501</v>
      </c>
      <c r="C119" s="33" t="s">
        <v>384</v>
      </c>
      <c r="D119" s="44" t="s">
        <v>530</v>
      </c>
      <c r="E119" s="45"/>
      <c r="F119" s="46"/>
      <c r="G119" s="45"/>
      <c r="H119" s="45"/>
      <c r="I119" s="45"/>
    </row>
    <row r="120" spans="1:9" s="47" customFormat="1" ht="12" x14ac:dyDescent="0.25">
      <c r="A120" s="30" t="s">
        <v>479</v>
      </c>
      <c r="B120" s="43" t="s">
        <v>501</v>
      </c>
      <c r="C120" s="33" t="s">
        <v>385</v>
      </c>
      <c r="D120" s="44" t="s">
        <v>531</v>
      </c>
      <c r="E120" s="45"/>
      <c r="F120" s="46"/>
      <c r="G120" s="45"/>
      <c r="H120" s="45"/>
      <c r="I120" s="45"/>
    </row>
    <row r="121" spans="1:9" s="47" customFormat="1" ht="12" x14ac:dyDescent="0.25">
      <c r="A121" s="30" t="s">
        <v>479</v>
      </c>
      <c r="B121" s="43" t="s">
        <v>501</v>
      </c>
      <c r="C121" s="33" t="s">
        <v>386</v>
      </c>
      <c r="D121" s="44" t="s">
        <v>532</v>
      </c>
      <c r="E121" s="45"/>
      <c r="F121" s="46"/>
      <c r="G121" s="45"/>
      <c r="H121" s="45"/>
      <c r="I121" s="45"/>
    </row>
    <row r="122" spans="1:9" s="47" customFormat="1" ht="12" x14ac:dyDescent="0.25">
      <c r="A122" s="30" t="s">
        <v>480</v>
      </c>
      <c r="B122" s="43" t="s">
        <v>501</v>
      </c>
      <c r="C122" s="33" t="s">
        <v>371</v>
      </c>
      <c r="D122" s="44" t="s">
        <v>563</v>
      </c>
      <c r="E122" s="45"/>
      <c r="F122" s="46"/>
      <c r="G122" s="45"/>
      <c r="H122" s="45"/>
      <c r="I122" s="45"/>
    </row>
    <row r="123" spans="1:9" s="47" customFormat="1" ht="12" x14ac:dyDescent="0.25">
      <c r="A123" s="30" t="s">
        <v>480</v>
      </c>
      <c r="B123" s="43" t="s">
        <v>501</v>
      </c>
      <c r="C123" s="33" t="s">
        <v>373</v>
      </c>
      <c r="D123" s="44" t="s">
        <v>521</v>
      </c>
      <c r="E123" s="45"/>
      <c r="F123" s="46"/>
      <c r="G123" s="45"/>
      <c r="H123" s="45"/>
      <c r="I123" s="45"/>
    </row>
    <row r="124" spans="1:9" s="47" customFormat="1" ht="12" x14ac:dyDescent="0.25">
      <c r="A124" s="30" t="s">
        <v>480</v>
      </c>
      <c r="B124" s="43" t="s">
        <v>501</v>
      </c>
      <c r="C124" s="33" t="s">
        <v>376</v>
      </c>
      <c r="D124" s="44" t="s">
        <v>522</v>
      </c>
      <c r="E124" s="45"/>
      <c r="F124" s="46"/>
      <c r="G124" s="45"/>
      <c r="H124" s="45"/>
      <c r="I124" s="45"/>
    </row>
    <row r="125" spans="1:9" s="47" customFormat="1" ht="12" x14ac:dyDescent="0.25">
      <c r="A125" s="30" t="s">
        <v>480</v>
      </c>
      <c r="B125" s="43" t="s">
        <v>501</v>
      </c>
      <c r="C125" s="33" t="s">
        <v>379</v>
      </c>
      <c r="D125" s="44" t="s">
        <v>525</v>
      </c>
      <c r="E125" s="45"/>
      <c r="F125" s="46"/>
      <c r="G125" s="45"/>
      <c r="H125" s="45"/>
      <c r="I125" s="45"/>
    </row>
    <row r="126" spans="1:9" s="47" customFormat="1" ht="12" x14ac:dyDescent="0.25">
      <c r="A126" s="30" t="s">
        <v>480</v>
      </c>
      <c r="B126" s="43" t="s">
        <v>501</v>
      </c>
      <c r="C126" s="33" t="s">
        <v>384</v>
      </c>
      <c r="D126" s="44" t="s">
        <v>530</v>
      </c>
      <c r="E126" s="45"/>
      <c r="F126" s="46"/>
      <c r="G126" s="45"/>
      <c r="H126" s="45"/>
      <c r="I126" s="45"/>
    </row>
    <row r="127" spans="1:9" s="47" customFormat="1" ht="12" x14ac:dyDescent="0.25">
      <c r="A127" s="30" t="s">
        <v>480</v>
      </c>
      <c r="B127" s="43" t="s">
        <v>501</v>
      </c>
      <c r="C127" s="33" t="s">
        <v>385</v>
      </c>
      <c r="D127" s="44" t="s">
        <v>531</v>
      </c>
      <c r="E127" s="45"/>
      <c r="F127" s="46"/>
      <c r="G127" s="45"/>
      <c r="H127" s="45"/>
      <c r="I127" s="45"/>
    </row>
    <row r="128" spans="1:9" s="47" customFormat="1" ht="12" x14ac:dyDescent="0.25">
      <c r="A128" s="30" t="s">
        <v>480</v>
      </c>
      <c r="B128" s="43" t="s">
        <v>501</v>
      </c>
      <c r="C128" s="33" t="s">
        <v>386</v>
      </c>
      <c r="D128" s="44" t="s">
        <v>532</v>
      </c>
      <c r="E128" s="45"/>
      <c r="F128" s="46"/>
      <c r="G128" s="45"/>
      <c r="H128" s="45"/>
      <c r="I128" s="45"/>
    </row>
    <row r="129" spans="1:9" s="47" customFormat="1" ht="12" x14ac:dyDescent="0.25">
      <c r="A129" s="30" t="s">
        <v>481</v>
      </c>
      <c r="B129" s="43" t="s">
        <v>501</v>
      </c>
      <c r="C129" s="33" t="s">
        <v>371</v>
      </c>
      <c r="D129" s="44" t="s">
        <v>563</v>
      </c>
      <c r="E129" s="45"/>
      <c r="F129" s="46"/>
      <c r="G129" s="45"/>
      <c r="H129" s="45"/>
      <c r="I129" s="45"/>
    </row>
    <row r="130" spans="1:9" s="47" customFormat="1" ht="12" x14ac:dyDescent="0.25">
      <c r="A130" s="30" t="s">
        <v>481</v>
      </c>
      <c r="B130" s="43" t="s">
        <v>501</v>
      </c>
      <c r="C130" s="33" t="s">
        <v>373</v>
      </c>
      <c r="D130" s="44" t="s">
        <v>521</v>
      </c>
      <c r="E130" s="45"/>
      <c r="F130" s="46"/>
      <c r="G130" s="45"/>
      <c r="H130" s="45"/>
      <c r="I130" s="45"/>
    </row>
    <row r="131" spans="1:9" s="47" customFormat="1" ht="12" x14ac:dyDescent="0.25">
      <c r="A131" s="30" t="s">
        <v>481</v>
      </c>
      <c r="B131" s="43" t="s">
        <v>501</v>
      </c>
      <c r="C131" s="33" t="s">
        <v>376</v>
      </c>
      <c r="D131" s="44" t="s">
        <v>522</v>
      </c>
      <c r="E131" s="45"/>
      <c r="F131" s="46"/>
      <c r="G131" s="45"/>
      <c r="H131" s="45"/>
      <c r="I131" s="45"/>
    </row>
    <row r="132" spans="1:9" s="47" customFormat="1" ht="12" x14ac:dyDescent="0.25">
      <c r="A132" s="30" t="s">
        <v>481</v>
      </c>
      <c r="B132" s="43" t="s">
        <v>501</v>
      </c>
      <c r="C132" s="33" t="s">
        <v>379</v>
      </c>
      <c r="D132" s="44" t="s">
        <v>525</v>
      </c>
      <c r="E132" s="45"/>
      <c r="F132" s="46"/>
      <c r="G132" s="45"/>
      <c r="H132" s="45"/>
      <c r="I132" s="45"/>
    </row>
    <row r="133" spans="1:9" s="47" customFormat="1" ht="12" x14ac:dyDescent="0.25">
      <c r="A133" s="30" t="s">
        <v>481</v>
      </c>
      <c r="B133" s="43" t="s">
        <v>501</v>
      </c>
      <c r="C133" s="33" t="s">
        <v>384</v>
      </c>
      <c r="D133" s="44" t="s">
        <v>530</v>
      </c>
      <c r="E133" s="45"/>
      <c r="F133" s="46"/>
      <c r="G133" s="45"/>
      <c r="H133" s="45"/>
      <c r="I133" s="45"/>
    </row>
    <row r="134" spans="1:9" s="47" customFormat="1" ht="12" x14ac:dyDescent="0.25">
      <c r="A134" s="30" t="s">
        <v>481</v>
      </c>
      <c r="B134" s="43" t="s">
        <v>501</v>
      </c>
      <c r="C134" s="33" t="s">
        <v>385</v>
      </c>
      <c r="D134" s="44" t="s">
        <v>531</v>
      </c>
      <c r="E134" s="45"/>
      <c r="F134" s="46"/>
      <c r="G134" s="45"/>
      <c r="H134" s="45"/>
      <c r="I134" s="45"/>
    </row>
    <row r="135" spans="1:9" s="47" customFormat="1" ht="12" x14ac:dyDescent="0.25">
      <c r="A135" s="30" t="s">
        <v>481</v>
      </c>
      <c r="B135" s="43" t="s">
        <v>501</v>
      </c>
      <c r="C135" s="33" t="s">
        <v>386</v>
      </c>
      <c r="D135" s="44" t="s">
        <v>532</v>
      </c>
      <c r="E135" s="45"/>
      <c r="F135" s="46"/>
      <c r="G135" s="45"/>
      <c r="H135" s="45"/>
      <c r="I135" s="45"/>
    </row>
    <row r="136" spans="1:9" s="47" customFormat="1" ht="12" x14ac:dyDescent="0.25">
      <c r="A136" s="30" t="s">
        <v>472</v>
      </c>
      <c r="B136" s="43" t="s">
        <v>501</v>
      </c>
      <c r="C136" s="33" t="s">
        <v>24</v>
      </c>
      <c r="D136" s="44" t="s">
        <v>505</v>
      </c>
      <c r="E136" s="45"/>
      <c r="F136" s="46"/>
      <c r="G136" s="45"/>
      <c r="H136" s="45"/>
      <c r="I136" s="45"/>
    </row>
    <row r="137" spans="1:9" s="47" customFormat="1" ht="12" x14ac:dyDescent="0.25">
      <c r="A137" s="30" t="s">
        <v>472</v>
      </c>
      <c r="B137" s="43" t="s">
        <v>501</v>
      </c>
      <c r="C137" s="33" t="s">
        <v>25</v>
      </c>
      <c r="D137" s="44" t="s">
        <v>506</v>
      </c>
      <c r="E137" s="45"/>
      <c r="F137" s="46"/>
      <c r="G137" s="45"/>
      <c r="H137" s="45"/>
      <c r="I137" s="45"/>
    </row>
    <row r="138" spans="1:9" s="47" customFormat="1" ht="12" x14ac:dyDescent="0.25">
      <c r="A138" s="30" t="s">
        <v>472</v>
      </c>
      <c r="B138" s="43" t="s">
        <v>501</v>
      </c>
      <c r="C138" s="33" t="s">
        <v>26</v>
      </c>
      <c r="D138" s="44" t="s">
        <v>27</v>
      </c>
      <c r="E138" s="45"/>
      <c r="F138" s="46"/>
      <c r="G138" s="45"/>
      <c r="H138" s="45"/>
      <c r="I138" s="45"/>
    </row>
    <row r="139" spans="1:9" s="47" customFormat="1" ht="12" x14ac:dyDescent="0.25">
      <c r="A139" s="30" t="s">
        <v>472</v>
      </c>
      <c r="B139" s="43" t="s">
        <v>501</v>
      </c>
      <c r="C139" s="33" t="s">
        <v>28</v>
      </c>
      <c r="D139" s="44" t="s">
        <v>507</v>
      </c>
      <c r="E139" s="45"/>
      <c r="F139" s="46"/>
      <c r="G139" s="45"/>
      <c r="H139" s="45"/>
      <c r="I139" s="45"/>
    </row>
    <row r="140" spans="1:9" s="47" customFormat="1" ht="12" x14ac:dyDescent="0.25">
      <c r="A140" s="30" t="s">
        <v>472</v>
      </c>
      <c r="B140" s="43" t="s">
        <v>501</v>
      </c>
      <c r="C140" s="33" t="s">
        <v>29</v>
      </c>
      <c r="D140" s="44" t="s">
        <v>508</v>
      </c>
      <c r="E140" s="45"/>
      <c r="F140" s="46"/>
      <c r="G140" s="45"/>
      <c r="H140" s="45"/>
      <c r="I140" s="45"/>
    </row>
    <row r="141" spans="1:9" s="47" customFormat="1" ht="12" x14ac:dyDescent="0.25">
      <c r="A141" s="30" t="s">
        <v>472</v>
      </c>
      <c r="B141" s="43" t="s">
        <v>501</v>
      </c>
      <c r="C141" s="33" t="s">
        <v>410</v>
      </c>
      <c r="D141" s="44" t="s">
        <v>505</v>
      </c>
      <c r="E141" s="45"/>
      <c r="F141" s="46"/>
      <c r="G141" s="45"/>
      <c r="H141" s="45"/>
      <c r="I141" s="45"/>
    </row>
    <row r="142" spans="1:9" s="47" customFormat="1" ht="12" x14ac:dyDescent="0.25">
      <c r="A142" s="30" t="s">
        <v>472</v>
      </c>
      <c r="B142" s="43" t="s">
        <v>501</v>
      </c>
      <c r="C142" s="33" t="s">
        <v>411</v>
      </c>
      <c r="D142" s="44" t="s">
        <v>506</v>
      </c>
      <c r="E142" s="45"/>
      <c r="F142" s="46"/>
      <c r="G142" s="45"/>
      <c r="H142" s="45"/>
      <c r="I142" s="45"/>
    </row>
    <row r="143" spans="1:9" s="47" customFormat="1" ht="12" x14ac:dyDescent="0.25">
      <c r="A143" s="30" t="s">
        <v>482</v>
      </c>
      <c r="B143" s="43" t="s">
        <v>501</v>
      </c>
      <c r="C143" s="33" t="s">
        <v>24</v>
      </c>
      <c r="D143" s="44" t="s">
        <v>505</v>
      </c>
      <c r="E143" s="45"/>
      <c r="F143" s="46"/>
      <c r="G143" s="45"/>
      <c r="H143" s="45"/>
      <c r="I143" s="45"/>
    </row>
    <row r="144" spans="1:9" s="47" customFormat="1" ht="12" x14ac:dyDescent="0.25">
      <c r="A144" s="30" t="s">
        <v>482</v>
      </c>
      <c r="B144" s="43" t="s">
        <v>501</v>
      </c>
      <c r="C144" s="33" t="s">
        <v>25</v>
      </c>
      <c r="D144" s="44" t="s">
        <v>506</v>
      </c>
      <c r="E144" s="45"/>
      <c r="F144" s="46"/>
      <c r="G144" s="45"/>
      <c r="H144" s="45"/>
      <c r="I144" s="45"/>
    </row>
    <row r="145" spans="1:9" s="47" customFormat="1" ht="12" x14ac:dyDescent="0.25">
      <c r="A145" s="30" t="s">
        <v>482</v>
      </c>
      <c r="B145" s="43" t="s">
        <v>501</v>
      </c>
      <c r="C145" s="33" t="s">
        <v>26</v>
      </c>
      <c r="D145" s="44" t="s">
        <v>27</v>
      </c>
      <c r="E145" s="45"/>
      <c r="F145" s="46"/>
      <c r="G145" s="45"/>
      <c r="H145" s="45"/>
      <c r="I145" s="45"/>
    </row>
    <row r="146" spans="1:9" s="47" customFormat="1" ht="12" x14ac:dyDescent="0.25">
      <c r="A146" s="30" t="s">
        <v>482</v>
      </c>
      <c r="B146" s="43" t="s">
        <v>501</v>
      </c>
      <c r="C146" s="33" t="s">
        <v>28</v>
      </c>
      <c r="D146" s="44" t="s">
        <v>507</v>
      </c>
      <c r="E146" s="45"/>
      <c r="F146" s="46"/>
      <c r="G146" s="45"/>
      <c r="H146" s="45"/>
      <c r="I146" s="45"/>
    </row>
    <row r="147" spans="1:9" s="47" customFormat="1" ht="12" x14ac:dyDescent="0.25">
      <c r="A147" s="30" t="s">
        <v>482</v>
      </c>
      <c r="B147" s="43" t="s">
        <v>501</v>
      </c>
      <c r="C147" s="33" t="s">
        <v>29</v>
      </c>
      <c r="D147" s="44" t="s">
        <v>508</v>
      </c>
      <c r="E147" s="45"/>
      <c r="F147" s="46"/>
      <c r="G147" s="45"/>
      <c r="H147" s="45"/>
      <c r="I147" s="45"/>
    </row>
    <row r="148" spans="1:9" s="47" customFormat="1" ht="12" x14ac:dyDescent="0.25">
      <c r="A148" s="30" t="s">
        <v>482</v>
      </c>
      <c r="B148" s="43" t="s">
        <v>501</v>
      </c>
      <c r="C148" s="33" t="s">
        <v>410</v>
      </c>
      <c r="D148" s="44" t="s">
        <v>505</v>
      </c>
      <c r="E148" s="45"/>
      <c r="F148" s="46"/>
      <c r="G148" s="45"/>
      <c r="H148" s="45"/>
      <c r="I148" s="45"/>
    </row>
    <row r="149" spans="1:9" s="47" customFormat="1" ht="12" x14ac:dyDescent="0.25">
      <c r="A149" s="30" t="s">
        <v>482</v>
      </c>
      <c r="B149" s="43" t="s">
        <v>501</v>
      </c>
      <c r="C149" s="33" t="s">
        <v>411</v>
      </c>
      <c r="D149" s="44" t="s">
        <v>506</v>
      </c>
      <c r="E149" s="45"/>
      <c r="F149" s="46"/>
      <c r="G149" s="45"/>
      <c r="H149" s="45"/>
      <c r="I149" s="45"/>
    </row>
    <row r="150" spans="1:9" s="47" customFormat="1" ht="12" x14ac:dyDescent="0.25">
      <c r="A150" s="30" t="s">
        <v>482</v>
      </c>
      <c r="B150" s="43" t="s">
        <v>501</v>
      </c>
      <c r="C150" s="33" t="s">
        <v>413</v>
      </c>
      <c r="D150" s="44" t="s">
        <v>506</v>
      </c>
      <c r="E150" s="45"/>
      <c r="F150" s="46"/>
      <c r="G150" s="45"/>
      <c r="H150" s="45"/>
      <c r="I150" s="45"/>
    </row>
    <row r="151" spans="1:9" s="47" customFormat="1" ht="12" x14ac:dyDescent="0.25">
      <c r="A151" s="30" t="s">
        <v>483</v>
      </c>
      <c r="B151" s="43" t="s">
        <v>501</v>
      </c>
      <c r="C151" s="33" t="s">
        <v>24</v>
      </c>
      <c r="D151" s="44" t="s">
        <v>505</v>
      </c>
      <c r="E151" s="45"/>
      <c r="F151" s="46"/>
      <c r="G151" s="45"/>
      <c r="H151" s="45"/>
      <c r="I151" s="45"/>
    </row>
    <row r="152" spans="1:9" s="47" customFormat="1" ht="12" x14ac:dyDescent="0.25">
      <c r="A152" s="30" t="s">
        <v>483</v>
      </c>
      <c r="B152" s="43" t="s">
        <v>501</v>
      </c>
      <c r="C152" s="33" t="s">
        <v>25</v>
      </c>
      <c r="D152" s="44" t="s">
        <v>506</v>
      </c>
      <c r="E152" s="45"/>
      <c r="F152" s="46"/>
      <c r="G152" s="45"/>
      <c r="H152" s="45"/>
      <c r="I152" s="45"/>
    </row>
    <row r="153" spans="1:9" s="47" customFormat="1" ht="12" x14ac:dyDescent="0.25">
      <c r="A153" s="30" t="s">
        <v>483</v>
      </c>
      <c r="B153" s="43" t="s">
        <v>501</v>
      </c>
      <c r="C153" s="33" t="s">
        <v>26</v>
      </c>
      <c r="D153" s="44" t="s">
        <v>27</v>
      </c>
      <c r="E153" s="45"/>
      <c r="F153" s="46"/>
      <c r="G153" s="45"/>
      <c r="H153" s="45"/>
      <c r="I153" s="45"/>
    </row>
    <row r="154" spans="1:9" s="47" customFormat="1" ht="12" x14ac:dyDescent="0.25">
      <c r="A154" s="30" t="s">
        <v>483</v>
      </c>
      <c r="B154" s="43" t="s">
        <v>501</v>
      </c>
      <c r="C154" s="33" t="s">
        <v>28</v>
      </c>
      <c r="D154" s="44" t="s">
        <v>507</v>
      </c>
      <c r="E154" s="45"/>
      <c r="F154" s="46"/>
      <c r="G154" s="45"/>
      <c r="H154" s="45"/>
      <c r="I154" s="45"/>
    </row>
    <row r="155" spans="1:9" s="47" customFormat="1" ht="12" x14ac:dyDescent="0.25">
      <c r="A155" s="30" t="s">
        <v>483</v>
      </c>
      <c r="B155" s="43" t="s">
        <v>501</v>
      </c>
      <c r="C155" s="33" t="s">
        <v>29</v>
      </c>
      <c r="D155" s="44" t="s">
        <v>508</v>
      </c>
      <c r="E155" s="45"/>
      <c r="F155" s="46"/>
      <c r="G155" s="45"/>
      <c r="H155" s="45"/>
      <c r="I155" s="45"/>
    </row>
    <row r="156" spans="1:9" s="47" customFormat="1" ht="12" x14ac:dyDescent="0.25">
      <c r="A156" s="30" t="s">
        <v>483</v>
      </c>
      <c r="B156" s="43" t="s">
        <v>501</v>
      </c>
      <c r="C156" s="33" t="s">
        <v>410</v>
      </c>
      <c r="D156" s="44" t="s">
        <v>505</v>
      </c>
      <c r="E156" s="45"/>
      <c r="F156" s="46"/>
      <c r="G156" s="45"/>
      <c r="H156" s="45"/>
      <c r="I156" s="45"/>
    </row>
    <row r="157" spans="1:9" s="47" customFormat="1" ht="12" x14ac:dyDescent="0.25">
      <c r="A157" s="30" t="s">
        <v>483</v>
      </c>
      <c r="B157" s="43" t="s">
        <v>501</v>
      </c>
      <c r="C157" s="33" t="s">
        <v>411</v>
      </c>
      <c r="D157" s="44" t="s">
        <v>506</v>
      </c>
      <c r="E157" s="45"/>
      <c r="F157" s="46"/>
      <c r="G157" s="45"/>
      <c r="H157" s="45"/>
      <c r="I157" s="45"/>
    </row>
    <row r="158" spans="1:9" s="47" customFormat="1" ht="12" x14ac:dyDescent="0.25">
      <c r="A158" s="30" t="s">
        <v>484</v>
      </c>
      <c r="B158" s="43" t="s">
        <v>501</v>
      </c>
      <c r="C158" s="33" t="s">
        <v>24</v>
      </c>
      <c r="D158" s="44" t="s">
        <v>505</v>
      </c>
      <c r="E158" s="45"/>
      <c r="F158" s="46"/>
      <c r="G158" s="45"/>
      <c r="H158" s="45"/>
      <c r="I158" s="45"/>
    </row>
    <row r="159" spans="1:9" s="47" customFormat="1" ht="12" x14ac:dyDescent="0.25">
      <c r="A159" s="30" t="s">
        <v>484</v>
      </c>
      <c r="B159" s="43" t="s">
        <v>501</v>
      </c>
      <c r="C159" s="33" t="s">
        <v>25</v>
      </c>
      <c r="D159" s="44" t="s">
        <v>506</v>
      </c>
      <c r="E159" s="45"/>
      <c r="F159" s="46"/>
      <c r="G159" s="45"/>
      <c r="H159" s="45"/>
      <c r="I159" s="45"/>
    </row>
    <row r="160" spans="1:9" s="47" customFormat="1" ht="12" x14ac:dyDescent="0.25">
      <c r="A160" s="30" t="s">
        <v>484</v>
      </c>
      <c r="B160" s="43" t="s">
        <v>501</v>
      </c>
      <c r="C160" s="33" t="s">
        <v>26</v>
      </c>
      <c r="D160" s="44" t="s">
        <v>27</v>
      </c>
      <c r="E160" s="45"/>
      <c r="F160" s="46"/>
      <c r="G160" s="45"/>
      <c r="H160" s="45"/>
      <c r="I160" s="45"/>
    </row>
    <row r="161" spans="1:9" s="47" customFormat="1" ht="12" x14ac:dyDescent="0.25">
      <c r="A161" s="30" t="s">
        <v>484</v>
      </c>
      <c r="B161" s="43" t="s">
        <v>501</v>
      </c>
      <c r="C161" s="33" t="s">
        <v>398</v>
      </c>
      <c r="D161" s="44" t="s">
        <v>541</v>
      </c>
      <c r="E161" s="45"/>
      <c r="F161" s="46"/>
      <c r="G161" s="45"/>
      <c r="H161" s="45"/>
      <c r="I161" s="45"/>
    </row>
    <row r="162" spans="1:9" s="47" customFormat="1" ht="12" x14ac:dyDescent="0.25">
      <c r="A162" s="30" t="s">
        <v>484</v>
      </c>
      <c r="B162" s="43" t="s">
        <v>501</v>
      </c>
      <c r="C162" s="33" t="s">
        <v>401</v>
      </c>
      <c r="D162" s="44" t="s">
        <v>542</v>
      </c>
      <c r="E162" s="45"/>
      <c r="F162" s="46"/>
      <c r="G162" s="45"/>
      <c r="H162" s="45"/>
      <c r="I162" s="45"/>
    </row>
    <row r="163" spans="1:9" s="47" customFormat="1" ht="12" x14ac:dyDescent="0.25">
      <c r="A163" s="30" t="s">
        <v>484</v>
      </c>
      <c r="B163" s="43" t="s">
        <v>501</v>
      </c>
      <c r="C163" s="33" t="s">
        <v>410</v>
      </c>
      <c r="D163" s="44" t="s">
        <v>505</v>
      </c>
      <c r="E163" s="45"/>
      <c r="F163" s="46"/>
      <c r="G163" s="45"/>
      <c r="H163" s="45"/>
      <c r="I163" s="45"/>
    </row>
    <row r="164" spans="1:9" s="47" customFormat="1" ht="12" x14ac:dyDescent="0.25">
      <c r="A164" s="30" t="s">
        <v>484</v>
      </c>
      <c r="B164" s="43" t="s">
        <v>501</v>
      </c>
      <c r="C164" s="33" t="s">
        <v>411</v>
      </c>
      <c r="D164" s="44" t="s">
        <v>506</v>
      </c>
      <c r="E164" s="45"/>
      <c r="F164" s="46"/>
      <c r="G164" s="45"/>
      <c r="H164" s="45"/>
      <c r="I164" s="45"/>
    </row>
    <row r="165" spans="1:9" s="47" customFormat="1" ht="12" x14ac:dyDescent="0.25">
      <c r="A165" s="30" t="s">
        <v>485</v>
      </c>
      <c r="B165" s="43" t="s">
        <v>501</v>
      </c>
      <c r="C165" s="33" t="s">
        <v>24</v>
      </c>
      <c r="D165" s="44" t="s">
        <v>505</v>
      </c>
      <c r="E165" s="45"/>
      <c r="F165" s="46"/>
      <c r="G165" s="45"/>
      <c r="H165" s="45"/>
      <c r="I165" s="45"/>
    </row>
    <row r="166" spans="1:9" s="47" customFormat="1" ht="12" x14ac:dyDescent="0.25">
      <c r="A166" s="30" t="s">
        <v>485</v>
      </c>
      <c r="B166" s="43" t="s">
        <v>501</v>
      </c>
      <c r="C166" s="33" t="s">
        <v>25</v>
      </c>
      <c r="D166" s="44" t="s">
        <v>506</v>
      </c>
      <c r="E166" s="45"/>
      <c r="F166" s="46"/>
      <c r="G166" s="45"/>
      <c r="H166" s="45"/>
      <c r="I166" s="45"/>
    </row>
    <row r="167" spans="1:9" s="47" customFormat="1" ht="12" x14ac:dyDescent="0.25">
      <c r="A167" s="30" t="s">
        <v>485</v>
      </c>
      <c r="B167" s="43" t="s">
        <v>501</v>
      </c>
      <c r="C167" s="33" t="s">
        <v>26</v>
      </c>
      <c r="D167" s="44" t="s">
        <v>27</v>
      </c>
      <c r="E167" s="45"/>
      <c r="F167" s="46"/>
      <c r="G167" s="45"/>
      <c r="H167" s="45"/>
      <c r="I167" s="45"/>
    </row>
    <row r="168" spans="1:9" s="47" customFormat="1" ht="12" x14ac:dyDescent="0.25">
      <c r="A168" s="30" t="s">
        <v>485</v>
      </c>
      <c r="B168" s="43" t="s">
        <v>501</v>
      </c>
      <c r="C168" s="33" t="s">
        <v>28</v>
      </c>
      <c r="D168" s="44" t="s">
        <v>507</v>
      </c>
      <c r="E168" s="45"/>
      <c r="F168" s="46"/>
      <c r="G168" s="45"/>
      <c r="H168" s="45"/>
      <c r="I168" s="45"/>
    </row>
    <row r="169" spans="1:9" s="47" customFormat="1" ht="12" x14ac:dyDescent="0.25">
      <c r="A169" s="30" t="s">
        <v>485</v>
      </c>
      <c r="B169" s="43" t="s">
        <v>501</v>
      </c>
      <c r="C169" s="33" t="s">
        <v>398</v>
      </c>
      <c r="D169" s="44" t="s">
        <v>541</v>
      </c>
      <c r="E169" s="45"/>
      <c r="F169" s="46"/>
      <c r="G169" s="45"/>
      <c r="H169" s="45"/>
      <c r="I169" s="45"/>
    </row>
    <row r="170" spans="1:9" s="47" customFormat="1" ht="12" x14ac:dyDescent="0.25">
      <c r="A170" s="30" t="s">
        <v>485</v>
      </c>
      <c r="B170" s="43" t="s">
        <v>501</v>
      </c>
      <c r="C170" s="33" t="s">
        <v>401</v>
      </c>
      <c r="D170" s="44" t="s">
        <v>542</v>
      </c>
      <c r="E170" s="45"/>
      <c r="F170" s="46"/>
      <c r="G170" s="45"/>
      <c r="H170" s="45"/>
      <c r="I170" s="45"/>
    </row>
    <row r="171" spans="1:9" s="47" customFormat="1" ht="12" x14ac:dyDescent="0.25">
      <c r="A171" s="30" t="s">
        <v>485</v>
      </c>
      <c r="B171" s="43" t="s">
        <v>501</v>
      </c>
      <c r="C171" s="33" t="s">
        <v>410</v>
      </c>
      <c r="D171" s="44" t="s">
        <v>505</v>
      </c>
      <c r="E171" s="45"/>
      <c r="F171" s="46"/>
      <c r="G171" s="45"/>
      <c r="H171" s="45"/>
      <c r="I171" s="45"/>
    </row>
    <row r="172" spans="1:9" s="47" customFormat="1" ht="12" x14ac:dyDescent="0.25">
      <c r="A172" s="30" t="s">
        <v>485</v>
      </c>
      <c r="B172" s="43" t="s">
        <v>501</v>
      </c>
      <c r="C172" s="33" t="s">
        <v>411</v>
      </c>
      <c r="D172" s="44" t="s">
        <v>506</v>
      </c>
      <c r="E172" s="45"/>
      <c r="F172" s="46"/>
      <c r="G172" s="45"/>
      <c r="H172" s="45"/>
      <c r="I172" s="45"/>
    </row>
    <row r="173" spans="1:9" s="47" customFormat="1" ht="12" x14ac:dyDescent="0.25">
      <c r="A173" s="30" t="s">
        <v>486</v>
      </c>
      <c r="B173" s="43" t="s">
        <v>501</v>
      </c>
      <c r="C173" s="33" t="s">
        <v>24</v>
      </c>
      <c r="D173" s="44" t="s">
        <v>505</v>
      </c>
      <c r="E173" s="45"/>
      <c r="F173" s="46"/>
      <c r="G173" s="45"/>
      <c r="H173" s="45"/>
      <c r="I173" s="45"/>
    </row>
    <row r="174" spans="1:9" s="47" customFormat="1" ht="12" x14ac:dyDescent="0.25">
      <c r="A174" s="30" t="s">
        <v>486</v>
      </c>
      <c r="B174" s="43" t="s">
        <v>501</v>
      </c>
      <c r="C174" s="33" t="s">
        <v>25</v>
      </c>
      <c r="D174" s="44" t="s">
        <v>506</v>
      </c>
      <c r="E174" s="45"/>
      <c r="F174" s="46"/>
      <c r="G174" s="45"/>
      <c r="H174" s="45"/>
      <c r="I174" s="45"/>
    </row>
    <row r="175" spans="1:9" s="47" customFormat="1" ht="12" x14ac:dyDescent="0.25">
      <c r="A175" s="30" t="s">
        <v>486</v>
      </c>
      <c r="B175" s="43" t="s">
        <v>501</v>
      </c>
      <c r="C175" s="33" t="s">
        <v>26</v>
      </c>
      <c r="D175" s="44" t="s">
        <v>27</v>
      </c>
      <c r="E175" s="45"/>
      <c r="F175" s="46"/>
      <c r="G175" s="45"/>
      <c r="H175" s="45"/>
      <c r="I175" s="45"/>
    </row>
    <row r="176" spans="1:9" s="47" customFormat="1" ht="12" x14ac:dyDescent="0.25">
      <c r="A176" s="30" t="s">
        <v>486</v>
      </c>
      <c r="B176" s="43" t="s">
        <v>501</v>
      </c>
      <c r="C176" s="33" t="s">
        <v>28</v>
      </c>
      <c r="D176" s="44" t="s">
        <v>507</v>
      </c>
      <c r="E176" s="45"/>
      <c r="F176" s="46"/>
      <c r="G176" s="45"/>
      <c r="H176" s="45"/>
      <c r="I176" s="45"/>
    </row>
    <row r="177" spans="1:9" s="47" customFormat="1" ht="12" x14ac:dyDescent="0.25">
      <c r="A177" s="30" t="s">
        <v>486</v>
      </c>
      <c r="B177" s="43" t="s">
        <v>501</v>
      </c>
      <c r="C177" s="33" t="s">
        <v>29</v>
      </c>
      <c r="D177" s="44" t="s">
        <v>508</v>
      </c>
      <c r="E177" s="45"/>
      <c r="F177" s="46"/>
      <c r="G177" s="45"/>
      <c r="H177" s="45"/>
      <c r="I177" s="45"/>
    </row>
    <row r="178" spans="1:9" s="47" customFormat="1" ht="12" x14ac:dyDescent="0.25">
      <c r="A178" s="30" t="s">
        <v>486</v>
      </c>
      <c r="B178" s="43" t="s">
        <v>501</v>
      </c>
      <c r="C178" s="33" t="s">
        <v>410</v>
      </c>
      <c r="D178" s="44" t="s">
        <v>505</v>
      </c>
      <c r="E178" s="45"/>
      <c r="F178" s="46"/>
      <c r="G178" s="45"/>
      <c r="H178" s="45"/>
      <c r="I178" s="45"/>
    </row>
    <row r="179" spans="1:9" s="47" customFormat="1" ht="12" x14ac:dyDescent="0.25">
      <c r="A179" s="30" t="s">
        <v>486</v>
      </c>
      <c r="B179" s="43" t="s">
        <v>501</v>
      </c>
      <c r="C179" s="33" t="s">
        <v>411</v>
      </c>
      <c r="D179" s="44" t="s">
        <v>506</v>
      </c>
      <c r="E179" s="45"/>
      <c r="F179" s="46"/>
      <c r="G179" s="45"/>
      <c r="H179" s="45"/>
      <c r="I179" s="45"/>
    </row>
    <row r="180" spans="1:9" s="47" customFormat="1" ht="12" x14ac:dyDescent="0.25">
      <c r="A180" s="30" t="s">
        <v>487</v>
      </c>
      <c r="B180" s="43" t="s">
        <v>501</v>
      </c>
      <c r="C180" s="33" t="s">
        <v>24</v>
      </c>
      <c r="D180" s="44" t="s">
        <v>505</v>
      </c>
      <c r="E180" s="45"/>
      <c r="F180" s="46"/>
      <c r="G180" s="45"/>
      <c r="H180" s="45"/>
      <c r="I180" s="45"/>
    </row>
    <row r="181" spans="1:9" s="47" customFormat="1" ht="12" x14ac:dyDescent="0.25">
      <c r="A181" s="30" t="s">
        <v>487</v>
      </c>
      <c r="B181" s="43" t="s">
        <v>501</v>
      </c>
      <c r="C181" s="33" t="s">
        <v>25</v>
      </c>
      <c r="D181" s="44" t="s">
        <v>506</v>
      </c>
      <c r="E181" s="45"/>
      <c r="F181" s="46"/>
      <c r="G181" s="45"/>
      <c r="H181" s="45"/>
      <c r="I181" s="45"/>
    </row>
    <row r="182" spans="1:9" s="47" customFormat="1" ht="12" x14ac:dyDescent="0.25">
      <c r="A182" s="30" t="s">
        <v>487</v>
      </c>
      <c r="B182" s="43" t="s">
        <v>501</v>
      </c>
      <c r="C182" s="33" t="s">
        <v>26</v>
      </c>
      <c r="D182" s="44" t="s">
        <v>27</v>
      </c>
      <c r="E182" s="45"/>
      <c r="F182" s="46"/>
      <c r="G182" s="45"/>
      <c r="H182" s="45"/>
      <c r="I182" s="45"/>
    </row>
    <row r="183" spans="1:9" s="47" customFormat="1" ht="12" x14ac:dyDescent="0.25">
      <c r="A183" s="30" t="s">
        <v>487</v>
      </c>
      <c r="B183" s="43" t="s">
        <v>501</v>
      </c>
      <c r="C183" s="33" t="s">
        <v>28</v>
      </c>
      <c r="D183" s="44" t="s">
        <v>507</v>
      </c>
      <c r="E183" s="45"/>
      <c r="F183" s="46"/>
      <c r="G183" s="45"/>
      <c r="H183" s="45"/>
      <c r="I183" s="45"/>
    </row>
    <row r="184" spans="1:9" s="47" customFormat="1" ht="12" x14ac:dyDescent="0.25">
      <c r="A184" s="30" t="s">
        <v>487</v>
      </c>
      <c r="B184" s="43" t="s">
        <v>501</v>
      </c>
      <c r="C184" s="33" t="s">
        <v>29</v>
      </c>
      <c r="D184" s="44" t="s">
        <v>508</v>
      </c>
      <c r="E184" s="45"/>
      <c r="F184" s="46"/>
      <c r="G184" s="45"/>
      <c r="H184" s="45"/>
      <c r="I184" s="45"/>
    </row>
    <row r="185" spans="1:9" s="47" customFormat="1" ht="12" x14ac:dyDescent="0.25">
      <c r="A185" s="30" t="s">
        <v>487</v>
      </c>
      <c r="B185" s="43" t="s">
        <v>501</v>
      </c>
      <c r="C185" s="33" t="s">
        <v>410</v>
      </c>
      <c r="D185" s="44" t="s">
        <v>505</v>
      </c>
      <c r="E185" s="45"/>
      <c r="F185" s="46"/>
      <c r="G185" s="45"/>
      <c r="H185" s="45"/>
      <c r="I185" s="45"/>
    </row>
    <row r="186" spans="1:9" s="47" customFormat="1" ht="12" x14ac:dyDescent="0.25">
      <c r="A186" s="30" t="s">
        <v>487</v>
      </c>
      <c r="B186" s="43" t="s">
        <v>501</v>
      </c>
      <c r="C186" s="33" t="s">
        <v>411</v>
      </c>
      <c r="D186" s="44" t="s">
        <v>506</v>
      </c>
      <c r="E186" s="45"/>
      <c r="F186" s="46"/>
      <c r="G186" s="45"/>
      <c r="H186" s="45"/>
      <c r="I186" s="45"/>
    </row>
    <row r="187" spans="1:9" s="47" customFormat="1" ht="12" x14ac:dyDescent="0.25">
      <c r="A187" s="30" t="s">
        <v>488</v>
      </c>
      <c r="B187" s="43" t="s">
        <v>501</v>
      </c>
      <c r="C187" s="33" t="s">
        <v>24</v>
      </c>
      <c r="D187" s="44" t="s">
        <v>505</v>
      </c>
      <c r="E187" s="45"/>
      <c r="F187" s="46"/>
      <c r="G187" s="45"/>
      <c r="H187" s="45"/>
      <c r="I187" s="45"/>
    </row>
    <row r="188" spans="1:9" s="47" customFormat="1" ht="12" x14ac:dyDescent="0.25">
      <c r="A188" s="30" t="s">
        <v>488</v>
      </c>
      <c r="B188" s="43" t="s">
        <v>501</v>
      </c>
      <c r="C188" s="33" t="s">
        <v>25</v>
      </c>
      <c r="D188" s="44" t="s">
        <v>506</v>
      </c>
      <c r="E188" s="45"/>
      <c r="F188" s="46"/>
      <c r="G188" s="45"/>
      <c r="H188" s="45"/>
      <c r="I188" s="45"/>
    </row>
    <row r="189" spans="1:9" s="47" customFormat="1" ht="12" x14ac:dyDescent="0.25">
      <c r="A189" s="30" t="s">
        <v>488</v>
      </c>
      <c r="B189" s="43" t="s">
        <v>501</v>
      </c>
      <c r="C189" s="33" t="s">
        <v>30</v>
      </c>
      <c r="D189" s="44" t="s">
        <v>509</v>
      </c>
      <c r="E189" s="45"/>
      <c r="F189" s="46"/>
      <c r="G189" s="45"/>
      <c r="H189" s="45"/>
      <c r="I189" s="45"/>
    </row>
    <row r="190" spans="1:9" s="47" customFormat="1" ht="12" x14ac:dyDescent="0.25">
      <c r="A190" s="30" t="s">
        <v>488</v>
      </c>
      <c r="B190" s="43" t="s">
        <v>501</v>
      </c>
      <c r="C190" s="33" t="s">
        <v>31</v>
      </c>
      <c r="D190" s="44" t="s">
        <v>510</v>
      </c>
      <c r="E190" s="45"/>
      <c r="F190" s="46"/>
      <c r="G190" s="45"/>
      <c r="H190" s="45"/>
      <c r="I190" s="45"/>
    </row>
    <row r="191" spans="1:9" s="47" customFormat="1" ht="12" x14ac:dyDescent="0.25">
      <c r="A191" s="30" t="s">
        <v>488</v>
      </c>
      <c r="B191" s="43" t="s">
        <v>501</v>
      </c>
      <c r="C191" s="33" t="s">
        <v>32</v>
      </c>
      <c r="D191" s="44" t="s">
        <v>511</v>
      </c>
      <c r="E191" s="45"/>
      <c r="F191" s="46"/>
      <c r="G191" s="45"/>
      <c r="H191" s="45"/>
      <c r="I191" s="45"/>
    </row>
    <row r="192" spans="1:9" s="47" customFormat="1" ht="12" x14ac:dyDescent="0.25">
      <c r="A192" s="30" t="s">
        <v>489</v>
      </c>
      <c r="B192" s="43" t="s">
        <v>501</v>
      </c>
      <c r="C192" s="33" t="s">
        <v>24</v>
      </c>
      <c r="D192" s="44" t="s">
        <v>505</v>
      </c>
      <c r="E192" s="45"/>
      <c r="F192" s="46"/>
      <c r="G192" s="45"/>
      <c r="H192" s="45"/>
      <c r="I192" s="45"/>
    </row>
    <row r="193" spans="1:9" s="47" customFormat="1" ht="12" x14ac:dyDescent="0.25">
      <c r="A193" s="30" t="s">
        <v>489</v>
      </c>
      <c r="B193" s="43" t="s">
        <v>501</v>
      </c>
      <c r="C193" s="33" t="s">
        <v>25</v>
      </c>
      <c r="D193" s="44" t="s">
        <v>506</v>
      </c>
      <c r="E193" s="45"/>
      <c r="F193" s="46"/>
      <c r="G193" s="45"/>
      <c r="H193" s="45"/>
      <c r="I193" s="45"/>
    </row>
    <row r="194" spans="1:9" s="47" customFormat="1" ht="12" x14ac:dyDescent="0.25">
      <c r="A194" s="30" t="s">
        <v>489</v>
      </c>
      <c r="B194" s="43" t="s">
        <v>501</v>
      </c>
      <c r="C194" s="33" t="s">
        <v>30</v>
      </c>
      <c r="D194" s="44" t="s">
        <v>509</v>
      </c>
      <c r="E194" s="45"/>
      <c r="F194" s="46"/>
      <c r="G194" s="45"/>
      <c r="H194" s="45"/>
      <c r="I194" s="45"/>
    </row>
    <row r="195" spans="1:9" s="47" customFormat="1" ht="12" x14ac:dyDescent="0.25">
      <c r="A195" s="30" t="s">
        <v>489</v>
      </c>
      <c r="B195" s="43" t="s">
        <v>501</v>
      </c>
      <c r="C195" s="33" t="s">
        <v>31</v>
      </c>
      <c r="D195" s="44" t="s">
        <v>510</v>
      </c>
      <c r="E195" s="45"/>
      <c r="F195" s="46"/>
      <c r="G195" s="45"/>
      <c r="H195" s="45"/>
      <c r="I195" s="45"/>
    </row>
    <row r="196" spans="1:9" s="47" customFormat="1" ht="12" x14ac:dyDescent="0.25">
      <c r="A196" s="30" t="s">
        <v>489</v>
      </c>
      <c r="B196" s="43" t="s">
        <v>501</v>
      </c>
      <c r="C196" s="33" t="s">
        <v>32</v>
      </c>
      <c r="D196" s="44" t="s">
        <v>511</v>
      </c>
      <c r="E196" s="45"/>
      <c r="F196" s="46"/>
      <c r="G196" s="45"/>
      <c r="H196" s="45"/>
      <c r="I196" s="45"/>
    </row>
    <row r="197" spans="1:9" s="47" customFormat="1" ht="12" x14ac:dyDescent="0.25">
      <c r="A197" s="30" t="s">
        <v>490</v>
      </c>
      <c r="B197" s="43" t="s">
        <v>501</v>
      </c>
      <c r="C197" s="33" t="s">
        <v>24</v>
      </c>
      <c r="D197" s="44" t="s">
        <v>505</v>
      </c>
      <c r="E197" s="45"/>
      <c r="F197" s="46"/>
      <c r="G197" s="45"/>
      <c r="H197" s="45"/>
      <c r="I197" s="45"/>
    </row>
    <row r="198" spans="1:9" s="47" customFormat="1" ht="12" x14ac:dyDescent="0.25">
      <c r="A198" s="30" t="s">
        <v>490</v>
      </c>
      <c r="B198" s="43" t="s">
        <v>501</v>
      </c>
      <c r="C198" s="33" t="s">
        <v>25</v>
      </c>
      <c r="D198" s="44" t="s">
        <v>506</v>
      </c>
      <c r="E198" s="45"/>
      <c r="F198" s="46"/>
      <c r="G198" s="45"/>
      <c r="H198" s="45"/>
      <c r="I198" s="45"/>
    </row>
    <row r="199" spans="1:9" s="47" customFormat="1" ht="12" x14ac:dyDescent="0.25">
      <c r="A199" s="30" t="s">
        <v>490</v>
      </c>
      <c r="B199" s="43" t="s">
        <v>501</v>
      </c>
      <c r="C199" s="33" t="s">
        <v>30</v>
      </c>
      <c r="D199" s="44" t="s">
        <v>509</v>
      </c>
      <c r="E199" s="45"/>
      <c r="F199" s="46"/>
      <c r="G199" s="45"/>
      <c r="H199" s="45"/>
      <c r="I199" s="45"/>
    </row>
    <row r="200" spans="1:9" s="47" customFormat="1" ht="12" x14ac:dyDescent="0.25">
      <c r="A200" s="30" t="s">
        <v>490</v>
      </c>
      <c r="B200" s="43" t="s">
        <v>501</v>
      </c>
      <c r="C200" s="33" t="s">
        <v>31</v>
      </c>
      <c r="D200" s="44" t="s">
        <v>510</v>
      </c>
      <c r="E200" s="45"/>
      <c r="F200" s="46"/>
      <c r="G200" s="45"/>
      <c r="H200" s="45"/>
      <c r="I200" s="45"/>
    </row>
    <row r="201" spans="1:9" s="47" customFormat="1" ht="12" x14ac:dyDescent="0.25">
      <c r="A201" s="30" t="s">
        <v>490</v>
      </c>
      <c r="B201" s="43" t="s">
        <v>501</v>
      </c>
      <c r="C201" s="33" t="s">
        <v>32</v>
      </c>
      <c r="D201" s="44" t="s">
        <v>511</v>
      </c>
      <c r="E201" s="45"/>
      <c r="F201" s="46"/>
      <c r="G201" s="45"/>
      <c r="H201" s="45"/>
      <c r="I201" s="45"/>
    </row>
    <row r="202" spans="1:9" s="47" customFormat="1" ht="12" x14ac:dyDescent="0.25">
      <c r="A202" s="30" t="s">
        <v>491</v>
      </c>
      <c r="B202" s="43" t="s">
        <v>501</v>
      </c>
      <c r="C202" s="33" t="s">
        <v>24</v>
      </c>
      <c r="D202" s="44" t="s">
        <v>505</v>
      </c>
      <c r="E202" s="45"/>
      <c r="F202" s="46"/>
      <c r="G202" s="45"/>
      <c r="H202" s="45"/>
      <c r="I202" s="45"/>
    </row>
    <row r="203" spans="1:9" s="47" customFormat="1" ht="12" x14ac:dyDescent="0.25">
      <c r="A203" s="30" t="s">
        <v>491</v>
      </c>
      <c r="B203" s="43" t="s">
        <v>501</v>
      </c>
      <c r="C203" s="33" t="s">
        <v>25</v>
      </c>
      <c r="D203" s="44" t="s">
        <v>506</v>
      </c>
      <c r="E203" s="45"/>
      <c r="F203" s="46"/>
      <c r="G203" s="45"/>
      <c r="H203" s="45"/>
      <c r="I203" s="45"/>
    </row>
    <row r="204" spans="1:9" s="47" customFormat="1" ht="12" x14ac:dyDescent="0.25">
      <c r="A204" s="30" t="s">
        <v>491</v>
      </c>
      <c r="B204" s="43" t="s">
        <v>501</v>
      </c>
      <c r="C204" s="33" t="s">
        <v>30</v>
      </c>
      <c r="D204" s="44" t="s">
        <v>509</v>
      </c>
      <c r="E204" s="45"/>
      <c r="F204" s="46"/>
      <c r="G204" s="45"/>
      <c r="H204" s="45"/>
      <c r="I204" s="45"/>
    </row>
    <row r="205" spans="1:9" s="47" customFormat="1" ht="12" x14ac:dyDescent="0.25">
      <c r="A205" s="30" t="s">
        <v>491</v>
      </c>
      <c r="B205" s="43" t="s">
        <v>501</v>
      </c>
      <c r="C205" s="33" t="s">
        <v>31</v>
      </c>
      <c r="D205" s="44" t="s">
        <v>510</v>
      </c>
      <c r="E205" s="45"/>
      <c r="F205" s="46"/>
      <c r="G205" s="45"/>
      <c r="H205" s="45"/>
      <c r="I205" s="45"/>
    </row>
    <row r="206" spans="1:9" s="47" customFormat="1" ht="12" x14ac:dyDescent="0.25">
      <c r="A206" s="30" t="s">
        <v>491</v>
      </c>
      <c r="B206" s="43" t="s">
        <v>501</v>
      </c>
      <c r="C206" s="33" t="s">
        <v>32</v>
      </c>
      <c r="D206" s="44" t="s">
        <v>511</v>
      </c>
      <c r="E206" s="45"/>
      <c r="F206" s="46"/>
      <c r="G206" s="45"/>
      <c r="H206" s="45"/>
      <c r="I206" s="45"/>
    </row>
    <row r="207" spans="1:9" s="47" customFormat="1" ht="12" x14ac:dyDescent="0.25">
      <c r="A207" s="30" t="s">
        <v>492</v>
      </c>
      <c r="B207" s="43" t="s">
        <v>501</v>
      </c>
      <c r="C207" s="58" t="s">
        <v>24</v>
      </c>
      <c r="D207" s="44" t="s">
        <v>505</v>
      </c>
      <c r="E207" s="45"/>
      <c r="F207" s="46"/>
      <c r="G207" s="45"/>
      <c r="H207" s="45"/>
      <c r="I207" s="45"/>
    </row>
    <row r="208" spans="1:9" s="47" customFormat="1" ht="12" x14ac:dyDescent="0.25">
      <c r="A208" s="30" t="s">
        <v>492</v>
      </c>
      <c r="B208" s="43" t="s">
        <v>501</v>
      </c>
      <c r="C208" s="58" t="s">
        <v>25</v>
      </c>
      <c r="D208" s="44" t="s">
        <v>506</v>
      </c>
      <c r="E208" s="45"/>
      <c r="F208" s="46"/>
      <c r="G208" s="45"/>
      <c r="H208" s="45"/>
      <c r="I208" s="45"/>
    </row>
    <row r="209" spans="1:9" s="47" customFormat="1" ht="12" x14ac:dyDescent="0.25">
      <c r="A209" s="30" t="s">
        <v>492</v>
      </c>
      <c r="B209" s="43" t="s">
        <v>501</v>
      </c>
      <c r="C209" s="58" t="s">
        <v>30</v>
      </c>
      <c r="D209" s="44" t="s">
        <v>509</v>
      </c>
      <c r="E209" s="45"/>
      <c r="F209" s="46"/>
      <c r="G209" s="45"/>
      <c r="H209" s="45"/>
      <c r="I209" s="45"/>
    </row>
    <row r="210" spans="1:9" s="47" customFormat="1" ht="12" x14ac:dyDescent="0.25">
      <c r="A210" s="30" t="s">
        <v>492</v>
      </c>
      <c r="B210" s="43" t="s">
        <v>501</v>
      </c>
      <c r="C210" s="58" t="s">
        <v>31</v>
      </c>
      <c r="D210" s="44" t="s">
        <v>510</v>
      </c>
      <c r="E210" s="45"/>
      <c r="F210" s="46"/>
      <c r="G210" s="45"/>
      <c r="H210" s="45"/>
      <c r="I210" s="45"/>
    </row>
    <row r="211" spans="1:9" s="47" customFormat="1" ht="12" x14ac:dyDescent="0.25">
      <c r="A211" s="30" t="s">
        <v>492</v>
      </c>
      <c r="B211" s="43" t="s">
        <v>501</v>
      </c>
      <c r="C211" s="58" t="s">
        <v>32</v>
      </c>
      <c r="D211" s="44" t="s">
        <v>511</v>
      </c>
      <c r="E211" s="45"/>
      <c r="F211" s="46"/>
      <c r="G211" s="45"/>
      <c r="H211" s="45"/>
      <c r="I211" s="45"/>
    </row>
    <row r="212" spans="1:9" s="47" customFormat="1" ht="12" x14ac:dyDescent="0.25">
      <c r="A212" s="30" t="s">
        <v>493</v>
      </c>
      <c r="B212" s="43" t="s">
        <v>501</v>
      </c>
      <c r="C212" s="58" t="s">
        <v>24</v>
      </c>
      <c r="D212" s="44" t="s">
        <v>505</v>
      </c>
      <c r="E212" s="45"/>
      <c r="F212" s="46"/>
      <c r="G212" s="45"/>
      <c r="H212" s="45"/>
      <c r="I212" s="45"/>
    </row>
    <row r="213" spans="1:9" s="47" customFormat="1" ht="12" x14ac:dyDescent="0.25">
      <c r="A213" s="30" t="s">
        <v>493</v>
      </c>
      <c r="B213" s="43" t="s">
        <v>501</v>
      </c>
      <c r="C213" s="58" t="s">
        <v>25</v>
      </c>
      <c r="D213" s="44" t="s">
        <v>506</v>
      </c>
      <c r="E213" s="45"/>
      <c r="F213" s="46"/>
      <c r="G213" s="45"/>
      <c r="H213" s="45"/>
      <c r="I213" s="45"/>
    </row>
    <row r="214" spans="1:9" s="47" customFormat="1" ht="12" x14ac:dyDescent="0.25">
      <c r="A214" s="30" t="s">
        <v>493</v>
      </c>
      <c r="B214" s="43" t="s">
        <v>501</v>
      </c>
      <c r="C214" s="58" t="s">
        <v>30</v>
      </c>
      <c r="D214" s="44" t="s">
        <v>509</v>
      </c>
      <c r="E214" s="45"/>
      <c r="F214" s="46"/>
      <c r="G214" s="45"/>
      <c r="H214" s="45"/>
      <c r="I214" s="45"/>
    </row>
    <row r="215" spans="1:9" s="47" customFormat="1" ht="12" x14ac:dyDescent="0.25">
      <c r="A215" s="30" t="s">
        <v>493</v>
      </c>
      <c r="B215" s="43" t="s">
        <v>501</v>
      </c>
      <c r="C215" s="58" t="s">
        <v>31</v>
      </c>
      <c r="D215" s="44" t="s">
        <v>510</v>
      </c>
      <c r="E215" s="45"/>
      <c r="F215" s="46"/>
      <c r="G215" s="45"/>
      <c r="H215" s="45"/>
      <c r="I215" s="45"/>
    </row>
    <row r="216" spans="1:9" s="47" customFormat="1" ht="12" x14ac:dyDescent="0.25">
      <c r="A216" s="30" t="s">
        <v>493</v>
      </c>
      <c r="B216" s="43" t="s">
        <v>501</v>
      </c>
      <c r="C216" s="58" t="s">
        <v>32</v>
      </c>
      <c r="D216" s="44" t="s">
        <v>511</v>
      </c>
      <c r="E216" s="45"/>
      <c r="F216" s="46"/>
      <c r="G216" s="45"/>
      <c r="H216" s="45"/>
      <c r="I216" s="45"/>
    </row>
    <row r="217" spans="1:9" s="47" customFormat="1" ht="12" x14ac:dyDescent="0.25">
      <c r="A217" s="30" t="s">
        <v>494</v>
      </c>
      <c r="B217" s="43" t="s">
        <v>501</v>
      </c>
      <c r="C217" s="58" t="s">
        <v>24</v>
      </c>
      <c r="D217" s="44" t="s">
        <v>505</v>
      </c>
      <c r="E217" s="45"/>
      <c r="F217" s="46"/>
      <c r="G217" s="45"/>
      <c r="H217" s="45"/>
      <c r="I217" s="45"/>
    </row>
    <row r="218" spans="1:9" s="47" customFormat="1" ht="12" x14ac:dyDescent="0.25">
      <c r="A218" s="30" t="s">
        <v>494</v>
      </c>
      <c r="B218" s="43" t="s">
        <v>501</v>
      </c>
      <c r="C218" s="58" t="s">
        <v>25</v>
      </c>
      <c r="D218" s="44" t="s">
        <v>506</v>
      </c>
      <c r="E218" s="45"/>
      <c r="F218" s="46"/>
      <c r="G218" s="45"/>
      <c r="H218" s="45"/>
      <c r="I218" s="45"/>
    </row>
    <row r="219" spans="1:9" s="47" customFormat="1" ht="12" x14ac:dyDescent="0.25">
      <c r="A219" s="30" t="s">
        <v>494</v>
      </c>
      <c r="B219" s="43" t="s">
        <v>501</v>
      </c>
      <c r="C219" s="58" t="s">
        <v>30</v>
      </c>
      <c r="D219" s="44" t="s">
        <v>509</v>
      </c>
      <c r="E219" s="45"/>
      <c r="F219" s="46"/>
      <c r="G219" s="45"/>
      <c r="H219" s="45"/>
      <c r="I219" s="45"/>
    </row>
    <row r="220" spans="1:9" s="47" customFormat="1" ht="12" x14ac:dyDescent="0.25">
      <c r="A220" s="30" t="s">
        <v>494</v>
      </c>
      <c r="B220" s="43" t="s">
        <v>501</v>
      </c>
      <c r="C220" s="58" t="s">
        <v>31</v>
      </c>
      <c r="D220" s="44" t="s">
        <v>510</v>
      </c>
      <c r="E220" s="45"/>
      <c r="F220" s="46"/>
      <c r="G220" s="45"/>
      <c r="H220" s="45"/>
      <c r="I220" s="45"/>
    </row>
    <row r="221" spans="1:9" s="47" customFormat="1" ht="12" x14ac:dyDescent="0.25">
      <c r="A221" s="30" t="s">
        <v>494</v>
      </c>
      <c r="B221" s="43" t="s">
        <v>501</v>
      </c>
      <c r="C221" s="58" t="s">
        <v>32</v>
      </c>
      <c r="D221" s="44" t="s">
        <v>511</v>
      </c>
      <c r="E221" s="45"/>
      <c r="F221" s="46"/>
      <c r="G221" s="45"/>
      <c r="H221" s="45"/>
      <c r="I221" s="45"/>
    </row>
    <row r="222" spans="1:9" s="47" customFormat="1" ht="12" x14ac:dyDescent="0.25">
      <c r="A222" s="30" t="s">
        <v>495</v>
      </c>
      <c r="B222" s="43" t="s">
        <v>501</v>
      </c>
      <c r="C222" s="58" t="s">
        <v>24</v>
      </c>
      <c r="D222" s="44" t="s">
        <v>505</v>
      </c>
      <c r="E222" s="45"/>
      <c r="F222" s="46"/>
      <c r="G222" s="45"/>
      <c r="H222" s="45"/>
      <c r="I222" s="45"/>
    </row>
    <row r="223" spans="1:9" s="47" customFormat="1" ht="12" x14ac:dyDescent="0.25">
      <c r="A223" s="30" t="s">
        <v>495</v>
      </c>
      <c r="B223" s="43" t="s">
        <v>501</v>
      </c>
      <c r="C223" s="58" t="s">
        <v>25</v>
      </c>
      <c r="D223" s="44" t="s">
        <v>506</v>
      </c>
      <c r="E223" s="45"/>
      <c r="F223" s="46"/>
      <c r="G223" s="45"/>
      <c r="H223" s="45"/>
      <c r="I223" s="45"/>
    </row>
    <row r="224" spans="1:9" s="47" customFormat="1" ht="12" x14ac:dyDescent="0.25">
      <c r="A224" s="30" t="s">
        <v>495</v>
      </c>
      <c r="B224" s="43" t="s">
        <v>501</v>
      </c>
      <c r="C224" s="58" t="s">
        <v>30</v>
      </c>
      <c r="D224" s="44" t="s">
        <v>509</v>
      </c>
      <c r="E224" s="45"/>
      <c r="F224" s="46"/>
      <c r="G224" s="45"/>
      <c r="H224" s="45"/>
      <c r="I224" s="45"/>
    </row>
    <row r="225" spans="1:9" s="47" customFormat="1" ht="12" x14ac:dyDescent="0.25">
      <c r="A225" s="30" t="s">
        <v>495</v>
      </c>
      <c r="B225" s="43" t="s">
        <v>501</v>
      </c>
      <c r="C225" s="58" t="s">
        <v>31</v>
      </c>
      <c r="D225" s="44" t="s">
        <v>510</v>
      </c>
      <c r="E225" s="45"/>
      <c r="F225" s="46"/>
      <c r="G225" s="45"/>
      <c r="H225" s="45"/>
      <c r="I225" s="45"/>
    </row>
    <row r="226" spans="1:9" s="47" customFormat="1" ht="12" x14ac:dyDescent="0.25">
      <c r="A226" s="30" t="s">
        <v>495</v>
      </c>
      <c r="B226" s="43" t="s">
        <v>501</v>
      </c>
      <c r="C226" s="58" t="s">
        <v>32</v>
      </c>
      <c r="D226" s="44" t="s">
        <v>511</v>
      </c>
      <c r="E226" s="45"/>
      <c r="F226" s="46"/>
      <c r="G226" s="45"/>
      <c r="H226" s="45"/>
      <c r="I226" s="45"/>
    </row>
    <row r="227" spans="1:9" s="47" customFormat="1" ht="12" x14ac:dyDescent="0.25">
      <c r="A227" s="30" t="s">
        <v>496</v>
      </c>
      <c r="B227" s="43" t="s">
        <v>501</v>
      </c>
      <c r="C227" s="62" t="s">
        <v>24</v>
      </c>
      <c r="D227" s="44" t="s">
        <v>505</v>
      </c>
      <c r="E227" s="45"/>
      <c r="F227" s="46"/>
      <c r="G227" s="45"/>
      <c r="H227" s="45"/>
      <c r="I227" s="45"/>
    </row>
    <row r="228" spans="1:9" s="47" customFormat="1" ht="12" x14ac:dyDescent="0.25">
      <c r="A228" s="30" t="s">
        <v>496</v>
      </c>
      <c r="B228" s="43" t="s">
        <v>501</v>
      </c>
      <c r="C228" s="62" t="s">
        <v>25</v>
      </c>
      <c r="D228" s="44" t="s">
        <v>506</v>
      </c>
      <c r="E228" s="45"/>
      <c r="F228" s="46"/>
      <c r="G228" s="45"/>
      <c r="H228" s="45"/>
      <c r="I228" s="45"/>
    </row>
    <row r="229" spans="1:9" s="47" customFormat="1" ht="12" x14ac:dyDescent="0.25">
      <c r="A229" s="30" t="s">
        <v>496</v>
      </c>
      <c r="B229" s="43" t="s">
        <v>501</v>
      </c>
      <c r="C229" s="62" t="s">
        <v>26</v>
      </c>
      <c r="D229" s="44" t="s">
        <v>27</v>
      </c>
      <c r="E229" s="45"/>
      <c r="F229" s="46"/>
      <c r="G229" s="45"/>
      <c r="H229" s="45"/>
      <c r="I229" s="45"/>
    </row>
    <row r="230" spans="1:9" s="47" customFormat="1" ht="12" x14ac:dyDescent="0.25">
      <c r="A230" s="30" t="s">
        <v>496</v>
      </c>
      <c r="B230" s="43" t="s">
        <v>501</v>
      </c>
      <c r="C230" s="62" t="s">
        <v>28</v>
      </c>
      <c r="D230" s="44" t="s">
        <v>507</v>
      </c>
      <c r="E230" s="45"/>
      <c r="F230" s="46"/>
      <c r="G230" s="45"/>
      <c r="H230" s="45"/>
      <c r="I230" s="45"/>
    </row>
    <row r="231" spans="1:9" s="47" customFormat="1" ht="12" x14ac:dyDescent="0.25">
      <c r="A231" s="30" t="s">
        <v>496</v>
      </c>
      <c r="B231" s="43" t="s">
        <v>501</v>
      </c>
      <c r="C231" s="62" t="s">
        <v>29</v>
      </c>
      <c r="D231" s="44" t="s">
        <v>508</v>
      </c>
      <c r="E231" s="45"/>
      <c r="F231" s="46"/>
      <c r="G231" s="45"/>
      <c r="H231" s="45"/>
      <c r="I231" s="45"/>
    </row>
    <row r="232" spans="1:9" s="47" customFormat="1" ht="12" x14ac:dyDescent="0.25">
      <c r="A232" s="30" t="s">
        <v>496</v>
      </c>
      <c r="B232" s="43" t="s">
        <v>501</v>
      </c>
      <c r="C232" s="62" t="s">
        <v>30</v>
      </c>
      <c r="D232" s="44" t="s">
        <v>509</v>
      </c>
      <c r="E232" s="45"/>
      <c r="F232" s="46"/>
      <c r="G232" s="45"/>
      <c r="H232" s="45"/>
      <c r="I232" s="45"/>
    </row>
    <row r="233" spans="1:9" s="47" customFormat="1" ht="12" x14ac:dyDescent="0.25">
      <c r="A233" s="30" t="s">
        <v>496</v>
      </c>
      <c r="B233" s="43" t="s">
        <v>501</v>
      </c>
      <c r="C233" s="62" t="s">
        <v>31</v>
      </c>
      <c r="D233" s="44" t="s">
        <v>510</v>
      </c>
      <c r="E233" s="45"/>
      <c r="F233" s="46"/>
      <c r="G233" s="45"/>
      <c r="H233" s="45"/>
      <c r="I233" s="45"/>
    </row>
    <row r="234" spans="1:9" s="47" customFormat="1" ht="12" x14ac:dyDescent="0.25">
      <c r="A234" s="30" t="s">
        <v>497</v>
      </c>
      <c r="B234" s="43" t="s">
        <v>501</v>
      </c>
      <c r="C234" s="62" t="s">
        <v>24</v>
      </c>
      <c r="D234" s="44" t="s">
        <v>505</v>
      </c>
      <c r="E234" s="45"/>
      <c r="F234" s="46"/>
      <c r="G234" s="45"/>
      <c r="H234" s="45"/>
      <c r="I234" s="45"/>
    </row>
    <row r="235" spans="1:9" s="47" customFormat="1" ht="12" x14ac:dyDescent="0.25">
      <c r="A235" s="30" t="s">
        <v>497</v>
      </c>
      <c r="B235" s="43" t="s">
        <v>501</v>
      </c>
      <c r="C235" s="62" t="s">
        <v>25</v>
      </c>
      <c r="D235" s="44" t="s">
        <v>506</v>
      </c>
      <c r="E235" s="45"/>
      <c r="F235" s="46"/>
      <c r="G235" s="45"/>
      <c r="H235" s="45"/>
      <c r="I235" s="45"/>
    </row>
    <row r="236" spans="1:9" s="47" customFormat="1" ht="12" x14ac:dyDescent="0.25">
      <c r="A236" s="30" t="s">
        <v>497</v>
      </c>
      <c r="B236" s="43" t="s">
        <v>501</v>
      </c>
      <c r="C236" s="62" t="s">
        <v>26</v>
      </c>
      <c r="D236" s="44" t="s">
        <v>27</v>
      </c>
      <c r="E236" s="45"/>
      <c r="F236" s="46"/>
      <c r="G236" s="45"/>
      <c r="H236" s="45"/>
      <c r="I236" s="45"/>
    </row>
    <row r="237" spans="1:9" s="47" customFormat="1" ht="12" x14ac:dyDescent="0.25">
      <c r="A237" s="30" t="s">
        <v>497</v>
      </c>
      <c r="B237" s="43" t="s">
        <v>501</v>
      </c>
      <c r="C237" s="62" t="s">
        <v>28</v>
      </c>
      <c r="D237" s="44" t="s">
        <v>507</v>
      </c>
      <c r="E237" s="45"/>
      <c r="F237" s="46"/>
      <c r="G237" s="45"/>
      <c r="H237" s="45"/>
      <c r="I237" s="45"/>
    </row>
    <row r="238" spans="1:9" s="47" customFormat="1" ht="12" x14ac:dyDescent="0.25">
      <c r="A238" s="30" t="s">
        <v>497</v>
      </c>
      <c r="B238" s="43" t="s">
        <v>501</v>
      </c>
      <c r="C238" s="62" t="s">
        <v>29</v>
      </c>
      <c r="D238" s="44" t="s">
        <v>508</v>
      </c>
      <c r="E238" s="45"/>
      <c r="F238" s="46"/>
      <c r="G238" s="45"/>
      <c r="H238" s="45"/>
      <c r="I238" s="45"/>
    </row>
    <row r="239" spans="1:9" s="47" customFormat="1" ht="12" x14ac:dyDescent="0.25">
      <c r="A239" s="30" t="s">
        <v>497</v>
      </c>
      <c r="B239" s="43" t="s">
        <v>501</v>
      </c>
      <c r="C239" s="62" t="s">
        <v>30</v>
      </c>
      <c r="D239" s="44" t="s">
        <v>509</v>
      </c>
      <c r="E239" s="45"/>
      <c r="F239" s="46"/>
      <c r="G239" s="45"/>
      <c r="H239" s="45"/>
      <c r="I239" s="45"/>
    </row>
    <row r="240" spans="1:9" s="47" customFormat="1" ht="12" x14ac:dyDescent="0.25">
      <c r="A240" s="30" t="s">
        <v>497</v>
      </c>
      <c r="B240" s="43" t="s">
        <v>501</v>
      </c>
      <c r="C240" s="62" t="s">
        <v>31</v>
      </c>
      <c r="D240" s="44" t="s">
        <v>510</v>
      </c>
      <c r="E240" s="45"/>
      <c r="F240" s="46"/>
      <c r="G240" s="45"/>
      <c r="H240" s="45"/>
      <c r="I240" s="45"/>
    </row>
    <row r="241" spans="1:9" s="47" customFormat="1" ht="12" x14ac:dyDescent="0.25">
      <c r="A241" s="30" t="s">
        <v>497</v>
      </c>
      <c r="B241" s="43" t="s">
        <v>501</v>
      </c>
      <c r="C241" s="62" t="s">
        <v>32</v>
      </c>
      <c r="D241" s="44" t="s">
        <v>511</v>
      </c>
      <c r="E241" s="45"/>
      <c r="F241" s="46"/>
      <c r="G241" s="45"/>
      <c r="H241" s="45"/>
      <c r="I241" s="45"/>
    </row>
    <row r="242" spans="1:9" s="47" customFormat="1" ht="12" x14ac:dyDescent="0.25">
      <c r="A242" s="30" t="s">
        <v>498</v>
      </c>
      <c r="B242" s="43" t="s">
        <v>501</v>
      </c>
      <c r="C242" s="62" t="s">
        <v>24</v>
      </c>
      <c r="D242" s="44" t="s">
        <v>505</v>
      </c>
      <c r="E242" s="45"/>
      <c r="F242" s="46"/>
      <c r="G242" s="45"/>
      <c r="H242" s="45"/>
      <c r="I242" s="45"/>
    </row>
    <row r="243" spans="1:9" s="47" customFormat="1" ht="12" x14ac:dyDescent="0.25">
      <c r="A243" s="30" t="s">
        <v>498</v>
      </c>
      <c r="B243" s="43" t="s">
        <v>501</v>
      </c>
      <c r="C243" s="62" t="s">
        <v>25</v>
      </c>
      <c r="D243" s="44" t="s">
        <v>506</v>
      </c>
      <c r="E243" s="45"/>
      <c r="F243" s="46"/>
      <c r="G243" s="45"/>
      <c r="H243" s="45"/>
      <c r="I243" s="45"/>
    </row>
    <row r="244" spans="1:9" s="47" customFormat="1" ht="12" x14ac:dyDescent="0.25">
      <c r="A244" s="30" t="s">
        <v>498</v>
      </c>
      <c r="B244" s="43" t="s">
        <v>501</v>
      </c>
      <c r="C244" s="62" t="s">
        <v>26</v>
      </c>
      <c r="D244" s="44" t="s">
        <v>27</v>
      </c>
      <c r="E244" s="45"/>
      <c r="F244" s="46"/>
      <c r="G244" s="45"/>
      <c r="H244" s="45"/>
      <c r="I244" s="45"/>
    </row>
    <row r="245" spans="1:9" s="47" customFormat="1" ht="12" x14ac:dyDescent="0.25">
      <c r="A245" s="30" t="s">
        <v>498</v>
      </c>
      <c r="B245" s="43" t="s">
        <v>501</v>
      </c>
      <c r="C245" s="62" t="s">
        <v>28</v>
      </c>
      <c r="D245" s="44" t="s">
        <v>507</v>
      </c>
      <c r="E245" s="45"/>
      <c r="F245" s="46"/>
      <c r="G245" s="45"/>
      <c r="H245" s="45"/>
      <c r="I245" s="45"/>
    </row>
    <row r="246" spans="1:9" s="47" customFormat="1" ht="12" x14ac:dyDescent="0.25">
      <c r="A246" s="30" t="s">
        <v>498</v>
      </c>
      <c r="B246" s="43" t="s">
        <v>501</v>
      </c>
      <c r="C246" s="62" t="s">
        <v>29</v>
      </c>
      <c r="D246" s="44" t="s">
        <v>508</v>
      </c>
      <c r="E246" s="45"/>
      <c r="F246" s="46"/>
      <c r="G246" s="45"/>
      <c r="H246" s="45"/>
      <c r="I246" s="45"/>
    </row>
    <row r="247" spans="1:9" s="47" customFormat="1" ht="12" x14ac:dyDescent="0.25">
      <c r="A247" s="30" t="s">
        <v>498</v>
      </c>
      <c r="B247" s="43" t="s">
        <v>501</v>
      </c>
      <c r="C247" s="62" t="s">
        <v>30</v>
      </c>
      <c r="D247" s="44" t="s">
        <v>509</v>
      </c>
      <c r="E247" s="45"/>
      <c r="F247" s="46"/>
      <c r="G247" s="45"/>
      <c r="H247" s="45"/>
      <c r="I247" s="45"/>
    </row>
    <row r="248" spans="1:9" s="47" customFormat="1" ht="12" x14ac:dyDescent="0.25">
      <c r="A248" s="30" t="s">
        <v>498</v>
      </c>
      <c r="B248" s="43" t="s">
        <v>501</v>
      </c>
      <c r="C248" s="62" t="s">
        <v>31</v>
      </c>
      <c r="D248" s="44" t="s">
        <v>510</v>
      </c>
      <c r="E248" s="45"/>
      <c r="F248" s="46"/>
      <c r="G248" s="45"/>
      <c r="H248" s="45"/>
      <c r="I248" s="45"/>
    </row>
    <row r="249" spans="1:9" s="47" customFormat="1" ht="12" x14ac:dyDescent="0.25">
      <c r="A249" s="30" t="s">
        <v>498</v>
      </c>
      <c r="B249" s="43" t="s">
        <v>501</v>
      </c>
      <c r="C249" s="62" t="s">
        <v>32</v>
      </c>
      <c r="D249" s="44" t="s">
        <v>511</v>
      </c>
      <c r="E249" s="45"/>
      <c r="F249" s="46"/>
      <c r="G249" s="45"/>
      <c r="H249" s="45"/>
      <c r="I249" s="45"/>
    </row>
    <row r="250" spans="1:9" s="47" customFormat="1" ht="12" x14ac:dyDescent="0.25">
      <c r="A250" s="30" t="s">
        <v>499</v>
      </c>
      <c r="B250" s="43" t="s">
        <v>501</v>
      </c>
      <c r="C250" s="62" t="s">
        <v>24</v>
      </c>
      <c r="D250" s="44" t="s">
        <v>505</v>
      </c>
      <c r="E250" s="45"/>
      <c r="F250" s="46"/>
      <c r="G250" s="45"/>
      <c r="H250" s="45"/>
      <c r="I250" s="45"/>
    </row>
    <row r="251" spans="1:9" s="47" customFormat="1" ht="12" x14ac:dyDescent="0.25">
      <c r="A251" s="30" t="s">
        <v>499</v>
      </c>
      <c r="B251" s="43" t="s">
        <v>501</v>
      </c>
      <c r="C251" s="62" t="s">
        <v>25</v>
      </c>
      <c r="D251" s="44" t="s">
        <v>506</v>
      </c>
      <c r="E251" s="45"/>
      <c r="F251" s="46"/>
      <c r="G251" s="45"/>
      <c r="H251" s="45"/>
      <c r="I251" s="45"/>
    </row>
    <row r="252" spans="1:9" s="47" customFormat="1" ht="12" x14ac:dyDescent="0.25">
      <c r="A252" s="30" t="s">
        <v>499</v>
      </c>
      <c r="B252" s="43" t="s">
        <v>501</v>
      </c>
      <c r="C252" s="62" t="s">
        <v>26</v>
      </c>
      <c r="D252" s="44" t="s">
        <v>27</v>
      </c>
      <c r="E252" s="45"/>
      <c r="F252" s="46"/>
      <c r="G252" s="45"/>
      <c r="H252" s="45"/>
      <c r="I252" s="45"/>
    </row>
    <row r="253" spans="1:9" s="47" customFormat="1" ht="12" x14ac:dyDescent="0.25">
      <c r="A253" s="30" t="s">
        <v>499</v>
      </c>
      <c r="B253" s="43" t="s">
        <v>501</v>
      </c>
      <c r="C253" s="62" t="s">
        <v>28</v>
      </c>
      <c r="D253" s="44" t="s">
        <v>507</v>
      </c>
      <c r="E253" s="45"/>
      <c r="F253" s="46"/>
      <c r="G253" s="45"/>
      <c r="H253" s="45"/>
      <c r="I253" s="45"/>
    </row>
    <row r="254" spans="1:9" s="47" customFormat="1" ht="12" x14ac:dyDescent="0.25">
      <c r="A254" s="30" t="s">
        <v>499</v>
      </c>
      <c r="B254" s="43" t="s">
        <v>501</v>
      </c>
      <c r="C254" s="62" t="s">
        <v>29</v>
      </c>
      <c r="D254" s="44" t="s">
        <v>508</v>
      </c>
      <c r="E254" s="45"/>
      <c r="F254" s="46"/>
      <c r="G254" s="45"/>
      <c r="H254" s="45"/>
      <c r="I254" s="45"/>
    </row>
    <row r="255" spans="1:9" s="47" customFormat="1" ht="12" x14ac:dyDescent="0.25">
      <c r="A255" s="30" t="s">
        <v>499</v>
      </c>
      <c r="B255" s="43" t="s">
        <v>501</v>
      </c>
      <c r="C255" s="62" t="s">
        <v>30</v>
      </c>
      <c r="D255" s="44" t="s">
        <v>509</v>
      </c>
      <c r="E255" s="45"/>
      <c r="F255" s="46"/>
      <c r="G255" s="45"/>
      <c r="H255" s="45"/>
      <c r="I255" s="45"/>
    </row>
    <row r="256" spans="1:9" s="47" customFormat="1" ht="12" x14ac:dyDescent="0.25">
      <c r="A256" s="30" t="s">
        <v>499</v>
      </c>
      <c r="B256" s="43" t="s">
        <v>501</v>
      </c>
      <c r="C256" s="62" t="s">
        <v>31</v>
      </c>
      <c r="D256" s="44" t="s">
        <v>510</v>
      </c>
      <c r="E256" s="45"/>
      <c r="F256" s="46"/>
      <c r="G256" s="45"/>
      <c r="H256" s="45"/>
      <c r="I256" s="45"/>
    </row>
  </sheetData>
  <mergeCells count="4">
    <mergeCell ref="A1:I1"/>
    <mergeCell ref="A2:B2"/>
    <mergeCell ref="C2:E2"/>
    <mergeCell ref="F2:I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Q27"/>
  <sheetViews>
    <sheetView zoomScaleNormal="100" workbookViewId="0">
      <pane ySplit="5" topLeftCell="A6" activePane="bottomLeft" state="frozen"/>
      <selection pane="bottomLeft" activeCell="A7" sqref="A7"/>
    </sheetView>
  </sheetViews>
  <sheetFormatPr defaultColWidth="8.6640625" defaultRowHeight="14.4" x14ac:dyDescent="0.3"/>
  <cols>
    <col min="1" max="1" width="14" customWidth="1"/>
    <col min="2" max="2" width="12" customWidth="1"/>
    <col min="3" max="3" width="16" customWidth="1"/>
    <col min="4" max="4" width="14" customWidth="1"/>
    <col min="5" max="7" width="20" customWidth="1"/>
    <col min="8" max="8" width="22" customWidth="1"/>
    <col min="9" max="9" width="10" customWidth="1"/>
    <col min="10" max="10" width="12" customWidth="1"/>
    <col min="11" max="11" width="10" customWidth="1"/>
    <col min="12" max="12" width="14" customWidth="1"/>
    <col min="13" max="13" width="22" customWidth="1"/>
    <col min="14" max="14" width="30" customWidth="1"/>
    <col min="15" max="15" width="14" customWidth="1"/>
    <col min="16" max="16" width="20" customWidth="1"/>
    <col min="17" max="17" width="40" customWidth="1"/>
  </cols>
  <sheetData>
    <row r="1" spans="1:17" ht="25.5" customHeight="1" x14ac:dyDescent="0.3">
      <c r="A1" s="90" t="s">
        <v>222</v>
      </c>
      <c r="B1" s="91"/>
      <c r="C1" s="91"/>
      <c r="D1" s="91"/>
      <c r="E1" s="91"/>
      <c r="F1" s="91"/>
      <c r="G1" s="91"/>
      <c r="H1" s="91"/>
      <c r="I1" s="91"/>
      <c r="J1" s="91"/>
      <c r="K1" s="91"/>
      <c r="L1" s="91"/>
      <c r="M1" s="91"/>
      <c r="N1" s="91"/>
      <c r="O1" s="91"/>
      <c r="P1" s="91"/>
      <c r="Q1" s="91"/>
    </row>
    <row r="2" spans="1:17" ht="19.5" customHeight="1" x14ac:dyDescent="0.3">
      <c r="A2" s="92" t="s">
        <v>1</v>
      </c>
      <c r="B2" s="93"/>
      <c r="C2" s="1" t="s">
        <v>171</v>
      </c>
      <c r="D2" s="92" t="s">
        <v>223</v>
      </c>
      <c r="E2" s="94"/>
      <c r="F2" s="94"/>
      <c r="G2" s="94"/>
      <c r="H2" s="94"/>
      <c r="I2" s="94"/>
      <c r="J2" s="94"/>
      <c r="K2" s="94"/>
      <c r="L2" s="94"/>
      <c r="M2" s="93"/>
      <c r="N2" s="92" t="s">
        <v>3</v>
      </c>
      <c r="O2" s="94"/>
      <c r="P2" s="94"/>
      <c r="Q2" s="93"/>
    </row>
    <row r="3" spans="1:17" ht="36" customHeight="1" x14ac:dyDescent="0.3">
      <c r="A3" s="9" t="s">
        <v>4</v>
      </c>
      <c r="B3" s="9" t="s">
        <v>5</v>
      </c>
      <c r="C3" s="9" t="s">
        <v>174</v>
      </c>
      <c r="D3" s="9" t="s">
        <v>109</v>
      </c>
      <c r="E3" s="10" t="s">
        <v>224</v>
      </c>
      <c r="F3" s="10" t="s">
        <v>225</v>
      </c>
      <c r="G3" s="10" t="s">
        <v>226</v>
      </c>
      <c r="H3" s="10" t="s">
        <v>227</v>
      </c>
      <c r="I3" s="10" t="s">
        <v>228</v>
      </c>
      <c r="J3" s="10" t="s">
        <v>229</v>
      </c>
      <c r="K3" s="10" t="s">
        <v>230</v>
      </c>
      <c r="L3" s="10" t="s">
        <v>231</v>
      </c>
      <c r="M3" s="10" t="s">
        <v>232</v>
      </c>
      <c r="N3" s="9" t="s">
        <v>9</v>
      </c>
      <c r="O3" s="11" t="s">
        <v>10</v>
      </c>
      <c r="P3" s="11" t="s">
        <v>11</v>
      </c>
      <c r="Q3" s="10" t="s">
        <v>12</v>
      </c>
    </row>
    <row r="4" spans="1:17" ht="24" customHeight="1" x14ac:dyDescent="0.3">
      <c r="A4" s="12" t="s">
        <v>13</v>
      </c>
      <c r="B4" s="12" t="s">
        <v>233</v>
      </c>
      <c r="C4" s="12" t="s">
        <v>134</v>
      </c>
      <c r="D4" s="12" t="s">
        <v>112</v>
      </c>
      <c r="E4" s="12" t="s">
        <v>234</v>
      </c>
      <c r="F4" s="12" t="s">
        <v>235</v>
      </c>
      <c r="G4" s="12" t="s">
        <v>236</v>
      </c>
      <c r="H4" s="12" t="s">
        <v>237</v>
      </c>
      <c r="I4" s="12" t="s">
        <v>238</v>
      </c>
      <c r="J4" s="12" t="s">
        <v>239</v>
      </c>
      <c r="K4" s="12" t="s">
        <v>240</v>
      </c>
      <c r="L4" s="12" t="s">
        <v>241</v>
      </c>
      <c r="M4" s="12" t="s">
        <v>242</v>
      </c>
      <c r="N4" s="12" t="s">
        <v>18</v>
      </c>
      <c r="O4" s="12" t="s">
        <v>19</v>
      </c>
      <c r="P4" s="12" t="s">
        <v>19</v>
      </c>
      <c r="Q4" s="12" t="s">
        <v>19</v>
      </c>
    </row>
    <row r="5" spans="1:17" ht="18" customHeight="1" x14ac:dyDescent="0.3">
      <c r="A5" s="13" t="s">
        <v>20</v>
      </c>
      <c r="B5" s="13" t="s">
        <v>20</v>
      </c>
      <c r="C5" s="13" t="s">
        <v>20</v>
      </c>
      <c r="D5" s="13" t="s">
        <v>20</v>
      </c>
      <c r="E5" s="14" t="s">
        <v>21</v>
      </c>
      <c r="F5" s="14" t="s">
        <v>21</v>
      </c>
      <c r="G5" s="14" t="s">
        <v>21</v>
      </c>
      <c r="H5" s="14" t="s">
        <v>21</v>
      </c>
      <c r="I5" s="14" t="s">
        <v>21</v>
      </c>
      <c r="J5" s="14" t="s">
        <v>21</v>
      </c>
      <c r="K5" s="14" t="s">
        <v>21</v>
      </c>
      <c r="L5" s="14" t="s">
        <v>21</v>
      </c>
      <c r="M5" s="14" t="s">
        <v>21</v>
      </c>
      <c r="N5" s="13" t="s">
        <v>20</v>
      </c>
      <c r="O5" s="15" t="s">
        <v>22</v>
      </c>
      <c r="P5" s="15" t="s">
        <v>22</v>
      </c>
      <c r="Q5" s="14" t="s">
        <v>21</v>
      </c>
    </row>
    <row r="6" spans="1:17" ht="18" customHeight="1" x14ac:dyDescent="0.3">
      <c r="A6" s="16" t="s">
        <v>243</v>
      </c>
      <c r="B6" s="17" t="s">
        <v>244</v>
      </c>
      <c r="C6" s="17">
        <v>1</v>
      </c>
      <c r="D6" s="17" t="s">
        <v>115</v>
      </c>
      <c r="E6" s="17">
        <v>0.1</v>
      </c>
      <c r="F6" s="17">
        <v>7.4999999999999997E-3</v>
      </c>
      <c r="G6" s="17">
        <v>7.4999999999999997E-2</v>
      </c>
      <c r="H6" s="17">
        <v>2.5000000000000001E-2</v>
      </c>
      <c r="I6" s="17">
        <v>4</v>
      </c>
      <c r="J6" s="17">
        <v>0.19109000000000001</v>
      </c>
      <c r="K6" s="17">
        <v>6</v>
      </c>
      <c r="L6" s="17">
        <v>0.01</v>
      </c>
      <c r="M6" s="17">
        <v>0.2</v>
      </c>
      <c r="N6" s="18" t="s">
        <v>116</v>
      </c>
      <c r="O6" s="26" t="s">
        <v>116</v>
      </c>
      <c r="P6" s="17" t="s">
        <v>245</v>
      </c>
      <c r="Q6" s="17" t="s">
        <v>246</v>
      </c>
    </row>
    <row r="7" spans="1:17" ht="18" customHeight="1" x14ac:dyDescent="0.3">
      <c r="A7" s="16"/>
      <c r="B7" s="17"/>
      <c r="C7" s="17"/>
      <c r="D7" s="17"/>
      <c r="E7" s="17"/>
      <c r="F7" s="17"/>
      <c r="G7" s="17"/>
      <c r="H7" s="17"/>
      <c r="I7" s="17"/>
      <c r="J7" s="17"/>
      <c r="K7" s="17"/>
      <c r="L7" s="17"/>
      <c r="M7" s="17"/>
      <c r="N7" s="18"/>
      <c r="O7" s="17"/>
      <c r="P7" s="17"/>
      <c r="Q7" s="17"/>
    </row>
    <row r="8" spans="1:17" ht="18" customHeight="1" x14ac:dyDescent="0.3">
      <c r="A8" s="16"/>
      <c r="B8" s="17"/>
      <c r="C8" s="17"/>
      <c r="D8" s="17"/>
      <c r="E8" s="17"/>
      <c r="F8" s="17"/>
      <c r="G8" s="17"/>
      <c r="H8" s="17"/>
      <c r="I8" s="17"/>
      <c r="J8" s="17"/>
      <c r="K8" s="17"/>
      <c r="L8" s="17"/>
      <c r="M8" s="17"/>
      <c r="N8" s="18"/>
      <c r="O8" s="17"/>
      <c r="P8" s="17"/>
      <c r="Q8" s="17"/>
    </row>
    <row r="9" spans="1:17" ht="18" customHeight="1" x14ac:dyDescent="0.3">
      <c r="A9" s="16"/>
      <c r="B9" s="17"/>
      <c r="C9" s="17"/>
      <c r="D9" s="17"/>
      <c r="E9" s="17"/>
      <c r="F9" s="17"/>
      <c r="G9" s="17"/>
      <c r="H9" s="17"/>
      <c r="I9" s="17"/>
      <c r="J9" s="17"/>
      <c r="K9" s="17"/>
      <c r="L9" s="17"/>
      <c r="M9" s="17"/>
      <c r="N9" s="18"/>
      <c r="O9" s="17"/>
      <c r="P9" s="17"/>
      <c r="Q9" s="17"/>
    </row>
    <row r="10" spans="1:17" ht="18" customHeight="1" x14ac:dyDescent="0.3">
      <c r="A10" s="16"/>
      <c r="B10" s="17"/>
      <c r="C10" s="17"/>
      <c r="D10" s="17"/>
      <c r="E10" s="17"/>
      <c r="F10" s="17"/>
      <c r="G10" s="17"/>
      <c r="H10" s="17"/>
      <c r="I10" s="17"/>
      <c r="J10" s="17"/>
      <c r="K10" s="17"/>
      <c r="L10" s="17"/>
      <c r="M10" s="17"/>
      <c r="N10" s="18"/>
      <c r="O10" s="17"/>
      <c r="P10" s="17"/>
      <c r="Q10" s="17"/>
    </row>
    <row r="11" spans="1:17" ht="18" customHeight="1" x14ac:dyDescent="0.3">
      <c r="A11" s="16"/>
      <c r="B11" s="17"/>
      <c r="C11" s="17"/>
      <c r="D11" s="17"/>
      <c r="E11" s="17"/>
      <c r="F11" s="17"/>
      <c r="G11" s="17"/>
      <c r="H11" s="17"/>
      <c r="I11" s="17"/>
      <c r="J11" s="17"/>
      <c r="K11" s="17"/>
      <c r="L11" s="17"/>
      <c r="M11" s="17"/>
      <c r="N11" s="18"/>
      <c r="O11" s="17"/>
      <c r="P11" s="17"/>
      <c r="Q11" s="17"/>
    </row>
    <row r="12" spans="1:17" ht="18" customHeight="1" x14ac:dyDescent="0.3">
      <c r="A12" s="16"/>
      <c r="B12" s="17"/>
      <c r="C12" s="17"/>
      <c r="D12" s="17"/>
      <c r="E12" s="17"/>
      <c r="F12" s="17"/>
      <c r="G12" s="17"/>
      <c r="H12" s="17"/>
      <c r="I12" s="17"/>
      <c r="J12" s="17"/>
      <c r="K12" s="17"/>
      <c r="L12" s="17"/>
      <c r="M12" s="17"/>
      <c r="N12" s="18"/>
      <c r="O12" s="17"/>
      <c r="P12" s="17"/>
      <c r="Q12" s="17"/>
    </row>
    <row r="13" spans="1:17" ht="18" customHeight="1" x14ac:dyDescent="0.3">
      <c r="A13" s="16"/>
      <c r="B13" s="17"/>
      <c r="C13" s="17"/>
      <c r="D13" s="17"/>
      <c r="E13" s="17"/>
      <c r="F13" s="17"/>
      <c r="G13" s="17"/>
      <c r="H13" s="17"/>
      <c r="I13" s="17"/>
      <c r="J13" s="17"/>
      <c r="K13" s="17"/>
      <c r="L13" s="17"/>
      <c r="M13" s="17"/>
      <c r="N13" s="18"/>
      <c r="O13" s="17"/>
      <c r="P13" s="17"/>
      <c r="Q13" s="17"/>
    </row>
    <row r="14" spans="1:17" ht="18" customHeight="1" x14ac:dyDescent="0.3">
      <c r="A14" s="16"/>
      <c r="B14" s="17"/>
      <c r="C14" s="17"/>
      <c r="D14" s="17"/>
      <c r="E14" s="17"/>
      <c r="F14" s="17"/>
      <c r="G14" s="17"/>
      <c r="H14" s="17"/>
      <c r="I14" s="17"/>
      <c r="J14" s="17"/>
      <c r="K14" s="17"/>
      <c r="L14" s="17"/>
      <c r="M14" s="17"/>
      <c r="N14" s="18"/>
      <c r="O14" s="17"/>
      <c r="P14" s="17"/>
      <c r="Q14" s="17" t="s">
        <v>247</v>
      </c>
    </row>
    <row r="15" spans="1:17" ht="18" customHeight="1" x14ac:dyDescent="0.3">
      <c r="A15" s="16"/>
      <c r="B15" s="17"/>
      <c r="C15" s="17"/>
      <c r="D15" s="17"/>
      <c r="E15" s="17"/>
      <c r="F15" s="17"/>
      <c r="G15" s="17"/>
      <c r="H15" s="17"/>
      <c r="I15" s="17"/>
      <c r="J15" s="17"/>
      <c r="K15" s="17"/>
      <c r="L15" s="17"/>
      <c r="M15" s="17"/>
      <c r="N15" s="18"/>
      <c r="O15" s="17"/>
      <c r="P15" s="17"/>
      <c r="Q15" s="17"/>
    </row>
    <row r="16" spans="1:17" ht="18" customHeight="1" x14ac:dyDescent="0.3">
      <c r="A16" s="16"/>
      <c r="B16" s="17"/>
      <c r="C16" s="17"/>
      <c r="D16" s="17"/>
      <c r="E16" s="17"/>
      <c r="F16" s="17"/>
      <c r="G16" s="17"/>
      <c r="H16" s="17"/>
      <c r="I16" s="17"/>
      <c r="J16" s="17"/>
      <c r="K16" s="17"/>
      <c r="L16" s="17"/>
      <c r="M16" s="17"/>
      <c r="N16" s="18"/>
      <c r="O16" s="17"/>
      <c r="P16" s="17"/>
      <c r="Q16" s="17"/>
    </row>
    <row r="17" spans="1:17" ht="18" customHeight="1" x14ac:dyDescent="0.3">
      <c r="A17" s="16"/>
      <c r="B17" s="17"/>
      <c r="C17" s="17"/>
      <c r="D17" s="17"/>
      <c r="E17" s="17"/>
      <c r="F17" s="17"/>
      <c r="G17" s="17"/>
      <c r="H17" s="17"/>
      <c r="I17" s="17"/>
      <c r="J17" s="17"/>
      <c r="K17" s="17"/>
      <c r="L17" s="17"/>
      <c r="M17" s="17"/>
      <c r="N17" s="18"/>
      <c r="O17" s="17"/>
      <c r="P17" s="17"/>
      <c r="Q17" s="17"/>
    </row>
    <row r="18" spans="1:17" ht="18" customHeight="1" x14ac:dyDescent="0.3">
      <c r="A18" s="16"/>
      <c r="B18" s="17"/>
      <c r="C18" s="17"/>
      <c r="D18" s="17"/>
      <c r="E18" s="17"/>
      <c r="F18" s="17"/>
      <c r="G18" s="17"/>
      <c r="H18" s="17"/>
      <c r="I18" s="17"/>
      <c r="J18" s="17"/>
      <c r="K18" s="17"/>
      <c r="L18" s="17"/>
      <c r="M18" s="17"/>
      <c r="N18" s="18"/>
      <c r="O18" s="17"/>
      <c r="P18" s="17"/>
      <c r="Q18" s="17"/>
    </row>
    <row r="19" spans="1:17" ht="18" customHeight="1" x14ac:dyDescent="0.3">
      <c r="A19" s="16"/>
      <c r="B19" s="17"/>
      <c r="C19" s="17"/>
      <c r="D19" s="17"/>
      <c r="E19" s="17"/>
      <c r="F19" s="17"/>
      <c r="G19" s="17"/>
      <c r="H19" s="17"/>
      <c r="I19" s="17"/>
      <c r="J19" s="17"/>
      <c r="K19" s="17"/>
      <c r="L19" s="17"/>
      <c r="M19" s="17"/>
      <c r="N19" s="18"/>
      <c r="O19" s="17"/>
      <c r="P19" s="17"/>
      <c r="Q19" s="17"/>
    </row>
    <row r="20" spans="1:17" ht="18" customHeight="1" x14ac:dyDescent="0.3">
      <c r="A20" s="16"/>
      <c r="B20" s="17"/>
      <c r="C20" s="17"/>
      <c r="D20" s="17"/>
      <c r="E20" s="17"/>
      <c r="F20" s="17"/>
      <c r="G20" s="17"/>
      <c r="H20" s="17"/>
      <c r="I20" s="17"/>
      <c r="J20" s="17"/>
      <c r="K20" s="17"/>
      <c r="L20" s="17"/>
      <c r="M20" s="17"/>
      <c r="N20" s="18"/>
      <c r="O20" s="17"/>
      <c r="P20" s="17"/>
      <c r="Q20" s="17"/>
    </row>
    <row r="22" spans="1:17" x14ac:dyDescent="0.3">
      <c r="A22" s="128" t="s">
        <v>35</v>
      </c>
      <c r="B22" s="91"/>
      <c r="C22" s="91"/>
      <c r="D22" s="91"/>
      <c r="E22" s="91"/>
      <c r="F22" s="91"/>
      <c r="G22" s="91"/>
      <c r="H22" s="91"/>
      <c r="I22" s="91"/>
      <c r="J22" s="91"/>
      <c r="K22" s="91"/>
      <c r="L22" s="91"/>
      <c r="M22" s="91"/>
      <c r="N22" s="91"/>
      <c r="O22" s="91"/>
      <c r="P22" s="91"/>
      <c r="Q22" s="91"/>
    </row>
    <row r="23" spans="1:17" x14ac:dyDescent="0.3">
      <c r="A23" s="127" t="s">
        <v>36</v>
      </c>
      <c r="B23" s="91"/>
      <c r="C23" s="91"/>
      <c r="D23" s="91"/>
      <c r="E23" s="91"/>
      <c r="F23" s="91"/>
      <c r="G23" s="91"/>
      <c r="H23" s="91"/>
      <c r="I23" s="91"/>
      <c r="J23" s="91"/>
      <c r="K23" s="91"/>
      <c r="L23" s="91"/>
      <c r="M23" s="91"/>
      <c r="N23" s="91"/>
      <c r="O23" s="91"/>
      <c r="P23" s="91"/>
      <c r="Q23" s="91"/>
    </row>
    <row r="24" spans="1:17" x14ac:dyDescent="0.3">
      <c r="A24" s="131" t="s">
        <v>37</v>
      </c>
      <c r="B24" s="91"/>
      <c r="C24" s="91"/>
      <c r="D24" s="91"/>
      <c r="E24" s="91"/>
      <c r="F24" s="91"/>
      <c r="G24" s="91"/>
      <c r="H24" s="91"/>
      <c r="I24" s="91"/>
      <c r="J24" s="91"/>
      <c r="K24" s="91"/>
      <c r="L24" s="91"/>
      <c r="M24" s="91"/>
      <c r="N24" s="91"/>
      <c r="O24" s="91"/>
      <c r="P24" s="91"/>
      <c r="Q24" s="91"/>
    </row>
    <row r="25" spans="1:17" x14ac:dyDescent="0.3">
      <c r="A25" s="132" t="s">
        <v>38</v>
      </c>
      <c r="B25" s="91"/>
      <c r="C25" s="91"/>
      <c r="D25" s="91"/>
      <c r="E25" s="91"/>
      <c r="F25" s="91"/>
      <c r="G25" s="91"/>
      <c r="H25" s="91"/>
      <c r="I25" s="91"/>
      <c r="J25" s="91"/>
      <c r="K25" s="91"/>
      <c r="L25" s="91"/>
      <c r="M25" s="91"/>
      <c r="N25" s="91"/>
      <c r="O25" s="91"/>
      <c r="P25" s="91"/>
      <c r="Q25" s="91"/>
    </row>
    <row r="26" spans="1:17" x14ac:dyDescent="0.3">
      <c r="A26" s="130" t="s">
        <v>39</v>
      </c>
      <c r="B26" s="91"/>
      <c r="C26" s="91"/>
      <c r="D26" s="91"/>
      <c r="E26" s="91"/>
      <c r="F26" s="91"/>
      <c r="G26" s="91"/>
      <c r="H26" s="91"/>
      <c r="I26" s="91"/>
      <c r="J26" s="91"/>
      <c r="K26" s="91"/>
      <c r="L26" s="91"/>
      <c r="M26" s="91"/>
      <c r="N26" s="91"/>
      <c r="O26" s="91"/>
      <c r="P26" s="91"/>
      <c r="Q26" s="91"/>
    </row>
    <row r="27" spans="1:17" x14ac:dyDescent="0.3">
      <c r="A27" s="129" t="s">
        <v>40</v>
      </c>
      <c r="B27" s="91"/>
      <c r="C27" s="91"/>
      <c r="D27" s="91"/>
      <c r="E27" s="91"/>
      <c r="F27" s="91"/>
      <c r="G27" s="91"/>
      <c r="H27" s="91"/>
      <c r="I27" s="91"/>
      <c r="J27" s="91"/>
      <c r="K27" s="91"/>
      <c r="L27" s="91"/>
      <c r="M27" s="91"/>
      <c r="N27" s="91"/>
      <c r="O27" s="91"/>
      <c r="P27" s="91"/>
      <c r="Q27" s="91"/>
    </row>
  </sheetData>
  <mergeCells count="10">
    <mergeCell ref="A1:Q1"/>
    <mergeCell ref="A23:Q23"/>
    <mergeCell ref="A22:Q22"/>
    <mergeCell ref="A2:B2"/>
    <mergeCell ref="A27:Q27"/>
    <mergeCell ref="A26:Q26"/>
    <mergeCell ref="A24:Q24"/>
    <mergeCell ref="A25:Q25"/>
    <mergeCell ref="N2:Q2"/>
    <mergeCell ref="D2:M2"/>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K11"/>
  <sheetViews>
    <sheetView zoomScaleNormal="100" workbookViewId="0"/>
  </sheetViews>
  <sheetFormatPr defaultColWidth="8.6640625" defaultRowHeight="14.4" x14ac:dyDescent="0.3"/>
  <cols>
    <col min="1" max="11" width="24" customWidth="1"/>
  </cols>
  <sheetData>
    <row r="1" spans="1:11" x14ac:dyDescent="0.3">
      <c r="A1" s="19" t="s">
        <v>5</v>
      </c>
      <c r="B1" s="19" t="s">
        <v>298</v>
      </c>
      <c r="C1" s="19" t="s">
        <v>299</v>
      </c>
      <c r="D1" s="19" t="s">
        <v>300</v>
      </c>
      <c r="E1" s="19" t="s">
        <v>301</v>
      </c>
      <c r="F1" s="19" t="s">
        <v>109</v>
      </c>
      <c r="G1" s="19" t="s">
        <v>302</v>
      </c>
      <c r="H1" s="19" t="s">
        <v>303</v>
      </c>
      <c r="I1" s="19" t="s">
        <v>304</v>
      </c>
      <c r="J1" s="19" t="s">
        <v>305</v>
      </c>
      <c r="K1" s="19" t="s">
        <v>306</v>
      </c>
    </row>
    <row r="2" spans="1:11" x14ac:dyDescent="0.3">
      <c r="A2" t="s">
        <v>23</v>
      </c>
      <c r="B2" t="s">
        <v>151</v>
      </c>
      <c r="C2" t="s">
        <v>198</v>
      </c>
      <c r="D2" t="s">
        <v>307</v>
      </c>
      <c r="E2" t="s">
        <v>188</v>
      </c>
      <c r="F2" t="s">
        <v>115</v>
      </c>
      <c r="G2" t="s">
        <v>296</v>
      </c>
      <c r="H2" t="s">
        <v>308</v>
      </c>
      <c r="I2" t="s">
        <v>308</v>
      </c>
      <c r="J2" t="s">
        <v>252</v>
      </c>
      <c r="K2" t="s">
        <v>116</v>
      </c>
    </row>
    <row r="3" spans="1:11" x14ac:dyDescent="0.3">
      <c r="A3" t="s">
        <v>309</v>
      </c>
      <c r="B3" t="s">
        <v>310</v>
      </c>
      <c r="C3" t="s">
        <v>191</v>
      </c>
      <c r="D3" t="s">
        <v>155</v>
      </c>
      <c r="E3" t="s">
        <v>197</v>
      </c>
      <c r="F3" t="s">
        <v>311</v>
      </c>
      <c r="G3" t="s">
        <v>312</v>
      </c>
      <c r="H3" t="s">
        <v>313</v>
      </c>
      <c r="I3" t="s">
        <v>313</v>
      </c>
      <c r="J3" t="s">
        <v>314</v>
      </c>
      <c r="K3" t="s">
        <v>160</v>
      </c>
    </row>
    <row r="4" spans="1:11" x14ac:dyDescent="0.3">
      <c r="A4" t="s">
        <v>315</v>
      </c>
      <c r="C4" t="s">
        <v>192</v>
      </c>
      <c r="D4" t="s">
        <v>316</v>
      </c>
      <c r="E4" t="s">
        <v>190</v>
      </c>
      <c r="F4" t="s">
        <v>317</v>
      </c>
      <c r="G4" t="s">
        <v>318</v>
      </c>
      <c r="J4" t="s">
        <v>319</v>
      </c>
    </row>
    <row r="5" spans="1:11" x14ac:dyDescent="0.3">
      <c r="A5" t="s">
        <v>244</v>
      </c>
      <c r="C5" t="s">
        <v>196</v>
      </c>
      <c r="E5" t="s">
        <v>200</v>
      </c>
      <c r="F5" t="s">
        <v>320</v>
      </c>
      <c r="G5" t="s">
        <v>321</v>
      </c>
    </row>
    <row r="6" spans="1:11" x14ac:dyDescent="0.3">
      <c r="C6" t="s">
        <v>195</v>
      </c>
      <c r="E6" t="s">
        <v>221</v>
      </c>
      <c r="F6" t="s">
        <v>322</v>
      </c>
      <c r="G6" t="s">
        <v>323</v>
      </c>
    </row>
    <row r="7" spans="1:11" x14ac:dyDescent="0.3">
      <c r="C7" t="s">
        <v>194</v>
      </c>
      <c r="F7" t="s">
        <v>324</v>
      </c>
      <c r="G7" t="s">
        <v>325</v>
      </c>
    </row>
    <row r="8" spans="1:11" x14ac:dyDescent="0.3">
      <c r="C8" t="s">
        <v>193</v>
      </c>
      <c r="G8" t="s">
        <v>326</v>
      </c>
    </row>
    <row r="9" spans="1:11" x14ac:dyDescent="0.3">
      <c r="G9" t="s">
        <v>327</v>
      </c>
    </row>
    <row r="10" spans="1:11" x14ac:dyDescent="0.3">
      <c r="G10" t="s">
        <v>328</v>
      </c>
    </row>
    <row r="11" spans="1:11" x14ac:dyDescent="0.3">
      <c r="G11" t="s">
        <v>329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Prereq</vt:lpstr>
      <vt:lpstr>Prereq_result</vt:lpstr>
      <vt:lpstr>Prereq_Comparison</vt:lpstr>
      <vt:lpstr>00_Instructions</vt:lpstr>
      <vt:lpstr>01_Portfolio</vt:lpstr>
      <vt:lpstr>04_Portfolio_Guidelines</vt:lpstr>
      <vt:lpstr>06_Portfolio_Expenses</vt:lpstr>
      <vt:lpstr>07_Bound_Portfolio</vt:lpstr>
      <vt:lpstr>02_Transaction</vt:lpstr>
      <vt:lpstr>03_Mapping</vt:lpstr>
      <vt:lpstr>05_Pricing_Parameters</vt:lpstr>
      <vt:lpstr>Lookups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sindhu raghavan</cp:lastModifiedBy>
  <cp:revision>0</cp:revision>
  <dcterms:created xsi:type="dcterms:W3CDTF">2026-06-29T09:11:47Z</dcterms:created>
  <dcterms:modified xsi:type="dcterms:W3CDTF">2026-07-27T16:52:54Z</dcterms:modified>
  <dc:language>en-US</dc:language>
</cp:coreProperties>
</file>