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RAPL_USER\Desktop\UI Testing\Portfolio Test\PortfolioTestCasefiles\Revised\"/>
    </mc:Choice>
  </mc:AlternateContent>
  <xr:revisionPtr revIDLastSave="0" documentId="13_ncr:1_{DC298C2B-2DAE-428F-8C76-FC00D6FE08D0}" xr6:coauthVersionLast="47" xr6:coauthVersionMax="47" xr10:uidLastSave="{00000000-0000-0000-0000-000000000000}"/>
  <bookViews>
    <workbookView xWindow="-108" yWindow="-108" windowWidth="23256" windowHeight="12456" tabRatio="857" firstSheet="1" activeTab="8" xr2:uid="{00000000-000D-0000-FFFF-FFFF00000000}"/>
  </bookViews>
  <sheets>
    <sheet name="Control Checks" sheetId="75" state="hidden" r:id="rId1"/>
    <sheet name="Bound Portfolio Report" sheetId="70" r:id="rId2"/>
    <sheet name="BoundPortfolio" sheetId="74" r:id="rId3"/>
    <sheet name="Profit and Loss" sheetId="71" r:id="rId4"/>
    <sheet name="Historical Events Adjustment" sheetId="72" r:id="rId5"/>
    <sheet name="Guidelines" sheetId="73" r:id="rId6"/>
    <sheet name="BoundPortfolioDetails" sheetId="64" r:id="rId7"/>
    <sheet name="Setup" sheetId="65" r:id="rId8"/>
    <sheet name="TestCase_Run_Log" sheetId="76" r:id="rId9"/>
  </sheets>
  <functionGroups builtInGroupCount="19"/>
  <externalReferences>
    <externalReference r:id="rId10"/>
  </externalReferences>
  <definedNames>
    <definedName name="_100__Premium">#REF!</definedName>
    <definedName name="_100_AEP">#REF!</definedName>
    <definedName name="_500_AEP">#REF!</definedName>
    <definedName name="_xlnm._FilterDatabase" localSheetId="1" hidden="1">'Bound Portfolio Report'!$A$1:$AV$1</definedName>
    <definedName name="Actual___of_AUM">#REF!</definedName>
    <definedName name="Aggregate_Limit__100">#REF!</definedName>
    <definedName name="AIR_ARe_LayerID">[1]BoundLayerDB!$D$3:$D$1048576</definedName>
    <definedName name="Avg_Rate_Change_Projection">#REF!</definedName>
    <definedName name="Bond_Price__Binding">#REF!</definedName>
    <definedName name="Bound_Date">#REF!</definedName>
    <definedName name="CipherID">#REF!</definedName>
    <definedName name="CIQWBGuid" hidden="1">"f0b1c0f7-41d0-47c3-b294-5242a657cad6"</definedName>
    <definedName name="Co_TVAR_100">#REF!</definedName>
    <definedName name="Co_TVAR_1000">#REF!</definedName>
    <definedName name="Collateral__Fronted">#REF!</definedName>
    <definedName name="Collateral_Fee">#REF!</definedName>
    <definedName name="Collateral_Premium">#REF!</definedName>
    <definedName name="Comment">#REF!</definedName>
    <definedName name="dMillion">1000000</definedName>
    <definedName name="dNoSH">#REF!</definedName>
    <definedName name="dSharePrice">#REF!</definedName>
    <definedName name="Exception_Approval">#REF!</definedName>
    <definedName name="Exp._Loss">#REF!</definedName>
    <definedName name="Expiration_Date">#REF!</definedName>
    <definedName name="Fronted">#REF!</definedName>
    <definedName name="Fronting">#REF!</definedName>
    <definedName name="Fronting_Fee">#REF!</definedName>
    <definedName name="Guideline_Check">#REF!</definedName>
    <definedName name="Hedges">#REF!</definedName>
    <definedName name="Initial_Fees">#REF!</definedName>
    <definedName name="Invested_AUM">#REF!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EXPENSE_CODE_" hidden="1">"019802400"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42319.6118981481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ssuer">#REF!</definedName>
    <definedName name="Layer_with_Analysis_Profile">#REF!</definedName>
    <definedName name="Layer_with_participation">#REF!</definedName>
    <definedName name="Layer_with_updated_expiry">#REF!</definedName>
    <definedName name="Loss_Ratio">#REF!</definedName>
    <definedName name="Name">#REF!</definedName>
    <definedName name="Non_Modeled___PIMCO_View">#REF!</definedName>
    <definedName name="Occ_Limit__100">#REF!</definedName>
    <definedName name="Original_Layer_ID">#REF!</definedName>
    <definedName name="Original_Layer_with_Participation">#REF!</definedName>
    <definedName name="PIMCO_Agg_Limit">#REF!</definedName>
    <definedName name="PIMCO_ARe_LayerID">[1]BoundLayerDB!$B$3:$B$1048576</definedName>
    <definedName name="PIMCO_Occ_Limit">#REF!</definedName>
    <definedName name="PIMCO_Share">#REF!</definedName>
    <definedName name="Premium">#REF!</definedName>
    <definedName name="Profit">#REF!</definedName>
    <definedName name="Return">#REF!</definedName>
    <definedName name="Return_on_Co_TVAR_100">#REF!</definedName>
    <definedName name="ROL">#REF!</definedName>
    <definedName name="SD">#REF!</definedName>
    <definedName name="Security_Instrument">#REF!</definedName>
    <definedName name="Single_Risk_Guideline">#REF!</definedName>
    <definedName name="SpreadsheetBuilder_1" hidden="1">#REF!</definedName>
    <definedName name="SpreadsheetBuilder_15" hidden="1">#REF!</definedName>
    <definedName name="SpreadsheetBuilder_16" hidden="1">#REF!</definedName>
    <definedName name="SpreadsheetBuilder_2" hidden="1">#REF!</definedName>
    <definedName name="SpreadsheetBuilder_3" hidden="1">#REF!</definedName>
    <definedName name="SpreadsheetBuilder_4" hidden="1">#REF!</definedName>
    <definedName name="SpreadsheetBuilder_5" hidden="1">#REF!</definedName>
    <definedName name="SpreadsheetBuilder_6" hidden="1">#REF!</definedName>
    <definedName name="TTM">#REF!</definedName>
    <definedName name="UW_Expenses">#REF!</definedName>
  </definedNames>
  <calcPr calcId="191029"/>
  <customWorkbookViews>
    <customWorkbookView name="Mali, Akshaya - Personal View" guid="{D56A7A4B-BFD7-4A85-A4E7-6E1C9DD24B18}" mergeInterval="0" personalView="1" maximized="1" xWindow="-8" yWindow="-8" windowWidth="1382" windowHeight="754" tabRatio="926" activeSheetId="7"/>
    <customWorkbookView name="Manghnani, Vijay - Personal View" guid="{5FFA5C24-F31B-48DC-9A7B-9DABB8F4304A}" mergeInterval="0" personalView="1" maximized="1" xWindow="-8" yWindow="-8" windowWidth="2064" windowHeight="1138" tabRatio="926" activeSheetId="10"/>
    <customWorkbookView name="Belambe, Mandar - Personal View" guid="{C32C0BC3-A762-4E97-BB37-2FAA4746F4FA}" mergeInterval="0" personalView="1" maximized="1" xWindow="-8" yWindow="-8" windowWidth="1382" windowHeight="754" tabRatio="926" activeSheetId="3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" i="75" l="1"/>
  <c r="J13" i="75"/>
  <c r="J14" i="75"/>
  <c r="J15" i="75"/>
  <c r="J16" i="75"/>
  <c r="J17" i="75"/>
  <c r="J18" i="75"/>
  <c r="J19" i="75"/>
  <c r="J11" i="75"/>
  <c r="J9" i="75"/>
  <c r="J7" i="75"/>
  <c r="J5" i="75"/>
  <c r="I12" i="75"/>
  <c r="J12" i="75" s="1"/>
  <c r="E19" i="65" l="1"/>
  <c r="E18" i="65"/>
  <c r="E17" i="65"/>
  <c r="E16" i="65"/>
  <c r="E15" i="65"/>
  <c r="C18" i="65" l="1"/>
  <c r="D18" i="65" s="1"/>
  <c r="E81" i="64"/>
  <c r="E80" i="64"/>
  <c r="E79" i="64"/>
  <c r="E78" i="64"/>
  <c r="E77" i="64"/>
  <c r="E76" i="64"/>
  <c r="E59" i="64"/>
  <c r="E58" i="64"/>
  <c r="E57" i="64"/>
  <c r="E56" i="64"/>
  <c r="E55" i="64"/>
  <c r="E54" i="64"/>
  <c r="E52" i="64"/>
  <c r="E51" i="64"/>
  <c r="E71" i="64"/>
  <c r="E70" i="64"/>
  <c r="E69" i="64"/>
  <c r="E68" i="64"/>
  <c r="C15" i="65"/>
  <c r="C16" i="65" l="1"/>
  <c r="D16" i="65" s="1"/>
  <c r="C19" i="65"/>
  <c r="D19" i="65" s="1"/>
  <c r="C17" i="65"/>
  <c r="D17" i="65" s="1"/>
  <c r="D15" i="6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tc={9A5B99E5-5BA4-4CF3-81E8-365B37BF0E7E}</author>
    <author>tc={67C1B1A0-A334-465F-AE39-D9C4658B7072}</author>
    <author>tc={9EB7A050-B8C6-4E7E-8B73-F1508AD21BC6}</author>
  </authors>
  <commentList>
    <comment ref="H9" authorId="0" shapeId="0" xr:uid="{9A5B99E5-5BA4-4CF3-81E8-365B37BF0E7E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Paid</t>
      </text>
    </comment>
    <comment ref="H11" authorId="1" shapeId="0" xr:uid="{67C1B1A0-A334-465F-AE39-D9C4658B7072}">
      <text>
        <t>[Threaded comment]
Your version of Excel allows you to read this threaded comment; however, any edits to it will get removed if the file is opened in a newer version of Excel. Learn more: https://go.microsoft.com/fwlink/?linkid=870924
Comment:
    AVG(Original Spread - Coupon)</t>
      </text>
    </comment>
    <comment ref="H13" authorId="2" shapeId="0" xr:uid="{9EB7A050-B8C6-4E7E-8B73-F1508AD21BC6}">
      <text>
        <t>[Threaded comment]
Your version of Excel allows you to read this threaded comment; however, any edits to it will get removed if the file is opened in a newer version of Excel. Learn more: https://go.microsoft.com/fwlink/?linkid=870924
Comment:
    Premium correspond to all Treasury 1.5m*3.7%</t>
      </text>
    </comment>
  </commentList>
</comments>
</file>

<file path=xl/sharedStrings.xml><?xml version="1.0" encoding="utf-8"?>
<sst xmlns="http://schemas.openxmlformats.org/spreadsheetml/2006/main" count="490" uniqueCount="194">
  <si>
    <t>CipherID</t>
  </si>
  <si>
    <t>Name</t>
  </si>
  <si>
    <t>Issuer</t>
  </si>
  <si>
    <t>Hedges</t>
  </si>
  <si>
    <t>Fronting</t>
  </si>
  <si>
    <t>ROL</t>
  </si>
  <si>
    <t>Fronting Fee</t>
  </si>
  <si>
    <t>PortfolioID</t>
  </si>
  <si>
    <t>Management Fee</t>
  </si>
  <si>
    <t>Carry</t>
  </si>
  <si>
    <t>Hurdle (Hard)</t>
  </si>
  <si>
    <t>Acquisition Expense</t>
  </si>
  <si>
    <t>FET</t>
  </si>
  <si>
    <t>Investment Inc</t>
  </si>
  <si>
    <t>Op/Org Expenses</t>
  </si>
  <si>
    <t>EventID</t>
  </si>
  <si>
    <t>EventName</t>
  </si>
  <si>
    <t>Cash</t>
  </si>
  <si>
    <t>Bound Portfolio Report</t>
  </si>
  <si>
    <t>Profit and Loss</t>
  </si>
  <si>
    <t>Guidelines</t>
  </si>
  <si>
    <t>CurrencyCode</t>
  </si>
  <si>
    <t>Sheet name</t>
  </si>
  <si>
    <t>VBA reference</t>
  </si>
  <si>
    <t>Server</t>
  </si>
  <si>
    <t>Database</t>
  </si>
  <si>
    <t>UID</t>
  </si>
  <si>
    <t>Password</t>
  </si>
  <si>
    <t>BoundPortfolioDetails</t>
  </si>
  <si>
    <t>Input</t>
  </si>
  <si>
    <t>VBA Data Type</t>
  </si>
  <si>
    <t>Length</t>
  </si>
  <si>
    <t>Column Number in Excel</t>
  </si>
  <si>
    <t>OptimizationLayerID</t>
  </si>
  <si>
    <t>String</t>
  </si>
  <si>
    <t>ILSName</t>
  </si>
  <si>
    <t>NotionalAUM</t>
  </si>
  <si>
    <t>CUSIP</t>
  </si>
  <si>
    <t>BoundDate</t>
  </si>
  <si>
    <t>Date</t>
  </si>
  <si>
    <t>ExpirationDate</t>
  </si>
  <si>
    <t>SecurityInstrument</t>
  </si>
  <si>
    <t>ReportDate</t>
  </si>
  <si>
    <t>OccurenceLimit</t>
  </si>
  <si>
    <t>Double</t>
  </si>
  <si>
    <t>Remarks</t>
  </si>
  <si>
    <t>AggregateLimit</t>
  </si>
  <si>
    <t>BondPrice</t>
  </si>
  <si>
    <t>InitialFees</t>
  </si>
  <si>
    <t>ExceptionApproval</t>
  </si>
  <si>
    <t>AvgRateChangeProjection</t>
  </si>
  <si>
    <t>Comments</t>
  </si>
  <si>
    <t>Long</t>
  </si>
  <si>
    <t>Report Date</t>
  </si>
  <si>
    <t>FrontingFee</t>
  </si>
  <si>
    <t>AcquisitionExpense</t>
  </si>
  <si>
    <t>Column Name in SQL</t>
  </si>
  <si>
    <t>Column Name In Excel</t>
  </si>
  <si>
    <t>ConstraintType</t>
  </si>
  <si>
    <t>LossType</t>
  </si>
  <si>
    <t>ReturnPeriod</t>
  </si>
  <si>
    <t>MaxLimit</t>
  </si>
  <si>
    <t>ConstraintName</t>
  </si>
  <si>
    <t>SingleLimit</t>
  </si>
  <si>
    <t>InputRowStart</t>
  </si>
  <si>
    <t>BoundPortfolioDetailsRowStart</t>
  </si>
  <si>
    <t>Location of Table Name in Input</t>
  </si>
  <si>
    <t>Notional AUM</t>
  </si>
  <si>
    <t>Number of tables to be Uploaded</t>
  </si>
  <si>
    <t>Setup</t>
  </si>
  <si>
    <t>Reference Data</t>
  </si>
  <si>
    <t>Row Number of first Table to be Uploaded</t>
  </si>
  <si>
    <t>ColumnName</t>
  </si>
  <si>
    <t>DataType</t>
  </si>
  <si>
    <t>DataLength</t>
  </si>
  <si>
    <t>ResultSheetName</t>
  </si>
  <si>
    <t>ColumnSheetName</t>
  </si>
  <si>
    <t>References</t>
  </si>
  <si>
    <t>ILSName (has to be exactly same as ILS Name in Bound details)</t>
  </si>
  <si>
    <t>Additional Adjustment</t>
  </si>
  <si>
    <t>Event Name</t>
  </si>
  <si>
    <t>BoundPortfolio</t>
  </si>
  <si>
    <t>Historical Events Adjustment</t>
  </si>
  <si>
    <t>Worksheet name in Excel</t>
  </si>
  <si>
    <t>ReportID</t>
  </si>
  <si>
    <t>AdditionalAdjustment</t>
  </si>
  <si>
    <t>MgmtFees</t>
  </si>
  <si>
    <t>HurdleType</t>
  </si>
  <si>
    <t>Hurdle</t>
  </si>
  <si>
    <t>InvestmentIncome</t>
  </si>
  <si>
    <t>OpsExpenses</t>
  </si>
  <si>
    <t>BoundPortfolioID</t>
  </si>
  <si>
    <t>Series</t>
  </si>
  <si>
    <t>Class</t>
  </si>
  <si>
    <t>Reset</t>
  </si>
  <si>
    <t>Renewal</t>
  </si>
  <si>
    <t>Loss Basis</t>
  </si>
  <si>
    <t>Fronted</t>
  </si>
  <si>
    <t>LossBasis</t>
  </si>
  <si>
    <t>Reinstatements</t>
  </si>
  <si>
    <t>Variant</t>
  </si>
  <si>
    <t>BondInitialSpread</t>
  </si>
  <si>
    <t>BondRedemption</t>
  </si>
  <si>
    <t>No.ofReinstatement</t>
  </si>
  <si>
    <t>ContractWordingReceivedDate</t>
  </si>
  <si>
    <t>ContractWordingforwardedtoAON/ART</t>
  </si>
  <si>
    <t>AuthorizationDate</t>
  </si>
  <si>
    <t xml:space="preserve"> ConfirmationNoticeDate</t>
  </si>
  <si>
    <t>ContractExecutedDate</t>
  </si>
  <si>
    <t>TreatyType</t>
  </si>
  <si>
    <t>ContractWordingForwardedtoAONART</t>
  </si>
  <si>
    <t>ConfirmationNoticeDate</t>
  </si>
  <si>
    <t>Whether loss attched is Loss Occuring During (LOD) or Risk Attaching (RA)</t>
  </si>
  <si>
    <t>The sponsor who issues the insurance linked securities</t>
  </si>
  <si>
    <t xml:space="preserve">Whether we have hedged a deal or not. </t>
  </si>
  <si>
    <t>The deal number once the deal is in capital markets</t>
  </si>
  <si>
    <t>The date on which the deal is bound</t>
  </si>
  <si>
    <t>The date on which the deal expires</t>
  </si>
  <si>
    <t>Type of insurance linked securities</t>
  </si>
  <si>
    <t>The maximum amount a particular layer is responsible for a particular occurrence if that event is covered</t>
  </si>
  <si>
    <t>The maximum amount a particular layer is responsible for events occurred in entire year if those event are covered</t>
  </si>
  <si>
    <t>Is the event Fronted or not.</t>
  </si>
  <si>
    <t>Price of the bond</t>
  </si>
  <si>
    <t>Percentage of the layer covered by pimco</t>
  </si>
  <si>
    <t>The number of times the investor in that particular layer will cover after the exhaustion of that layer.</t>
  </si>
  <si>
    <t>Max ID of field ID in SQL. This ID will be common for all tables and reference for us to know what data was imported for a particular ID</t>
  </si>
  <si>
    <t>For Fund 1, it will be 1 and for fund 2 it will be 2</t>
  </si>
  <si>
    <t>Management fees</t>
  </si>
  <si>
    <t>Rate of hurdle</t>
  </si>
  <si>
    <t>Type of hurdle rate</t>
  </si>
  <si>
    <t>Operational Expense</t>
  </si>
  <si>
    <t>Investment income</t>
  </si>
  <si>
    <t>Name of the event</t>
  </si>
  <si>
    <t>Name of the deal in which we have invested</t>
  </si>
  <si>
    <t>BondRedemptionPrice</t>
  </si>
  <si>
    <t>CoverageType</t>
  </si>
  <si>
    <t>Bond Coupon</t>
  </si>
  <si>
    <t>Bond Buy or Sell</t>
  </si>
  <si>
    <t>Bonds Buy Date</t>
  </si>
  <si>
    <t>Bond Sell Price</t>
  </si>
  <si>
    <t>Bond Sell Date</t>
  </si>
  <si>
    <t>Quantity Pledged</t>
  </si>
  <si>
    <t>Quantity</t>
  </si>
  <si>
    <t>BondCoupon</t>
  </si>
  <si>
    <t>BondTransactionType</t>
  </si>
  <si>
    <t>BondBuyDate</t>
  </si>
  <si>
    <t>BondSellPrice</t>
  </si>
  <si>
    <t>BondSellDate</t>
  </si>
  <si>
    <t>QuantityPledged</t>
  </si>
  <si>
    <t>Realized Gain</t>
  </si>
  <si>
    <t>RealizedGain</t>
  </si>
  <si>
    <t>Report Type</t>
  </si>
  <si>
    <t>ReportType</t>
  </si>
  <si>
    <t>FUND 1</t>
  </si>
  <si>
    <t>Single Limit</t>
  </si>
  <si>
    <t>Min</t>
  </si>
  <si>
    <t>Max</t>
  </si>
  <si>
    <t>FUND 2</t>
  </si>
  <si>
    <t>Security Instrument</t>
  </si>
  <si>
    <t>Deployed AUM</t>
  </si>
  <si>
    <t>PIMCOVIEW</t>
  </si>
  <si>
    <t>NRE_ID</t>
  </si>
  <si>
    <t>CurrExchangeFactor</t>
  </si>
  <si>
    <t>RiskFreeRate</t>
  </si>
  <si>
    <t>Risk Free Rate</t>
  </si>
  <si>
    <t>ProFormaRateChange</t>
  </si>
  <si>
    <t>QS Attritional LR Worldwide</t>
  </si>
  <si>
    <t>Pro Forma Rate Change</t>
  </si>
  <si>
    <t>QS Attritional LR US Wind</t>
  </si>
  <si>
    <t>QSAttritionalLRUSWind</t>
  </si>
  <si>
    <t>QSAttritionalLRWorldwide</t>
  </si>
  <si>
    <t>CompanyShare</t>
  </si>
  <si>
    <t>Investment Premium</t>
  </si>
  <si>
    <t>Investment Income</t>
  </si>
  <si>
    <t xml:space="preserve">without Treasury </t>
  </si>
  <si>
    <t xml:space="preserve">with Treasury </t>
  </si>
  <si>
    <t>Premium CAT Bond</t>
  </si>
  <si>
    <t>Premium Incl Treasury</t>
  </si>
  <si>
    <t>AAL from Sheet</t>
  </si>
  <si>
    <t>Data Received Date</t>
  </si>
  <si>
    <t># Holdings</t>
  </si>
  <si>
    <t># Cat Bonds</t>
  </si>
  <si>
    <t>Risk free rate</t>
  </si>
  <si>
    <t>Current Mkt Value</t>
  </si>
  <si>
    <t>AUM</t>
  </si>
  <si>
    <t>% chage</t>
  </si>
  <si>
    <t xml:space="preserve">Deployed AUM </t>
  </si>
  <si>
    <t>Treasury Value</t>
  </si>
  <si>
    <t>SINDHU-LAPTOP</t>
  </si>
  <si>
    <t>ARAPL_Configuration_v13</t>
  </si>
  <si>
    <t>Tables to be Uploaded in  DB</t>
  </si>
  <si>
    <t>TestCaseID</t>
  </si>
  <si>
    <t>Result</t>
  </si>
  <si>
    <t>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</si>
</sst>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_(* #,##0.0000000_);_(* \(#,##0.0000000\);_(* &quot;-&quot;??_);_(@_)"/>
    <numFmt numFmtId="167" formatCode="0.0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.5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227ACB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7CE"/>
        <bgColor indexed="64"/>
      </patternFill>
    </fill>
  </fills>
  <borders count="4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0" fontId="5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/>
    <xf numFmtId="0" fontId="1" fillId="0" borderId="0"/>
    <xf numFmtId="0" fontId="4" fillId="0" borderId="0"/>
  </cellStyleXfs>
  <cellXfs count="173">
    <xf numFmtId="0" fontId="0" fillId="0" borderId="0" xfId="0"/>
    <xf numFmtId="0" fontId="2" fillId="0" borderId="0" xfId="0" applyFont="1"/>
    <xf numFmtId="0" fontId="6" fillId="0" borderId="0" xfId="0" applyFont="1"/>
    <xf numFmtId="0" fontId="2" fillId="2" borderId="0" xfId="0" applyFont="1" applyFill="1"/>
    <xf numFmtId="0" fontId="0" fillId="0" borderId="2" xfId="0" applyBorder="1"/>
    <xf numFmtId="0" fontId="0" fillId="0" borderId="7" xfId="0" applyBorder="1"/>
    <xf numFmtId="0" fontId="2" fillId="0" borderId="10" xfId="0" applyFont="1" applyBorder="1"/>
    <xf numFmtId="0" fontId="2" fillId="0" borderId="9" xfId="0" applyFont="1" applyBorder="1"/>
    <xf numFmtId="0" fontId="2" fillId="0" borderId="11" xfId="0" applyFont="1" applyBorder="1"/>
    <xf numFmtId="0" fontId="6" fillId="0" borderId="2" xfId="0" applyFont="1" applyBorder="1"/>
    <xf numFmtId="0" fontId="0" fillId="0" borderId="1" xfId="0" applyBorder="1"/>
    <xf numFmtId="0" fontId="0" fillId="0" borderId="8" xfId="0" applyBorder="1"/>
    <xf numFmtId="0" fontId="0" fillId="0" borderId="4" xfId="0" applyBorder="1"/>
    <xf numFmtId="0" fontId="0" fillId="0" borderId="1" xfId="0" applyBorder="1" applyAlignment="1">
      <alignment horizontal="left"/>
    </xf>
    <xf numFmtId="165" fontId="1" fillId="0" borderId="2" xfId="2" applyNumberFormat="1" applyFont="1" applyFill="1" applyBorder="1"/>
    <xf numFmtId="14" fontId="0" fillId="0" borderId="0" xfId="0" applyNumberFormat="1"/>
    <xf numFmtId="0" fontId="0" fillId="0" borderId="5" xfId="0" applyBorder="1"/>
    <xf numFmtId="0" fontId="0" fillId="0" borderId="6" xfId="0" applyBorder="1"/>
    <xf numFmtId="0" fontId="0" fillId="0" borderId="3" xfId="0" applyBorder="1"/>
    <xf numFmtId="1" fontId="0" fillId="0" borderId="0" xfId="0" applyNumberFormat="1"/>
    <xf numFmtId="0" fontId="0" fillId="0" borderId="0" xfId="0" applyAlignment="1">
      <alignment horizontal="left"/>
    </xf>
    <xf numFmtId="165" fontId="6" fillId="0" borderId="8" xfId="2" applyNumberFormat="1" applyFont="1" applyFill="1" applyBorder="1"/>
    <xf numFmtId="0" fontId="7" fillId="0" borderId="10" xfId="0" applyFont="1" applyBorder="1"/>
    <xf numFmtId="0" fontId="7" fillId="0" borderId="9" xfId="0" applyFont="1" applyBorder="1"/>
    <xf numFmtId="0" fontId="7" fillId="0" borderId="11" xfId="0" applyFont="1" applyBorder="1"/>
    <xf numFmtId="0" fontId="3" fillId="0" borderId="0" xfId="0" applyFont="1" applyAlignment="1">
      <alignment horizontal="left"/>
    </xf>
    <xf numFmtId="0" fontId="0" fillId="2" borderId="0" xfId="0" applyFill="1"/>
    <xf numFmtId="10" fontId="8" fillId="0" borderId="9" xfId="2" applyNumberFormat="1" applyFont="1" applyFill="1" applyBorder="1" applyAlignment="1">
      <alignment horizontal="left"/>
    </xf>
    <xf numFmtId="0" fontId="2" fillId="0" borderId="6" xfId="0" applyFont="1" applyBorder="1"/>
    <xf numFmtId="43" fontId="0" fillId="0" borderId="0" xfId="0" applyNumberFormat="1"/>
    <xf numFmtId="0" fontId="0" fillId="3" borderId="0" xfId="0" applyFill="1"/>
    <xf numFmtId="43" fontId="0" fillId="3" borderId="0" xfId="0" applyNumberFormat="1" applyFill="1"/>
    <xf numFmtId="0" fontId="0" fillId="3" borderId="0" xfId="0" applyFill="1" applyAlignment="1">
      <alignment horizontal="left"/>
    </xf>
    <xf numFmtId="0" fontId="2" fillId="2" borderId="14" xfId="0" applyFont="1" applyFill="1" applyBorder="1"/>
    <xf numFmtId="0" fontId="2" fillId="0" borderId="5" xfId="0" applyFont="1" applyBorder="1"/>
    <xf numFmtId="165" fontId="2" fillId="0" borderId="0" xfId="2" applyNumberFormat="1" applyFont="1" applyFill="1"/>
    <xf numFmtId="0" fontId="2" fillId="0" borderId="3" xfId="0" applyFont="1" applyBorder="1"/>
    <xf numFmtId="165" fontId="2" fillId="0" borderId="6" xfId="2" applyNumberFormat="1" applyFont="1" applyFill="1" applyBorder="1"/>
    <xf numFmtId="165" fontId="2" fillId="0" borderId="3" xfId="2" applyNumberFormat="1" applyFont="1" applyFill="1" applyBorder="1"/>
    <xf numFmtId="9" fontId="0" fillId="0" borderId="0" xfId="0" applyNumberFormat="1"/>
    <xf numFmtId="165" fontId="0" fillId="0" borderId="0" xfId="2" applyNumberFormat="1" applyFont="1" applyFill="1"/>
    <xf numFmtId="9" fontId="0" fillId="0" borderId="1" xfId="2" applyFont="1" applyFill="1" applyBorder="1"/>
    <xf numFmtId="165" fontId="0" fillId="0" borderId="0" xfId="2" applyNumberFormat="1" applyFont="1" applyFill="1" applyBorder="1"/>
    <xf numFmtId="165" fontId="0" fillId="0" borderId="1" xfId="2" applyNumberFormat="1" applyFont="1" applyFill="1" applyBorder="1"/>
    <xf numFmtId="165" fontId="0" fillId="0" borderId="8" xfId="2" applyNumberFormat="1" applyFont="1" applyFill="1" applyBorder="1"/>
    <xf numFmtId="165" fontId="0" fillId="0" borderId="4" xfId="2" applyNumberFormat="1" applyFont="1" applyFill="1" applyBorder="1"/>
    <xf numFmtId="165" fontId="0" fillId="0" borderId="3" xfId="2" applyNumberFormat="1" applyFont="1" applyFill="1" applyBorder="1"/>
    <xf numFmtId="9" fontId="0" fillId="0" borderId="4" xfId="2" applyFont="1" applyFill="1" applyBorder="1"/>
    <xf numFmtId="165" fontId="2" fillId="0" borderId="0" xfId="2" applyNumberFormat="1" applyFont="1" applyFill="1" applyBorder="1"/>
    <xf numFmtId="165" fontId="2" fillId="0" borderId="1" xfId="2" applyNumberFormat="1" applyFont="1" applyFill="1" applyBorder="1"/>
    <xf numFmtId="9" fontId="0" fillId="0" borderId="16" xfId="2" applyFont="1" applyFill="1" applyBorder="1"/>
    <xf numFmtId="9" fontId="0" fillId="0" borderId="17" xfId="2" applyFont="1" applyFill="1" applyBorder="1"/>
    <xf numFmtId="9" fontId="0" fillId="0" borderId="0" xfId="2" applyFont="1" applyFill="1" applyBorder="1"/>
    <xf numFmtId="0" fontId="0" fillId="0" borderId="18" xfId="0" applyBorder="1"/>
    <xf numFmtId="9" fontId="0" fillId="0" borderId="19" xfId="2" applyFont="1" applyFill="1" applyBorder="1"/>
    <xf numFmtId="9" fontId="0" fillId="0" borderId="20" xfId="2" applyFont="1" applyFill="1" applyBorder="1"/>
    <xf numFmtId="9" fontId="0" fillId="0" borderId="21" xfId="2" applyFont="1" applyFill="1" applyBorder="1"/>
    <xf numFmtId="9" fontId="0" fillId="0" borderId="22" xfId="2" applyFont="1" applyFill="1" applyBorder="1"/>
    <xf numFmtId="164" fontId="0" fillId="0" borderId="0" xfId="1" applyNumberFormat="1" applyFont="1" applyFill="1" applyBorder="1"/>
    <xf numFmtId="9" fontId="0" fillId="0" borderId="0" xfId="2" applyFont="1"/>
    <xf numFmtId="0" fontId="0" fillId="2" borderId="1" xfId="0" applyFill="1" applyBorder="1"/>
    <xf numFmtId="0" fontId="0" fillId="0" borderId="0" xfId="0" applyAlignment="1">
      <alignment horizontal="center"/>
    </xf>
    <xf numFmtId="10" fontId="6" fillId="0" borderId="8" xfId="2" applyNumberFormat="1" applyFont="1" applyFill="1" applyBorder="1"/>
    <xf numFmtId="0" fontId="3" fillId="0" borderId="0" xfId="0" applyFont="1"/>
    <xf numFmtId="0" fontId="3" fillId="0" borderId="0" xfId="1" applyNumberFormat="1" applyFont="1" applyFill="1"/>
    <xf numFmtId="10" fontId="3" fillId="0" borderId="0" xfId="2" applyNumberFormat="1" applyFont="1" applyFill="1"/>
    <xf numFmtId="10" fontId="0" fillId="0" borderId="0" xfId="2" applyNumberFormat="1" applyFont="1" applyFill="1"/>
    <xf numFmtId="166" fontId="0" fillId="0" borderId="0" xfId="1" applyNumberFormat="1" applyFont="1" applyFill="1"/>
    <xf numFmtId="167" fontId="3" fillId="0" borderId="0" xfId="1" applyNumberFormat="1" applyFont="1" applyFill="1"/>
    <xf numFmtId="3" fontId="10" fillId="0" borderId="0" xfId="1" applyNumberFormat="1" applyFont="1" applyFill="1"/>
    <xf numFmtId="167" fontId="0" fillId="0" borderId="0" xfId="0" applyNumberFormat="1"/>
    <xf numFmtId="0" fontId="8" fillId="4" borderId="9" xfId="0" applyFont="1" applyFill="1" applyBorder="1" applyAlignment="1">
      <alignment horizontal="left"/>
    </xf>
    <xf numFmtId="43" fontId="8" fillId="4" borderId="9" xfId="1" applyFont="1" applyFill="1" applyBorder="1" applyAlignment="1"/>
    <xf numFmtId="0" fontId="8" fillId="4" borderId="10" xfId="0" applyFont="1" applyFill="1" applyBorder="1" applyAlignment="1">
      <alignment horizontal="left"/>
    </xf>
    <xf numFmtId="0" fontId="8" fillId="5" borderId="9" xfId="0" applyFont="1" applyFill="1" applyBorder="1" applyAlignment="1">
      <alignment horizontal="left"/>
    </xf>
    <xf numFmtId="14" fontId="8" fillId="5" borderId="9" xfId="1" applyNumberFormat="1" applyFont="1" applyFill="1" applyBorder="1" applyAlignment="1"/>
    <xf numFmtId="0" fontId="8" fillId="5" borderId="9" xfId="1" applyNumberFormat="1" applyFont="1" applyFill="1" applyBorder="1" applyAlignment="1">
      <alignment horizontal="left"/>
    </xf>
    <xf numFmtId="43" fontId="8" fillId="5" borderId="9" xfId="1" applyFont="1" applyFill="1" applyBorder="1" applyAlignment="1"/>
    <xf numFmtId="10" fontId="8" fillId="5" borderId="9" xfId="2" applyNumberFormat="1" applyFont="1" applyFill="1" applyBorder="1" applyAlignment="1"/>
    <xf numFmtId="166" fontId="8" fillId="5" borderId="9" xfId="1" applyNumberFormat="1" applyFont="1" applyFill="1" applyBorder="1" applyAlignment="1">
      <alignment horizontal="left"/>
    </xf>
    <xf numFmtId="167" fontId="8" fillId="5" borderId="9" xfId="0" applyNumberFormat="1" applyFont="1" applyFill="1" applyBorder="1" applyAlignment="1">
      <alignment horizontal="left"/>
    </xf>
    <xf numFmtId="0" fontId="8" fillId="5" borderId="8" xfId="0" applyFont="1" applyFill="1" applyBorder="1" applyAlignment="1">
      <alignment horizontal="left"/>
    </xf>
    <xf numFmtId="0" fontId="8" fillId="5" borderId="13" xfId="0" applyFont="1" applyFill="1" applyBorder="1" applyAlignment="1">
      <alignment horizontal="left"/>
    </xf>
    <xf numFmtId="164" fontId="0" fillId="0" borderId="0" xfId="1" applyNumberFormat="1" applyFont="1"/>
    <xf numFmtId="0" fontId="2" fillId="4" borderId="23" xfId="0" applyFont="1" applyFill="1" applyBorder="1"/>
    <xf numFmtId="0" fontId="2" fillId="4" borderId="24" xfId="0" applyFont="1" applyFill="1" applyBorder="1"/>
    <xf numFmtId="0" fontId="2" fillId="4" borderId="25" xfId="0" applyFont="1" applyFill="1" applyBorder="1"/>
    <xf numFmtId="0" fontId="2" fillId="0" borderId="26" xfId="0" applyFont="1" applyBorder="1"/>
    <xf numFmtId="164" fontId="0" fillId="0" borderId="19" xfId="1" applyNumberFormat="1" applyFont="1" applyBorder="1"/>
    <xf numFmtId="164" fontId="0" fillId="0" borderId="20" xfId="1" applyNumberFormat="1" applyFont="1" applyBorder="1"/>
    <xf numFmtId="164" fontId="0" fillId="0" borderId="27" xfId="1" applyNumberFormat="1" applyFont="1" applyFill="1" applyBorder="1"/>
    <xf numFmtId="10" fontId="0" fillId="0" borderId="19" xfId="2" applyNumberFormat="1" applyFont="1" applyBorder="1"/>
    <xf numFmtId="10" fontId="0" fillId="0" borderId="20" xfId="2" applyNumberFormat="1" applyFont="1" applyBorder="1"/>
    <xf numFmtId="164" fontId="0" fillId="0" borderId="19" xfId="1" applyNumberFormat="1" applyFont="1" applyFill="1" applyBorder="1"/>
    <xf numFmtId="164" fontId="0" fillId="0" borderId="20" xfId="1" applyNumberFormat="1" applyFont="1" applyFill="1" applyBorder="1"/>
    <xf numFmtId="164" fontId="0" fillId="0" borderId="28" xfId="1" applyNumberFormat="1" applyFont="1" applyFill="1" applyBorder="1"/>
    <xf numFmtId="164" fontId="0" fillId="0" borderId="4" xfId="1" applyNumberFormat="1" applyFont="1" applyBorder="1"/>
    <xf numFmtId="0" fontId="2" fillId="4" borderId="29" xfId="0" applyFont="1" applyFill="1" applyBorder="1"/>
    <xf numFmtId="0" fontId="2" fillId="4" borderId="30" xfId="0" applyFont="1" applyFill="1" applyBorder="1"/>
    <xf numFmtId="14" fontId="2" fillId="4" borderId="30" xfId="0" applyNumberFormat="1" applyFont="1" applyFill="1" applyBorder="1"/>
    <xf numFmtId="14" fontId="2" fillId="4" borderId="13" xfId="0" applyNumberFormat="1" applyFont="1" applyFill="1" applyBorder="1"/>
    <xf numFmtId="0" fontId="2" fillId="0" borderId="33" xfId="0" applyFont="1" applyBorder="1"/>
    <xf numFmtId="164" fontId="0" fillId="0" borderId="31" xfId="1" applyNumberFormat="1" applyFont="1" applyBorder="1"/>
    <xf numFmtId="164" fontId="0" fillId="0" borderId="32" xfId="1" applyNumberFormat="1" applyFont="1" applyBorder="1"/>
    <xf numFmtId="14" fontId="0" fillId="0" borderId="17" xfId="0" applyNumberFormat="1" applyBorder="1"/>
    <xf numFmtId="14" fontId="0" fillId="0" borderId="16" xfId="0" applyNumberFormat="1" applyBorder="1"/>
    <xf numFmtId="0" fontId="12" fillId="0" borderId="0" xfId="0" applyFont="1" applyAlignment="1">
      <alignment horizontal="left"/>
    </xf>
    <xf numFmtId="14" fontId="8" fillId="0" borderId="9" xfId="1" applyNumberFormat="1" applyFont="1" applyFill="1" applyBorder="1" applyAlignment="1">
      <alignment horizontal="right"/>
    </xf>
    <xf numFmtId="14" fontId="0" fillId="0" borderId="34" xfId="0" applyNumberFormat="1" applyBorder="1"/>
    <xf numFmtId="164" fontId="0" fillId="0" borderId="35" xfId="1" applyNumberFormat="1" applyFont="1" applyBorder="1"/>
    <xf numFmtId="164" fontId="0" fillId="0" borderId="36" xfId="1" applyNumberFormat="1" applyFont="1" applyBorder="1"/>
    <xf numFmtId="10" fontId="0" fillId="0" borderId="36" xfId="2" applyNumberFormat="1" applyFont="1" applyBorder="1"/>
    <xf numFmtId="164" fontId="0" fillId="0" borderId="36" xfId="1" applyNumberFormat="1" applyFont="1" applyFill="1" applyBorder="1"/>
    <xf numFmtId="164" fontId="0" fillId="0" borderId="8" xfId="1" applyNumberFormat="1" applyFont="1" applyBorder="1"/>
    <xf numFmtId="165" fontId="0" fillId="0" borderId="23" xfId="2" applyNumberFormat="1" applyFont="1" applyBorder="1"/>
    <xf numFmtId="165" fontId="0" fillId="0" borderId="24" xfId="2" applyNumberFormat="1" applyFont="1" applyBorder="1"/>
    <xf numFmtId="0" fontId="11" fillId="0" borderId="0" xfId="0" applyFont="1"/>
    <xf numFmtId="0" fontId="14" fillId="0" borderId="0" xfId="0" applyFont="1" applyAlignment="1">
      <alignment vertical="center"/>
    </xf>
    <xf numFmtId="164" fontId="0" fillId="0" borderId="0" xfId="0" applyNumberFormat="1"/>
    <xf numFmtId="14" fontId="2" fillId="4" borderId="37" xfId="0" applyNumberFormat="1" applyFont="1" applyFill="1" applyBorder="1"/>
    <xf numFmtId="14" fontId="2" fillId="4" borderId="14" xfId="0" applyNumberFormat="1" applyFont="1" applyFill="1" applyBorder="1"/>
    <xf numFmtId="165" fontId="0" fillId="0" borderId="38" xfId="2" applyNumberFormat="1" applyFont="1" applyBorder="1"/>
    <xf numFmtId="14" fontId="0" fillId="0" borderId="0" xfId="0" applyNumberFormat="1" applyAlignment="1">
      <alignment horizontal="right"/>
    </xf>
    <xf numFmtId="43" fontId="0" fillId="0" borderId="0" xfId="1" applyFont="1"/>
    <xf numFmtId="14" fontId="2" fillId="4" borderId="9" xfId="0" applyNumberFormat="1" applyFont="1" applyFill="1" applyBorder="1"/>
    <xf numFmtId="14" fontId="0" fillId="0" borderId="33" xfId="0" applyNumberFormat="1" applyBorder="1"/>
    <xf numFmtId="164" fontId="0" fillId="0" borderId="39" xfId="1" applyNumberFormat="1" applyFont="1" applyBorder="1"/>
    <xf numFmtId="164" fontId="0" fillId="0" borderId="26" xfId="1" applyNumberFormat="1" applyFont="1" applyBorder="1"/>
    <xf numFmtId="10" fontId="0" fillId="0" borderId="26" xfId="2" applyNumberFormat="1" applyFont="1" applyBorder="1"/>
    <xf numFmtId="2" fontId="10" fillId="0" borderId="0" xfId="1" applyNumberFormat="1" applyFont="1" applyFill="1"/>
    <xf numFmtId="167" fontId="11" fillId="0" borderId="0" xfId="0" applyNumberFormat="1" applyFont="1"/>
    <xf numFmtId="0" fontId="2" fillId="0" borderId="12" xfId="0" applyFont="1" applyBorder="1"/>
    <xf numFmtId="0" fontId="0" fillId="6" borderId="0" xfId="0" applyFill="1"/>
    <xf numFmtId="22" fontId="0" fillId="6" borderId="0" xfId="0" applyNumberFormat="1" applyFill="1"/>
    <xf numFmtId="167" fontId="3" fillId="0" borderId="0" xfId="2" applyNumberFormat="1" applyFont="1" applyFill="1"/>
    <xf numFmtId="10" fontId="0" fillId="0" borderId="7" xfId="2" applyNumberFormat="1" applyFont="1" applyFill="1" applyBorder="1"/>
    <xf numFmtId="164" fontId="0" fillId="0" borderId="20" xfId="1" applyNumberFormat="1" applyFont="1" applyFill="1" applyBorder="1" applyAlignment="1">
      <alignment horizontal="left"/>
    </xf>
    <xf numFmtId="0" fontId="0" fillId="0" borderId="12" xfId="0" applyFill="1" applyBorder="1"/>
    <xf numFmtId="0" fontId="0" fillId="0" borderId="0" xfId="0" applyFill="1"/>
    <xf numFmtId="0" fontId="0" fillId="0" borderId="2" xfId="0" applyFill="1" applyBorder="1"/>
    <xf numFmtId="9" fontId="0" fillId="0" borderId="0" xfId="0" applyNumberFormat="1" applyFill="1"/>
    <xf numFmtId="165" fontId="0" fillId="0" borderId="0" xfId="0" applyNumberFormat="1" applyFill="1"/>
    <xf numFmtId="9" fontId="0" fillId="0" borderId="1" xfId="0" applyNumberFormat="1" applyFill="1" applyBorder="1"/>
    <xf numFmtId="10" fontId="0" fillId="0" borderId="1" xfId="0" applyNumberFormat="1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4" xfId="0" applyFill="1" applyBorder="1"/>
    <xf numFmtId="0" fontId="0" fillId="0" borderId="5" xfId="0" applyFill="1" applyBorder="1"/>
    <xf numFmtId="9" fontId="0" fillId="0" borderId="3" xfId="0" applyNumberFormat="1" applyFill="1" applyBorder="1"/>
    <xf numFmtId="9" fontId="0" fillId="0" borderId="4" xfId="0" applyNumberFormat="1" applyFill="1" applyBorder="1"/>
    <xf numFmtId="0" fontId="2" fillId="0" borderId="5" xfId="0" applyFont="1" applyFill="1" applyBorder="1"/>
    <xf numFmtId="0" fontId="2" fillId="0" borderId="2" xfId="0" applyFont="1" applyFill="1" applyBorder="1"/>
    <xf numFmtId="0" fontId="0" fillId="0" borderId="15" xfId="0" applyFill="1" applyBorder="1"/>
    <xf numFmtId="0" fontId="0" fillId="0" borderId="18" xfId="0" applyFill="1" applyBorder="1"/>
    <xf numFmtId="0" fontId="0" fillId="0" borderId="1" xfId="0" applyFill="1" applyBorder="1"/>
    <xf numFmtId="9" fontId="6" fillId="0" borderId="8" xfId="0" applyNumberFormat="1" applyFont="1" applyFill="1" applyBorder="1"/>
    <xf numFmtId="9" fontId="0" fillId="0" borderId="8" xfId="0" applyNumberFormat="1" applyFill="1" applyBorder="1"/>
    <xf numFmtId="10" fontId="6" fillId="0" borderId="8" xfId="0" applyNumberFormat="1" applyFont="1" applyFill="1" applyBorder="1"/>
    <xf numFmtId="10" fontId="6" fillId="0" borderId="4" xfId="0" applyNumberFormat="1" applyFont="1" applyFill="1" applyBorder="1"/>
    <xf numFmtId="14" fontId="0" fillId="0" borderId="8" xfId="0" applyNumberFormat="1" applyFill="1" applyBorder="1"/>
    <xf numFmtId="0" fontId="3" fillId="0" borderId="0" xfId="0" applyFont="1" applyFill="1"/>
    <xf numFmtId="0" fontId="11" fillId="0" borderId="0" xfId="0" applyFont="1" applyFill="1"/>
    <xf numFmtId="14" fontId="10" fillId="0" borderId="0" xfId="0" applyNumberFormat="1" applyFont="1" applyFill="1"/>
    <xf numFmtId="14" fontId="11" fillId="0" borderId="0" xfId="0" applyNumberFormat="1" applyFont="1" applyFill="1"/>
    <xf numFmtId="167" fontId="3" fillId="0" borderId="0" xfId="0" applyNumberFormat="1" applyFont="1" applyFill="1"/>
    <xf numFmtId="14" fontId="0" fillId="0" borderId="0" xfId="0" applyNumberFormat="1" applyFill="1" applyAlignment="1">
      <alignment horizontal="right"/>
    </xf>
    <xf numFmtId="14" fontId="0" fillId="0" borderId="0" xfId="0" applyNumberFormat="1" applyFill="1"/>
    <xf numFmtId="3" fontId="0" fillId="0" borderId="0" xfId="0" applyNumberFormat="1" applyFill="1"/>
    <xf numFmtId="167" fontId="0" fillId="0" borderId="0" xfId="0" applyNumberFormat="1" applyFill="1"/>
    <xf numFmtId="14" fontId="3" fillId="0" borderId="0" xfId="0" applyNumberFormat="1" applyFont="1" applyFill="1"/>
    <xf numFmtId="164" fontId="2" fillId="0" borderId="0" xfId="0" applyNumberFormat="1" applyFont="1" applyFill="1"/>
    <xf numFmtId="0" fontId="0" fillId="0" borderId="0" xfId="0" applyFill="1" applyAlignment="1">
      <alignment vertical="center"/>
    </xf>
    <xf numFmtId="0" fontId="2" fillId="0" borderId="0" xfId="0" applyFont="1" applyFill="1"/>
  </cellXfs>
  <cellStyles count="10">
    <cellStyle name="Comma" xfId="1" builtinId="3"/>
    <cellStyle name="Comma 2 27" xfId="6" xr:uid="{00000000-0005-0000-0000-000001000000}"/>
    <cellStyle name="Currency 3" xfId="5" xr:uid="{00000000-0005-0000-0000-000002000000}"/>
    <cellStyle name="Normal" xfId="0" builtinId="0"/>
    <cellStyle name="Normal - Style1" xfId="7" xr:uid="{00000000-0005-0000-0000-000004000000}"/>
    <cellStyle name="Normal 123" xfId="8" xr:uid="{00000000-0005-0000-0000-000005000000}"/>
    <cellStyle name="Normal 14" xfId="9" xr:uid="{00000000-0005-0000-0000-000006000000}"/>
    <cellStyle name="Normal 2 2" xfId="4" xr:uid="{00000000-0005-0000-0000-000007000000}"/>
    <cellStyle name="Normal 36" xfId="3" xr:uid="{00000000-0005-0000-0000-000008000000}"/>
    <cellStyle name="Percent" xfId="2" builtinId="5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388620</xdr:colOff>
          <xdr:row>1</xdr:row>
          <xdr:rowOff>83820</xdr:rowOff>
        </xdr:from>
        <xdr:to>
          <xdr:col>10</xdr:col>
          <xdr:colOff>883920</xdr:colOff>
          <xdr:row>4</xdr:row>
          <xdr:rowOff>114300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 to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Client%20Reports\Bound%20Portfolio%20Reports\July%202021\Bound%20Fund%20Are%205.0%20July%2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cess Checks"/>
      <sheetName val="Version Control"/>
      <sheetName val="Index"/>
      <sheetName val="Comparison V_8.0"/>
      <sheetName val="P&amp;L"/>
      <sheetName val="Limit by Guideline %"/>
      <sheetName val="BoundLayerDB"/>
      <sheetName val="BoundLayerTransaction"/>
      <sheetName val="Guidelines"/>
      <sheetName val="RegionPeril"/>
      <sheetName val="Bound Portfolio Report"/>
      <sheetName val="Region Peril By Deal"/>
      <sheetName val="Leverage Calc"/>
      <sheetName val="AALByMonth"/>
      <sheetName val="~AnalyzeReAddIn"/>
      <sheetName val="PH_EQ_TY"/>
      <sheetName val="HistoricalEvents"/>
      <sheetName val="ILS Report- DeployedCapital"/>
      <sheetName val="ILS Report- AvailableCapital"/>
      <sheetName val="ILS Report- Combined"/>
      <sheetName val="HistoricalEvents_AddAdj"/>
      <sheetName val="EPCurve"/>
      <sheetName val="Free Cash analysis"/>
      <sheetName val="May to June 2021 (Cat bd &amp; IOU)"/>
      <sheetName val="ART Collateral"/>
      <sheetName val="Settings"/>
      <sheetName val="Download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B3" t="str">
            <v>f74b1185-2790-4456-97b4-c593bb2c4c54</v>
          </cell>
          <cell r="D3" t="str">
            <v>da2d16f3-da36-4797-a854-2c29a9cad374</v>
          </cell>
        </row>
        <row r="4">
          <cell r="B4" t="str">
            <v>f5a81352-f47e-4b9d-9e2c-d0d43e4323c3</v>
          </cell>
          <cell r="D4" t="str">
            <v>e55fb6ed-c1e9-423c-93b0-56454001fcc0</v>
          </cell>
        </row>
        <row r="5">
          <cell r="B5" t="str">
            <v>1db260a6-f8a2-473e-a9cc-602d49d928d4</v>
          </cell>
          <cell r="D5" t="str">
            <v>1db260a6-f8a2-473e-a9cc-602d49d928d4</v>
          </cell>
        </row>
        <row r="6">
          <cell r="B6" t="str">
            <v>ace90e6c-eea5-41eb-9688-f7aea0bb6127</v>
          </cell>
          <cell r="D6" t="str">
            <v>ace90e6c-eea5-41eb-9688-f7aea0bb6127</v>
          </cell>
        </row>
        <row r="7">
          <cell r="B7" t="str">
            <v>b57a2f08-fdd0-4920-b673-ca80fba7c4e2</v>
          </cell>
          <cell r="D7" t="str">
            <v>b57a2f08-fdd0-4920-b673-ca80fba7c4e2</v>
          </cell>
        </row>
        <row r="8">
          <cell r="B8" t="str">
            <v>0d60ddeb-f5e7-4cb3-8ce7-1b4ffff84708</v>
          </cell>
          <cell r="D8" t="str">
            <v>0d60ddeb-f5e7-4cb3-8ce7-1b4ffff84708</v>
          </cell>
        </row>
        <row r="9">
          <cell r="B9" t="str">
            <v>78b8baf2-d021-474a-88fe-8848157f307c</v>
          </cell>
          <cell r="D9" t="str">
            <v>78b8baf2-d021-474a-88fe-8848157f307c</v>
          </cell>
        </row>
        <row r="10">
          <cell r="B10" t="str">
            <v>0d037bdf-4c5b-440f-af45-40ab6bfa679a</v>
          </cell>
          <cell r="D10" t="str">
            <v>0d037bdf-4c5b-440f-af45-40ab6bfa679a</v>
          </cell>
        </row>
        <row r="11">
          <cell r="B11" t="str">
            <v>0e74071f-f24a-41e9-a546-92308322358b</v>
          </cell>
          <cell r="D11" t="str">
            <v>0e74071f-f24a-41e9-a546-92308322358b</v>
          </cell>
        </row>
        <row r="12">
          <cell r="B12" t="str">
            <v>a6d3dc3b-43d0-43f5-b383-efb3f802deb2</v>
          </cell>
          <cell r="D12" t="str">
            <v>5e8fabde-347b-439c-87cf-bcfb4f715eb1</v>
          </cell>
        </row>
        <row r="13">
          <cell r="B13" t="str">
            <v>8bf343b5-ed85-49ca-a579-b240dfac2e64</v>
          </cell>
          <cell r="D13" t="str">
            <v>8bf343b5-ed85-49ca-a579-b240dfac2e64</v>
          </cell>
        </row>
        <row r="14">
          <cell r="B14" t="str">
            <v>bb16ef32-b2f8-40f8-b42a-7f157e4a85e8</v>
          </cell>
          <cell r="D14" t="str">
            <v>bb16ef32-b2f8-40f8-b42a-7f157e4a85e8</v>
          </cell>
        </row>
        <row r="15">
          <cell r="B15" t="str">
            <v>cc894233-c238-4dbf-9343-a786880d26ba</v>
          </cell>
          <cell r="D15" t="str">
            <v>cc894233-c238-4dbf-9343-a786880d26ba</v>
          </cell>
        </row>
        <row r="16">
          <cell r="B16" t="str">
            <v>4f5cea76-4687-4e7c-8f51-92a5830e28f1</v>
          </cell>
          <cell r="D16" t="str">
            <v>4f5cea76-4687-4e7c-8f51-92a5830e28f1</v>
          </cell>
        </row>
        <row r="17">
          <cell r="B17" t="str">
            <v>1748e56d-6998-494f-81c5-a56945501558</v>
          </cell>
          <cell r="D17" t="str">
            <v>f4b9b7cc-d315-4941-a570-86a04f0d4cc3</v>
          </cell>
        </row>
        <row r="18">
          <cell r="B18" t="str">
            <v>1efdfd0a-4f9a-4f1f-8454-c96dd24cf18f</v>
          </cell>
          <cell r="D18" t="str">
            <v>01cf8f26-0234-4502-aa38-3cd8fed2e7fe</v>
          </cell>
        </row>
        <row r="19">
          <cell r="B19" t="str">
            <v>ac67c715-d8ca-48f2-a570-1c0ea6d75123</v>
          </cell>
          <cell r="D19" t="str">
            <v>ac67c715-d8ca-48f2-a570-1c0ea6d75123</v>
          </cell>
        </row>
        <row r="20">
          <cell r="B20" t="str">
            <v>8e8eef8e-3081-48e0-a182-c4d6e82f8910</v>
          </cell>
          <cell r="D20" t="str">
            <v>8e8eef8e-3081-48e0-a182-c4d6e82f8910</v>
          </cell>
        </row>
        <row r="21">
          <cell r="B21" t="str">
            <v>a1b763f3-f5fa-41d6-a198-a3dd657c2b0c</v>
          </cell>
          <cell r="D21" t="str">
            <v>a1b763f3-f5fa-41d6-a198-a3dd657c2b0c</v>
          </cell>
        </row>
        <row r="22">
          <cell r="B22" t="str">
            <v>cda60fa2-d7ba-4b04-8f47-b39dc06901f4</v>
          </cell>
          <cell r="D22" t="str">
            <v>a94abb8a-388b-4a22-95f2-804d80def75a</v>
          </cell>
        </row>
        <row r="23">
          <cell r="B23" t="str">
            <v>66e777b5-bf07-46bb-afec-b01e1e9450ca</v>
          </cell>
          <cell r="D23" t="str">
            <v>ee364d8a-54b2-48a6-a60e-2ee1b478371f</v>
          </cell>
        </row>
        <row r="24">
          <cell r="B24" t="str">
            <v>1cb19bab-0723-4e08-a35f-0c6eb72c7fec</v>
          </cell>
          <cell r="D24" t="str">
            <v>3ac41184-3e03-49dd-981c-47fb5e7feee1</v>
          </cell>
        </row>
        <row r="25">
          <cell r="B25" t="str">
            <v>02097af3-58dc-4cca-8d11-af02faf56d35</v>
          </cell>
          <cell r="D25" t="str">
            <v>02097af3-58dc-4cca-8d11-af02faf56d35</v>
          </cell>
        </row>
        <row r="26">
          <cell r="B26" t="str">
            <v>4a4da73f-cc61-4851-a3ab-4d04f9c58758</v>
          </cell>
          <cell r="D26" t="str">
            <v>4a4da73f-cc61-4851-a3ab-4d04f9c58758</v>
          </cell>
        </row>
        <row r="27">
          <cell r="B27" t="str">
            <v>be03cdda-17ec-4b23-973d-cd3da96f4c17</v>
          </cell>
          <cell r="D27" t="str">
            <v>be03cdda-17ec-4b23-973d-cd3da96f4c17</v>
          </cell>
        </row>
        <row r="28">
          <cell r="B28" t="str">
            <v>b1bd2d0e-aa09-4cfa-b0bc-0c9f5aa6a70f</v>
          </cell>
          <cell r="D28" t="str">
            <v>b1bd2d0e-aa09-4cfa-b0bc-0c9f5aa6a70f</v>
          </cell>
        </row>
        <row r="29">
          <cell r="B29" t="str">
            <v>030b277e-5cf5-4b7c-bba6-a157090b2e1d</v>
          </cell>
          <cell r="D29" t="str">
            <v>52f1f148-e949-4335-9bcb-b1627e2c6a46</v>
          </cell>
        </row>
        <row r="30">
          <cell r="B30" t="str">
            <v>945384eb-dd73-4124-95b5-daa1d0acebc5</v>
          </cell>
          <cell r="D30" t="str">
            <v>e0c3601e-5e44-42a9-ae7e-76dc123a77e8</v>
          </cell>
        </row>
        <row r="31">
          <cell r="B31" t="str">
            <v>3a254a51-dde6-4982-aea2-31f22d659045</v>
          </cell>
          <cell r="D31" t="str">
            <v>615f2dbf-6997-4f36-acd2-b3a85596c32f</v>
          </cell>
        </row>
        <row r="32">
          <cell r="B32" t="str">
            <v>e8038ce4-e39f-4e0a-92c2-456e090da305</v>
          </cell>
          <cell r="D32" t="str">
            <v>e8038ce4-e39f-4e0a-92c2-456e090da305</v>
          </cell>
        </row>
        <row r="33">
          <cell r="B33" t="str">
            <v>44e7085d-57b9-4402-80f8-9ff378a2618d</v>
          </cell>
          <cell r="D33" t="str">
            <v>44e7085d-57b9-4402-80f8-9ff378a2618d</v>
          </cell>
        </row>
        <row r="34">
          <cell r="B34" t="str">
            <v>af755125-9cce-40f3-8c65-6286fd072aed</v>
          </cell>
          <cell r="D34" t="str">
            <v>a8bfe41e-cb32-481c-ad69-e6f28ed49505</v>
          </cell>
        </row>
        <row r="35">
          <cell r="B35" t="str">
            <v>143b3cc6-fe04-4568-a08b-482e9f174a6b</v>
          </cell>
          <cell r="D35" t="str">
            <v>5f0a8d21-65bd-4a10-8205-292f26e4be89</v>
          </cell>
        </row>
        <row r="36">
          <cell r="B36" t="str">
            <v>faf86cf8-8ae9-4c2c-bd3f-bf0d6df3c9c0</v>
          </cell>
          <cell r="D36" t="str">
            <v>faf86cf8-8ae9-4c2c-bd3f-bf0d6df3c9c0</v>
          </cell>
        </row>
        <row r="37">
          <cell r="B37" t="str">
            <v>7458d7bf-ccb6-4053-b6f4-a5ad023a513b</v>
          </cell>
          <cell r="D37" t="str">
            <v>cfbd124d-6961-4aac-8a81-68757aa0282a</v>
          </cell>
        </row>
        <row r="38">
          <cell r="B38" t="str">
            <v>0bb71f89-3d3c-425a-afdc-2dd959e1541d</v>
          </cell>
          <cell r="D38" t="str">
            <v>0bb71f89-3d3c-425a-afdc-2dd959e1541d</v>
          </cell>
        </row>
        <row r="39">
          <cell r="B39" t="str">
            <v>1eb85d37-92bd-4dd1-bf68-37decd4b8520</v>
          </cell>
          <cell r="D39" t="str">
            <v>13179b22-932d-4f4f-9294-5593749beeaf</v>
          </cell>
        </row>
        <row r="40">
          <cell r="B40" t="str">
            <v>3de30a9c-4ee4-42ca-8ffa-c70029c71deb</v>
          </cell>
          <cell r="D40" t="str">
            <v>17e9592a-c6ad-469a-bd85-4b442e350332</v>
          </cell>
        </row>
        <row r="41">
          <cell r="B41" t="str">
            <v>d9dbfe40-a3f7-489b-a512-9ca0f428db86</v>
          </cell>
          <cell r="D41" t="str">
            <v>ec1e7ec3-27d7-4773-8bd0-3f958f51f767</v>
          </cell>
        </row>
        <row r="42">
          <cell r="B42" t="str">
            <v>613cbe86-488e-4695-a06b-e85852fda7cd</v>
          </cell>
          <cell r="D42" t="str">
            <v>528c1f61-2fe2-4017-8057-d11ce3e9a5e6</v>
          </cell>
        </row>
        <row r="43">
          <cell r="B43" t="str">
            <v>8913d62d-45a6-4320-818a-860c271a30da</v>
          </cell>
          <cell r="D43" t="str">
            <v>d88bd82c-7fd9-40a8-b545-27f9f6c59093</v>
          </cell>
        </row>
        <row r="44">
          <cell r="B44" t="str">
            <v>b4611905-5bef-44e6-a585-47c43509b61f</v>
          </cell>
          <cell r="D44" t="str">
            <v>bc370e72-5148-4f6e-a7b9-4c3c856a9204</v>
          </cell>
        </row>
        <row r="45">
          <cell r="B45" t="str">
            <v>99fc7615-ba25-40f5-9ccb-0c5196d7beff</v>
          </cell>
          <cell r="D45" t="str">
            <v>e2cead91-9dd3-45ae-b4b3-411502bfcf34</v>
          </cell>
        </row>
        <row r="46">
          <cell r="B46" t="str">
            <v>07d73fe4-876c-47e0-9f43-45149d08e530</v>
          </cell>
          <cell r="D46" t="str">
            <v>1bc2b2f3-50dc-4ad1-90b0-f78674db3b48</v>
          </cell>
        </row>
        <row r="47">
          <cell r="B47" t="str">
            <v>ed3d3706-3989-4567-9593-9bbd28af6f78</v>
          </cell>
          <cell r="D47" t="str">
            <v>e48e592c-4703-4e88-84fd-b82d9a13f658</v>
          </cell>
        </row>
        <row r="48">
          <cell r="B48" t="str">
            <v>def71915-8036-4f67-a892-985e2cf987e7</v>
          </cell>
          <cell r="D48" t="str">
            <v>1600722a-64b6-4ae6-8178-ab34658e9cda</v>
          </cell>
        </row>
        <row r="49">
          <cell r="B49" t="str">
            <v>b35ae2d8-0d34-4429-a010-dc87cb616c03</v>
          </cell>
          <cell r="D49" t="str">
            <v>6f5c87b2-7e4c-4667-b8ea-98187450d33b</v>
          </cell>
        </row>
        <row r="50">
          <cell r="B50" t="str">
            <v>85339c3a-1f29-46c4-abc0-92431fbe2a01</v>
          </cell>
          <cell r="D50" t="str">
            <v>d693c137-0e4d-4e64-8777-dcfc258fb834</v>
          </cell>
        </row>
        <row r="51">
          <cell r="B51" t="str">
            <v>c69ec3e5-d550-4674-a060-39b8ec5b9b81</v>
          </cell>
          <cell r="D51" t="str">
            <v>c69ec3e5-d550-4674-a060-39b8ec5b9b81</v>
          </cell>
        </row>
        <row r="52">
          <cell r="B52" t="str">
            <v>9ccdd151-185c-4e6c-afed-e97240f8f5f9</v>
          </cell>
          <cell r="D52" t="str">
            <v>302ca347-3579-4abc-bc39-21a78a157add</v>
          </cell>
        </row>
        <row r="53">
          <cell r="B53" t="str">
            <v>e436fd72-2a60-4447-8c3c-9d68749bc529</v>
          </cell>
          <cell r="D53" t="str">
            <v>e436fd72-2a60-4447-8c3c-9d68749bc529</v>
          </cell>
        </row>
        <row r="54">
          <cell r="B54" t="str">
            <v>27cbc047-5e22-43bd-bbdf-0701cc13dc29</v>
          </cell>
          <cell r="D54" t="str">
            <v>27cbc047-5e22-43bd-bbdf-0701cc13dc29</v>
          </cell>
        </row>
        <row r="55">
          <cell r="B55" t="str">
            <v>0ccf2def-c88f-4c01-b8d0-3da32c550b5b</v>
          </cell>
          <cell r="D55" t="str">
            <v>1443684f-35c9-4bde-a867-7d5363ef0366</v>
          </cell>
        </row>
        <row r="56">
          <cell r="B56" t="str">
            <v>1896da5b-179d-4d09-8367-08cac22f0c45</v>
          </cell>
          <cell r="D56" t="str">
            <v>d513a4cf-c3db-4d61-af9e-8398d200a70e</v>
          </cell>
        </row>
        <row r="57">
          <cell r="B57" t="str">
            <v>d0b0c099-5ee5-41d4-81c7-4a9ad9e60022</v>
          </cell>
          <cell r="D57" t="str">
            <v>b186b116-83d7-4517-971e-06097de9fe74</v>
          </cell>
        </row>
        <row r="58">
          <cell r="B58" t="str">
            <v>3c2ba04b-5f6a-43e4-9432-fc715b9d96be</v>
          </cell>
          <cell r="D58" t="str">
            <v>53a423fe-9d90-4ba0-9d75-f8db50eee2a7</v>
          </cell>
        </row>
        <row r="59">
          <cell r="B59" t="str">
            <v>40b520d9-c56d-429b-b27b-f5ff5231ce3d</v>
          </cell>
          <cell r="D59" t="str">
            <v>cbac4bd4-56ba-4377-805e-9d3460959c83</v>
          </cell>
        </row>
        <row r="60">
          <cell r="B60" t="str">
            <v>7c421aad-02b1-4283-9c7a-a14a3a65ba6d</v>
          </cell>
          <cell r="D60" t="str">
            <v>fcee0f47-bbf9-461c-97b6-0ddcf5929f6a</v>
          </cell>
        </row>
        <row r="61">
          <cell r="B61" t="str">
            <v>fbf50045-0015-4baf-9057-a8bfeaf27189</v>
          </cell>
          <cell r="D61" t="str">
            <v>1ceb183b-7010-4637-8415-0b19103be13a</v>
          </cell>
        </row>
        <row r="62">
          <cell r="B62" t="str">
            <v>1d5cdfea-a0d1-40bf-a8fc-559611ebb78e</v>
          </cell>
          <cell r="D62" t="str">
            <v>65802c86-239d-44a5-a250-5763b18bc35d</v>
          </cell>
        </row>
        <row r="63">
          <cell r="B63" t="str">
            <v>17d4720c-abc8-42da-a07e-749f33cc860a</v>
          </cell>
          <cell r="D63" t="str">
            <v>8b2bd62d-6420-45d3-ac26-5d83e2929e58</v>
          </cell>
        </row>
        <row r="64">
          <cell r="B64" t="str">
            <v>532f05cc-8fb0-40c0-b114-5024e3b33d7a</v>
          </cell>
          <cell r="D64" t="str">
            <v>56c94b29-b7bd-4c7b-bf23-d72f1ccf02dc</v>
          </cell>
        </row>
        <row r="65">
          <cell r="B65" t="str">
            <v>041c805a-6767-4509-99c2-bebc32e05102</v>
          </cell>
          <cell r="D65" t="str">
            <v>4a7510b4-e6cb-4e5c-a968-f2af67497372</v>
          </cell>
        </row>
        <row r="66">
          <cell r="B66" t="str">
            <v>0e6e076c-5ec3-4deb-b20e-5b85c22f8474</v>
          </cell>
          <cell r="D66" t="str">
            <v>d67526d1-9995-4c0c-9d4e-a3e00d406a14</v>
          </cell>
        </row>
        <row r="67">
          <cell r="B67" t="str">
            <v>84320566-c675-4405-80d4-534e18c9035e</v>
          </cell>
          <cell r="D67" t="str">
            <v>4f3daa03-f60e-4dbe-9ab3-4ca535271fd2</v>
          </cell>
        </row>
        <row r="68">
          <cell r="B68" t="str">
            <v>080aa06b-359d-4ea2-b127-7e67572ee742</v>
          </cell>
          <cell r="D68" t="str">
            <v>080aa06b-359d-4ea2-b127-7e67572ee742</v>
          </cell>
        </row>
        <row r="69">
          <cell r="B69" t="str">
            <v>0db13979-776a-40b4-952f-362355203ee6</v>
          </cell>
          <cell r="D69" t="str">
            <v>19dfbc5f-45e9-4152-b48c-2887c8509ac3</v>
          </cell>
        </row>
        <row r="70">
          <cell r="B70" t="str">
            <v>e4beed55-160e-4591-9e6c-28b6f2daee97</v>
          </cell>
          <cell r="D70" t="str">
            <v>bc44f699-0117-4279-adc6-eddc01a68f6c</v>
          </cell>
        </row>
        <row r="71">
          <cell r="B71" t="str">
            <v>6738a179-a722-4dfa-9836-c0f838278249</v>
          </cell>
          <cell r="D71" t="str">
            <v>407e6d65-3553-455f-929b-9ae20dc577b5</v>
          </cell>
        </row>
        <row r="72">
          <cell r="B72" t="str">
            <v>3679802f-8f29-43fa-baa5-98c52fedfa6b</v>
          </cell>
          <cell r="D72" t="str">
            <v>a1e5bcd9-a964-4327-847b-901c57be2fd7</v>
          </cell>
        </row>
        <row r="73">
          <cell r="B73" t="str">
            <v>6c9fc971-1bf6-491e-b986-40c8c8fbfd77</v>
          </cell>
          <cell r="D73" t="str">
            <v>dfc694c6-c0ca-460a-95e5-0d20edb8f80e</v>
          </cell>
        </row>
        <row r="74">
          <cell r="B74" t="str">
            <v>a0702302-2b6d-4a1e-97ef-f6a6c34722ae</v>
          </cell>
          <cell r="D74" t="str">
            <v>173604b8-9444-49bd-a0ef-6f5816764b4e</v>
          </cell>
        </row>
        <row r="75">
          <cell r="B75" t="str">
            <v>901a089c-3947-4d62-beee-1bb6468323ba</v>
          </cell>
          <cell r="D75" t="str">
            <v>ab05ff8d-7b06-4bb5-88ad-0f078ec996a7</v>
          </cell>
        </row>
        <row r="76">
          <cell r="B76" t="str">
            <v>a40307c6-c759-49a3-b102-458be0797fd5</v>
          </cell>
          <cell r="D76" t="str">
            <v>2ca3d394-754a-4525-a715-c6b15f5f1506</v>
          </cell>
        </row>
        <row r="77">
          <cell r="B77" t="str">
            <v>170868ea-1534-4563-83d5-30efd28bfe97</v>
          </cell>
          <cell r="D77" t="str">
            <v>4cdc6658-0b04-4056-b7f8-c94a21f05567</v>
          </cell>
        </row>
        <row r="78">
          <cell r="B78" t="str">
            <v>326a486e-1ddb-4e83-ac61-80ac2928a4d7</v>
          </cell>
          <cell r="D78" t="str">
            <v>6c7c31d7-1015-4292-b41f-4f9e93d496c4</v>
          </cell>
        </row>
        <row r="79">
          <cell r="B79" t="str">
            <v>3e62e249-0429-4f40-ae37-86d5bd4c7ba0</v>
          </cell>
          <cell r="D79" t="str">
            <v>b14f50c4-6625-431d-8158-cfef97f5997c</v>
          </cell>
        </row>
        <row r="80">
          <cell r="B80" t="str">
            <v>3561c634-221c-4810-96a2-c0017c88cac2</v>
          </cell>
          <cell r="D80" t="str">
            <v>5126294a-fbc3-4cfd-a44d-8fa0dc0120e4</v>
          </cell>
        </row>
        <row r="81">
          <cell r="B81" t="str">
            <v>522b90d9-a504-46b2-90c5-51ffa4a2e392</v>
          </cell>
          <cell r="D81" t="str">
            <v>b7766c36-6693-42aa-98cc-f73ff6cac609</v>
          </cell>
        </row>
        <row r="82">
          <cell r="B82" t="str">
            <v>cf8fbcfe-db8c-4c6a-aec4-d33809e805d9</v>
          </cell>
          <cell r="D82" t="str">
            <v>d1fb3ea6-0576-4fe3-b47b-c0e1b480c2d1</v>
          </cell>
        </row>
        <row r="83">
          <cell r="B83" t="str">
            <v>c269fb9f-464e-4351-9552-eab589a099e0</v>
          </cell>
          <cell r="D83" t="str">
            <v>3e97b3c9-c688-4067-bfcc-920244c152b4</v>
          </cell>
        </row>
        <row r="84">
          <cell r="B84" t="str">
            <v>ba8e3ab8-9182-45d3-9e30-44486c59e878</v>
          </cell>
          <cell r="D84" t="str">
            <v>0c32149b-9a1e-4d94-80c3-dfbc9705331a</v>
          </cell>
        </row>
        <row r="85">
          <cell r="B85" t="str">
            <v>171748ac-19e8-48b2-91db-8ccd81345449</v>
          </cell>
          <cell r="D85" t="str">
            <v>88323c2c-f716-4763-99de-3f50a47c9424</v>
          </cell>
        </row>
        <row r="86">
          <cell r="B86" t="str">
            <v>54f76fdc-33b9-4af1-9c5c-f377892bac0a</v>
          </cell>
          <cell r="D86" t="str">
            <v>4dddc222-e6fe-4833-b966-459eff6bb370</v>
          </cell>
        </row>
        <row r="87">
          <cell r="B87" t="str">
            <v>21dea044-de8f-4b11-a0e6-cf3eec9634aa</v>
          </cell>
          <cell r="D87" t="str">
            <v>b4bfa346-0f23-4840-b94f-5ff2da60de65</v>
          </cell>
        </row>
        <row r="88">
          <cell r="B88" t="str">
            <v>f8339d53-ee8c-4686-936e-7058c4f0f79d</v>
          </cell>
          <cell r="D88" t="str">
            <v>c4a298fe-662c-494d-a80c-4f79c8990f64</v>
          </cell>
        </row>
        <row r="89">
          <cell r="B89" t="str">
            <v>823a610f-b7a7-4e68-a23b-0a28beeea9d8</v>
          </cell>
          <cell r="D89" t="str">
            <v>addeda11-9f44-4a27-bb57-41dc392910c3</v>
          </cell>
        </row>
        <row r="90">
          <cell r="B90" t="str">
            <v>fb94af8f-d44b-406b-8599-3344c344ab0d</v>
          </cell>
          <cell r="D90" t="str">
            <v>f9743afe-6afe-406b-857e-858b9b04285b</v>
          </cell>
        </row>
        <row r="91">
          <cell r="B91" t="str">
            <v>29e95ad2-a2ff-4352-aee5-f3271aa92bd4</v>
          </cell>
          <cell r="D91" t="str">
            <v>b246af28-3446-4792-b4f8-6d6c87776af7</v>
          </cell>
        </row>
        <row r="92">
          <cell r="B92" t="str">
            <v>f6c5b9c5-b010-4c97-af45-2be77bf6606e</v>
          </cell>
          <cell r="D92" t="str">
            <v>7425169e-95c5-436c-8fc9-95a546235e14</v>
          </cell>
        </row>
        <row r="93">
          <cell r="B93" t="str">
            <v>ad716185-54f7-4352-98ff-e6836b6021d6</v>
          </cell>
          <cell r="D93" t="str">
            <v>0b0eb7d5-f2dc-42ce-bc26-6bcaf27a797d</v>
          </cell>
        </row>
        <row r="94">
          <cell r="B94" t="str">
            <v>3735a91c-029c-4a08-879c-ad53a8dd4ada</v>
          </cell>
          <cell r="D94" t="str">
            <v>234e52bd-f40c-4920-b414-d3d3b07db3eb</v>
          </cell>
        </row>
        <row r="95">
          <cell r="B95" t="str">
            <v>fef45136-91d4-4e9b-9476-c31deb56c80a</v>
          </cell>
          <cell r="D95" t="str">
            <v>1d0f1ae6-c733-4cbe-821c-8e848c4f136d</v>
          </cell>
        </row>
        <row r="96">
          <cell r="B96" t="str">
            <v>02ac7df9-9d9a-4f66-a124-bb9bf04fbfb4</v>
          </cell>
          <cell r="D96" t="str">
            <v>12aa5fc0-435a-42ac-a8a4-ee4f7c3d661d</v>
          </cell>
        </row>
        <row r="97">
          <cell r="B97" t="str">
            <v>9d6c44d2-8695-4592-bf7e-d882d4cb0e47</v>
          </cell>
          <cell r="D97" t="str">
            <v>42d26fff-2ccb-4908-b81c-0a3c9f5120c8</v>
          </cell>
        </row>
        <row r="98">
          <cell r="B98" t="str">
            <v>ed2eaa3a-90a6-4555-9e24-b8d71fac7b37</v>
          </cell>
          <cell r="D98" t="str">
            <v>57d7cea8-ca0a-4f09-991b-f0254fb056f8</v>
          </cell>
        </row>
        <row r="99">
          <cell r="B99" t="str">
            <v>13b2d866-b8f3-4ebc-a122-13b4cd3cb29b</v>
          </cell>
          <cell r="D99" t="str">
            <v>33c5a6b5-3299-48e9-81b4-0fb5262b43eb</v>
          </cell>
        </row>
        <row r="100">
          <cell r="B100" t="str">
            <v>ea5451fc-13e6-405c-831f-619483cc6958</v>
          </cell>
          <cell r="D100" t="str">
            <v>2da77c71-454d-4884-935b-d162552d11e3</v>
          </cell>
        </row>
        <row r="101">
          <cell r="B101" t="str">
            <v>1ef711bd-99bb-47b5-a0b3-9bbf16a7cecc</v>
          </cell>
          <cell r="D101" t="str">
            <v>fd2fdd4c-826e-4725-ad2e-bea67bb66c24</v>
          </cell>
        </row>
        <row r="102">
          <cell r="B102" t="str">
            <v>ec07276e-499f-45b6-a725-827c6f4c83ef</v>
          </cell>
          <cell r="D102" t="str">
            <v>ca81d465-f4e2-416c-b68e-9d1883d89671</v>
          </cell>
        </row>
        <row r="103">
          <cell r="B103" t="str">
            <v>003e3b8f-aa81-4b68-9266-8b4fccb66e2d</v>
          </cell>
          <cell r="D103" t="str">
            <v>003e3b8f-aa81-4b68-9266-8b4fccb66e2d</v>
          </cell>
        </row>
        <row r="104">
          <cell r="B104" t="str">
            <v>29ee7a57-611f-45e5-ae50-e783abd1f4d4</v>
          </cell>
          <cell r="D104" t="str">
            <v>e65ae86e-022f-40ef-9bdd-116fd56ee3f9</v>
          </cell>
        </row>
        <row r="105">
          <cell r="B105" t="str">
            <v>66f05453-b6bc-4314-b367-132f86703834</v>
          </cell>
          <cell r="D105" t="str">
            <v>c14b6f30-0d87-43e1-adce-92960163e89e</v>
          </cell>
        </row>
        <row r="106">
          <cell r="B106" t="str">
            <v>1f881ac9-83ce-4657-b801-22605053ff57</v>
          </cell>
          <cell r="D106" t="str">
            <v>8f8e4a64-6a00-4638-821b-ed1683fbe52a</v>
          </cell>
        </row>
        <row r="107">
          <cell r="B107" t="str">
            <v>c309c08a-c872-4cfb-8b07-03124b330efc</v>
          </cell>
          <cell r="D107" t="str">
            <v>c9308c6d-8ca9-4ba7-88ab-6781fb358d7d</v>
          </cell>
        </row>
        <row r="108">
          <cell r="B108" t="str">
            <v>36cabedb-da63-428c-956f-599eec2d7da7</v>
          </cell>
          <cell r="D108" t="str">
            <v>98893b46-aab6-43c2-93a2-0a1a68112705</v>
          </cell>
        </row>
        <row r="109">
          <cell r="B109" t="str">
            <v>31d4f295-3a32-4f96-a964-9acda88665bc</v>
          </cell>
          <cell r="D109" t="str">
            <v>a9679729-915a-4733-a324-e855c8b46866</v>
          </cell>
        </row>
        <row r="110">
          <cell r="B110" t="str">
            <v>5b2dc949-d130-4e88-bf26-5e52d113c904</v>
          </cell>
          <cell r="D110" t="str">
            <v>e9f4a02f-219d-4d72-990c-ce0c9d4f704d</v>
          </cell>
        </row>
        <row r="111">
          <cell r="B111" t="str">
            <v>2f3db371-c815-48ae-9e41-4480cf269923</v>
          </cell>
          <cell r="D111" t="str">
            <v>bd302e75-79e7-4be3-95f5-05d069d14c10</v>
          </cell>
        </row>
        <row r="112">
          <cell r="B112" t="str">
            <v>e88d63cd-993e-4979-bc9c-578a40debfd7</v>
          </cell>
          <cell r="D112" t="str">
            <v>28389ce3-9119-4a36-aaeb-0a86f080063c</v>
          </cell>
        </row>
        <row r="113">
          <cell r="B113" t="str">
            <v>c9258108-147f-491f-a42f-cb93485b742e</v>
          </cell>
          <cell r="D113" t="str">
            <v>cb4a4686-856d-46d9-a0ee-8dc3adab6caf</v>
          </cell>
        </row>
        <row r="114">
          <cell r="B114" t="str">
            <v>a799afdc-92f4-482d-82a8-22fce5a892dc</v>
          </cell>
          <cell r="D114" t="str">
            <v>39016563-b88a-48fe-8557-237c4643603c</v>
          </cell>
        </row>
        <row r="115">
          <cell r="B115" t="str">
            <v>3f736956-7b7b-46ab-8a7c-ee6fb4a4fd4e</v>
          </cell>
          <cell r="D115" t="str">
            <v>cd10b1ac-e962-4666-88c0-e7d09e48ffeb</v>
          </cell>
        </row>
        <row r="116">
          <cell r="B116" t="str">
            <v>3891f4d6-7d73-4bc5-82f5-894d3d5a8600</v>
          </cell>
          <cell r="D116" t="str">
            <v>fa79bdfa-0f71-4878-9dcd-a2a4543537d5</v>
          </cell>
        </row>
        <row r="117">
          <cell r="B117" t="str">
            <v>9336c4f3-7c1f-45f8-a247-be297eab26e5</v>
          </cell>
          <cell r="D117" t="str">
            <v>c14ebc53-e394-4bd5-a243-b8f4bf48bb36</v>
          </cell>
        </row>
        <row r="118">
          <cell r="B118" t="str">
            <v>bc694373-3052-4a88-9945-987dea5709b1</v>
          </cell>
          <cell r="D118" t="str">
            <v>1d30bd78-79c5-443d-a6b4-ebbece3e3161</v>
          </cell>
        </row>
        <row r="119">
          <cell r="B119" t="str">
            <v>7d41839e-7414-4973-844f-7b00df9b9869</v>
          </cell>
          <cell r="D119" t="str">
            <v>78e1e266-6441-403e-8f5a-ea7c11165dc7</v>
          </cell>
        </row>
        <row r="120">
          <cell r="B120" t="str">
            <v>f3698925-b15f-4889-8dcc-21eaa05a185b</v>
          </cell>
          <cell r="D120" t="str">
            <v>f13489d8-0c86-4235-8470-f9f8e5139595</v>
          </cell>
        </row>
        <row r="121">
          <cell r="B121" t="str">
            <v>2d5ddf4e-e7c8-4e62-8082-ce4ae5ac750a</v>
          </cell>
          <cell r="D121" t="str">
            <v>a5a352ab-6bc5-497e-be7e-ac057c5c099a</v>
          </cell>
        </row>
        <row r="122">
          <cell r="B122" t="str">
            <v>f5c13f14-4889-4bf4-817f-d4f51e84dd32</v>
          </cell>
          <cell r="D122" t="str">
            <v>f682f635-62f9-4951-a641-3e19ab1d801d</v>
          </cell>
        </row>
        <row r="123">
          <cell r="B123" t="str">
            <v>9270054d-4438-4fb3-8280-c0f746dc4165</v>
          </cell>
          <cell r="D123" t="str">
            <v>d9f50e1c-3d68-42b3-a628-d46a068f15a1</v>
          </cell>
        </row>
        <row r="124">
          <cell r="B124" t="str">
            <v>cb149365-8aea-4249-9951-cf8ab2cf9248</v>
          </cell>
          <cell r="D124" t="str">
            <v>96e72b98-d263-4bbf-aa65-7a0ccf823ab3</v>
          </cell>
        </row>
        <row r="125">
          <cell r="B125" t="str">
            <v>83ef2f28-5fcc-47b6-ac3f-0d0a4e0fd414</v>
          </cell>
          <cell r="D125" t="str">
            <v>57902380-6ce3-4348-bab0-ee84bed398e6</v>
          </cell>
        </row>
        <row r="126">
          <cell r="B126" t="str">
            <v>29ee7a57-611f-45e5-ae50-e783abd1f4d4</v>
          </cell>
          <cell r="D126" t="str">
            <v>e65ae86e-022f-40ef-9bdd-116fd56ee3f9</v>
          </cell>
        </row>
        <row r="127">
          <cell r="B127" t="str">
            <v>90fd1b50-2ae4-4009-abeb-de7f15308a12</v>
          </cell>
          <cell r="D127" t="str">
            <v>3e61ec15-0636-4821-a3de-8ceb780975df</v>
          </cell>
        </row>
        <row r="128">
          <cell r="B128" t="str">
            <v>0c4ad65a-3e68-4585-abbd-490b71e17745</v>
          </cell>
          <cell r="D128" t="str">
            <v>d7bbd710-9080-4c6c-a3bf-02423b37ea7a</v>
          </cell>
        </row>
        <row r="129">
          <cell r="B129" t="str">
            <v>31725355-c6fd-483d-9729-68646b3c18e2</v>
          </cell>
          <cell r="D129" t="str">
            <v>d37977b9-35dd-42ce-a1ea-cf27798bf294</v>
          </cell>
        </row>
        <row r="130">
          <cell r="B130" t="str">
            <v>86f766cc-853c-4724-8255-0e176252a6a8</v>
          </cell>
          <cell r="D130" t="str">
            <v>7750abd8-97f7-4a64-be99-9e451003d7b2</v>
          </cell>
        </row>
        <row r="131">
          <cell r="B131" t="str">
            <v>e9053593-2fc0-482d-8661-3dcb153bccd0</v>
          </cell>
          <cell r="D131" t="str">
            <v>c3ba3041-9993-4316-96de-daab6bebd6dd</v>
          </cell>
        </row>
        <row r="132">
          <cell r="B132" t="str">
            <v>13f4fa2b-ae1f-4f0a-9fab-46ba86587608</v>
          </cell>
          <cell r="D132" t="str">
            <v>ff9fbd5a-ae2a-4870-801a-2495ec6a5066</v>
          </cell>
        </row>
        <row r="133">
          <cell r="B133" t="str">
            <v>9555d632-79ed-4670-85e3-38127fe90da3</v>
          </cell>
          <cell r="D133" t="str">
            <v>e49f94da-62d7-479a-8ffc-e29d07f2a2a6</v>
          </cell>
        </row>
        <row r="134">
          <cell r="B134" t="str">
            <v>cc6843d1-1d94-4d38-8dd6-629d7f56d69d</v>
          </cell>
          <cell r="D134" t="str">
            <v>3be33e9d-15aa-46d4-a105-0a3340b7e6c8</v>
          </cell>
        </row>
        <row r="135">
          <cell r="B135" t="str">
            <v>029b1fbb-f9b7-43f7-8b54-5e9c34ac6d60</v>
          </cell>
          <cell r="D135" t="str">
            <v>6a72dcd7-9e7b-4d1d-8625-70285f5ec878</v>
          </cell>
        </row>
        <row r="136">
          <cell r="B136" t="str">
            <v>f974d7a0-880a-45fd-b85c-16621e3ee985</v>
          </cell>
          <cell r="D136" t="str">
            <v>a1b96073-8f65-4d12-ac1e-524282fa3167</v>
          </cell>
        </row>
        <row r="137">
          <cell r="B137" t="str">
            <v>21948631-c786-44c6-ac99-dee3cf752cbe</v>
          </cell>
          <cell r="D137" t="str">
            <v>9e09f1c1-910f-43ac-b5fd-fe5c80284c62</v>
          </cell>
        </row>
        <row r="138">
          <cell r="B138" t="str">
            <v>b6f24632-44fc-43c8-a42f-5ee53b35fa51</v>
          </cell>
          <cell r="D138" t="str">
            <v>589cf086-c435-4632-850b-37863c554640</v>
          </cell>
        </row>
        <row r="139">
          <cell r="B139" t="str">
            <v>99411fbd-545c-41da-84ea-9471fe17e461</v>
          </cell>
          <cell r="D139" t="str">
            <v>8b4c9b85-e850-45db-83e9-81e8bc66a4cc</v>
          </cell>
        </row>
        <row r="140">
          <cell r="B140" t="str">
            <v>7a4261cf-fe83-48c0-a960-5fc3369251e2</v>
          </cell>
          <cell r="D140" t="str">
            <v>b0a1f27e-203f-4e28-86a7-e32197f9f59d</v>
          </cell>
        </row>
        <row r="141">
          <cell r="B141" t="str">
            <v>c295f3fa-fd99-4840-8c0a-728a509ff132</v>
          </cell>
          <cell r="D141" t="str">
            <v>49a1e798-f159-48ff-9389-4a7158c51332</v>
          </cell>
        </row>
        <row r="142">
          <cell r="B142" t="str">
            <v>c67f0071-649c-4ed2-9baa-21a2209c0534</v>
          </cell>
          <cell r="D142" t="str">
            <v>6b3f1491-7b85-4854-9978-5f52dbb8f5f3</v>
          </cell>
        </row>
        <row r="143">
          <cell r="B143" t="str">
            <v>02fdd367-66b5-45ac-b78e-ff44c45a4905</v>
          </cell>
          <cell r="D143" t="str">
            <v>cbb1f97a-caea-4464-84c5-d7a714830e61</v>
          </cell>
        </row>
        <row r="144">
          <cell r="B144" t="str">
            <v>17620956-6da2-44e2-8b53-3d6dad52172c</v>
          </cell>
          <cell r="D144" t="str">
            <v>f809bfef-9782-4267-8e96-2925ff3914d7</v>
          </cell>
        </row>
        <row r="145">
          <cell r="B145" t="str">
            <v>eaeb6b75-08d4-4521-a4d0-fe7f27d63e71</v>
          </cell>
          <cell r="D145" t="str">
            <v>b9f723a7-c78c-4061-b8a7-bf57ac3d1103</v>
          </cell>
        </row>
        <row r="146">
          <cell r="B146" t="str">
            <v>f1a9c6c5-172e-4f0c-be8a-13bb6118ce63</v>
          </cell>
          <cell r="D146" t="str">
            <v>98e5f283-00e6-49c0-965b-f7d734f2fa49</v>
          </cell>
        </row>
        <row r="147">
          <cell r="B147" t="str">
            <v>d9113846-e366-4026-9d57-0116751f3dc8</v>
          </cell>
          <cell r="D147" t="str">
            <v>526e9298-ad8d-4647-984c-d83912ced51c</v>
          </cell>
        </row>
        <row r="148">
          <cell r="B148" t="str">
            <v>fc0c3bd9-dcc7-47e0-a00e-abb90fdaad2b</v>
          </cell>
          <cell r="D148" t="str">
            <v>5865ab13-0177-4dbf-b4a2-0a2f2e7ea0bc</v>
          </cell>
        </row>
        <row r="149">
          <cell r="B149" t="str">
            <v>9ed27ee0-7447-4324-bb0d-15fe7f804bd4</v>
          </cell>
          <cell r="D149" t="str">
            <v>e2b4f05f-bbf4-4360-b0a6-b3f9afce07ab</v>
          </cell>
        </row>
        <row r="150">
          <cell r="B150" t="str">
            <v>1f3df9d6-8a66-4036-9eda-799e69fb1285</v>
          </cell>
          <cell r="D150" t="str">
            <v>c56f1f76-e1a4-44a6-98ea-51c3e31970d9</v>
          </cell>
        </row>
        <row r="151">
          <cell r="B151" t="str">
            <v>02551529-ad11-4b13-afa8-0852fa9e6fb8</v>
          </cell>
          <cell r="D151" t="str">
            <v>e65c3cbf-42aa-43c5-a373-8555b1b43a31</v>
          </cell>
        </row>
        <row r="152">
          <cell r="B152" t="str">
            <v>2637fd7f-23dc-42df-8ad4-bb5d918f1ed7</v>
          </cell>
          <cell r="D152" t="str">
            <v>2b6f49ed-1a02-4ea5-a595-6b5208e7a641</v>
          </cell>
        </row>
        <row r="153">
          <cell r="B153" t="str">
            <v>3b98f333-5fda-4212-afe5-95c6e6ec8a8a</v>
          </cell>
          <cell r="D153" t="str">
            <v>562368cf-f49f-4549-9e32-86a17572ce9f</v>
          </cell>
        </row>
        <row r="154">
          <cell r="B154" t="str">
            <v>83dd95cf-72b8-49f8-bab2-70299ce78f8f</v>
          </cell>
          <cell r="D154" t="str">
            <v>a6bfff7f-e175-404a-a38f-6df3651af63d</v>
          </cell>
        </row>
        <row r="155">
          <cell r="B155" t="str">
            <v>719c8d7f-d646-482a-8aba-9fb36be64aba</v>
          </cell>
          <cell r="D155" t="str">
            <v>c09ce764-80a2-4742-ae2c-a97605d59e4b</v>
          </cell>
        </row>
        <row r="156">
          <cell r="B156" t="str">
            <v>936658fc-23f2-407d-b46a-0c587a2db36b</v>
          </cell>
          <cell r="D156" t="str">
            <v>bb2d5667-c7b8-4f52-9839-3a93bd6c9d3d</v>
          </cell>
        </row>
        <row r="157">
          <cell r="B157" t="str">
            <v>98cc30dc-2a3f-4407-a7ae-78b8adf0ca99</v>
          </cell>
          <cell r="D157" t="str">
            <v>0a7be90a-f9bd-4fd2-806e-2d6027e16c11</v>
          </cell>
        </row>
        <row r="158">
          <cell r="B158" t="str">
            <v>2740545c-e39e-4a47-ad18-106294619dde</v>
          </cell>
          <cell r="D158" t="str">
            <v>2a036671-a28c-4435-8c35-06607903632a</v>
          </cell>
        </row>
        <row r="159">
          <cell r="B159" t="str">
            <v>8fd455e3-6890-46f6-9453-4a0474e3be25</v>
          </cell>
          <cell r="D159" t="str">
            <v>c44ac23b-72f1-4bea-b760-41d842574d1f</v>
          </cell>
        </row>
        <row r="160">
          <cell r="B160" t="str">
            <v>a580ad02-88ce-458d-a518-e3f3728a7b3e</v>
          </cell>
          <cell r="D160" t="str">
            <v>80e286f2-bc66-4e4a-a973-6ae3caf05674</v>
          </cell>
        </row>
        <row r="161">
          <cell r="B161" t="str">
            <v>937227f8-676c-4b3a-8d78-b52588c637f3</v>
          </cell>
          <cell r="D161" t="str">
            <v>0baa0225-b31b-44da-9a28-c341876ae43e</v>
          </cell>
        </row>
        <row r="162">
          <cell r="B162" t="str">
            <v>0dfc2951-4bcf-4e30-a0eb-471254594111</v>
          </cell>
          <cell r="D162" t="str">
            <v>fd5e08aa-6957-4520-b847-80ed3d29a8de</v>
          </cell>
        </row>
        <row r="163">
          <cell r="B163" t="str">
            <v>57d16c06-44f1-414d-a87a-351a3e2958d6</v>
          </cell>
          <cell r="D163" t="str">
            <v>57d16c06-44f1-414d-a87a-351a3e2958d6</v>
          </cell>
        </row>
        <row r="164">
          <cell r="B164" t="str">
            <v>cc71450d-96a6-4833-9be7-a0ab347cf8a8</v>
          </cell>
          <cell r="D164" t="str">
            <v>86ebb7df-82c9-4408-8891-02e5fd922931</v>
          </cell>
        </row>
        <row r="165">
          <cell r="B165" t="str">
            <v>0c7ff3cf-9625-4b20-b349-133ef90aaf24</v>
          </cell>
          <cell r="D165" t="str">
            <v>b146bfec-4154-4436-a5ba-36d300fefc64</v>
          </cell>
        </row>
        <row r="166">
          <cell r="B166" t="str">
            <v>935b18b1-b9a8-43ea-947d-ac9b8e8396c7</v>
          </cell>
          <cell r="D166" t="str">
            <v>82775fe8-9c9a-476b-a678-6a1b6efaca25</v>
          </cell>
        </row>
        <row r="167">
          <cell r="B167" t="str">
            <v>4706e237-1f9f-47fa-87c3-0c81fcf23b8b</v>
          </cell>
          <cell r="D167" t="str">
            <v>33213e8a-921d-4ca6-a050-b09d9bb5bf8a</v>
          </cell>
        </row>
        <row r="168">
          <cell r="B168" t="str">
            <v>3047aad0-4e2f-49c8-8136-a5dfb32a394a</v>
          </cell>
          <cell r="D168" t="str">
            <v>c1b130e9-ed21-4e04-9e7e-9f6f779e36cc</v>
          </cell>
        </row>
        <row r="169">
          <cell r="B169" t="str">
            <v>e088d256-152e-478d-8ee1-ca460974a611</v>
          </cell>
          <cell r="D169" t="str">
            <v>05dbeff8-ef22-4db7-b87c-0deb394f65f1</v>
          </cell>
        </row>
        <row r="170">
          <cell r="B170" t="str">
            <v>d18e3541-cb85-4c3e-b7e1-4a12022f2c5d</v>
          </cell>
          <cell r="D170" t="str">
            <v>afc90605-2a0d-4ca0-94b8-b084f937aa97</v>
          </cell>
        </row>
        <row r="171">
          <cell r="B171" t="str">
            <v>f6118623-d928-4da8-9649-361f45d0a0af</v>
          </cell>
          <cell r="D171" t="str">
            <v>f31d55f8-8ba0-4ecc-ac7c-2176dbe27b07</v>
          </cell>
        </row>
        <row r="172">
          <cell r="B172" t="str">
            <v>1c1af1d5-6f8c-47d6-93d8-df00a85b8916</v>
          </cell>
          <cell r="D172" t="str">
            <v>cdb62608-6381-4d4e-975b-46b370c250be</v>
          </cell>
        </row>
        <row r="173">
          <cell r="B173" t="str">
            <v>76a74ad4-b2b9-4683-a6a1-5e54311d73c9</v>
          </cell>
          <cell r="D173" t="str">
            <v>76a74ad4-b2b9-4683-a6a1-5e54311d73c9</v>
          </cell>
        </row>
        <row r="174">
          <cell r="B174" t="str">
            <v>1ac8e940-8e0e-4ba1-aa2a-5e166e1b53cf</v>
          </cell>
          <cell r="D174" t="str">
            <v>1ac8e940-8e0e-4ba1-aa2a-5e166e1b53cf</v>
          </cell>
        </row>
        <row r="175">
          <cell r="B175" t="str">
            <v>01189daf-6c6f-4300-a8f9-9c5b5f3d21c0</v>
          </cell>
          <cell r="D175" t="str">
            <v>baba564a-5be6-4710-b149-89afe0b5a44a</v>
          </cell>
        </row>
        <row r="176">
          <cell r="B176" t="str">
            <v>32eded19-1f8a-47e5-8ac5-ecd91fd1a719</v>
          </cell>
          <cell r="D176" t="str">
            <v>32eded19-1f8a-47e5-8ac5-ecd91fd1a719</v>
          </cell>
        </row>
        <row r="177">
          <cell r="B177" t="str">
            <v>01f70625-2d69-4e4f-a0d3-b9ce9323bd5b</v>
          </cell>
          <cell r="D177" t="str">
            <v>d47f566f-281a-429b-a3d7-953f8e056f73</v>
          </cell>
        </row>
        <row r="178">
          <cell r="B178" t="str">
            <v>2ef3c4da-61d2-4ba3-a7d5-d86e319236be</v>
          </cell>
          <cell r="D178" t="str">
            <v>0a976c86-7b23-4fcc-90e0-216310e54d25</v>
          </cell>
        </row>
        <row r="179">
          <cell r="B179" t="str">
            <v>8e3b4d38-feea-41c6-819e-5f63407f7ca8</v>
          </cell>
          <cell r="D179" t="str">
            <v>dea0d657-508d-486c-8437-7f54c11cd575</v>
          </cell>
        </row>
        <row r="180">
          <cell r="B180" t="str">
            <v>e7631e06-aa76-4d99-b4f6-dbf12d9481a8</v>
          </cell>
          <cell r="D180" t="str">
            <v>c4dc94ca-bea4-4327-aa36-c9dc2dab1e21</v>
          </cell>
        </row>
        <row r="181">
          <cell r="B181" t="str">
            <v>e352d439-2b7d-418c-a375-d3d9aa9bea1e</v>
          </cell>
          <cell r="D181" t="str">
            <v>51ab4940-ce4c-4381-8906-e25ac1746781</v>
          </cell>
        </row>
        <row r="182">
          <cell r="B182" t="str">
            <v>d52df895-55ff-4337-bd9f-fa7207a1c38e</v>
          </cell>
          <cell r="D182" t="str">
            <v>c06fcd63-1501-4f1b-85c1-3cc7ec5a96cf</v>
          </cell>
        </row>
        <row r="183">
          <cell r="B183" t="str">
            <v>ba74dc8a-6a44-49d9-8687-e9050f8a5f60</v>
          </cell>
          <cell r="D183" t="str">
            <v>c3efa2be-7478-4850-8b50-27453ee982ff</v>
          </cell>
        </row>
        <row r="184">
          <cell r="B184" t="str">
            <v>ff4f2c6e-fb73-49d2-a8c1-f12e36fe8657</v>
          </cell>
          <cell r="D184" t="str">
            <v>68498cd4-87fc-4290-a051-49c2ffa0f3f0</v>
          </cell>
        </row>
        <row r="185">
          <cell r="B185" t="str">
            <v>2740545c-e39e-4a47-ad18-106294619dde</v>
          </cell>
          <cell r="D185" t="str">
            <v>2a036671-a28c-4435-8c35-06607903632a</v>
          </cell>
        </row>
        <row r="186">
          <cell r="B186" t="str">
            <v>b095587d-5561-4a3b-ae25-35e4cb1980e5</v>
          </cell>
          <cell r="D186" t="str">
            <v>e7ed0c43-e01c-499a-88ac-bcd56033ccba</v>
          </cell>
        </row>
        <row r="187">
          <cell r="B187" t="str">
            <v>723c463a-9ed7-43e9-98ce-7902e643fda2</v>
          </cell>
          <cell r="D187" t="str">
            <v>78786c30-828a-4cf5-9cf8-7b17e54dcc93</v>
          </cell>
        </row>
        <row r="188">
          <cell r="B188" t="str">
            <v>d767c7d5-d4c3-474c-b55e-680937bbc6ef</v>
          </cell>
          <cell r="D188" t="str">
            <v>80c1ee2b-7eeb-4ff2-bd3f-f8e82d634587</v>
          </cell>
        </row>
        <row r="189">
          <cell r="B189" t="str">
            <v>a7f85d66-872d-41ce-b8bc-c518690c751a</v>
          </cell>
          <cell r="D189" t="str">
            <v xml:space="preserve"> 4946b964-1468-435a-b87d-674768d75c2c</v>
          </cell>
        </row>
        <row r="190">
          <cell r="B190" t="str">
            <v>78df6019-6221-4fdb-a197-c24888642d44</v>
          </cell>
          <cell r="D190" t="str">
            <v>0e61e70f-0b6d-4e1d-aa16-b4ec7518074d</v>
          </cell>
        </row>
        <row r="191">
          <cell r="B191" t="str">
            <v>1a5b3c03-8784-45a8-9250-6b8de645b58e</v>
          </cell>
          <cell r="D191" t="str">
            <v>e0d0e22b-9664-467d-b887-f7ed55666d1f</v>
          </cell>
        </row>
        <row r="192">
          <cell r="B192" t="str">
            <v>be1158b5-c4df-48ea-b19a-3910d1464900</v>
          </cell>
        </row>
        <row r="193">
          <cell r="B193" t="str">
            <v>12f2186f-4fcb-4a00-8390-9dacf7ddfd87</v>
          </cell>
        </row>
        <row r="194">
          <cell r="B194" t="str">
            <v>bbf480c6-3ea8-4b6c-be0d-8ffd3fd3fe48</v>
          </cell>
        </row>
        <row r="195">
          <cell r="B195" t="str">
            <v>09c84861-5f93-4295-a103-046d3341cee9</v>
          </cell>
        </row>
        <row r="196">
          <cell r="B196" t="str">
            <v>747be69f-7b13-4a37-b155-ec505995767a</v>
          </cell>
        </row>
        <row r="197">
          <cell r="B197" t="str">
            <v>5c3b9f89-0e2f-407a-8da0-a3a191a4d4cf</v>
          </cell>
        </row>
        <row r="198">
          <cell r="B198" t="str">
            <v>1f814373-19aa-4f26-9277-9b4780b1e549</v>
          </cell>
        </row>
        <row r="199">
          <cell r="B199" t="str">
            <v>8cbd6f9c-7c49-480e-a4b2-f86b8f73f010</v>
          </cell>
        </row>
        <row r="200">
          <cell r="B200" t="str">
            <v>e75d1518-8bbb-47f6-8273-22ed681b1857</v>
          </cell>
        </row>
        <row r="201">
          <cell r="B201" t="str">
            <v>9bbd2eb0-2b86-4a39-8981-adc088e892a5</v>
          </cell>
        </row>
        <row r="202">
          <cell r="B202" t="str">
            <v>becf6572-6652-423f-9d6e-b3514bd90fa7</v>
          </cell>
        </row>
        <row r="203">
          <cell r="B203" t="str">
            <v>2bc8771f-a618-433d-ae3a-b22a831ad9cc</v>
          </cell>
        </row>
        <row r="204">
          <cell r="B204" t="str">
            <v>dc2c5e24-7861-4bde-8810-fe935fb8c1cd</v>
          </cell>
        </row>
        <row r="205">
          <cell r="B205" t="str">
            <v>1fa25ed5-6f6f-471d-874b-674d74f03cf0</v>
          </cell>
        </row>
        <row r="206">
          <cell r="B206" t="str">
            <v>5f938345-0fb7-41ae-8679-31f991f66d23</v>
          </cell>
        </row>
        <row r="207">
          <cell r="B207" t="str">
            <v>6dc40cea-792a-42af-8a87-62990676047d</v>
          </cell>
        </row>
        <row r="208">
          <cell r="B208" t="str">
            <v>52772669-ba7e-4451-b9f2-51a02147d660</v>
          </cell>
        </row>
        <row r="209">
          <cell r="B209" t="str">
            <v>0442c55f-8353-46fe-ab6b-0f752126c420</v>
          </cell>
        </row>
        <row r="210">
          <cell r="B210" t="str">
            <v>be6f2b80-4d96-45bf-a425-25431055ed38</v>
          </cell>
          <cell r="D210" t="str">
            <v>36eaffa4-37e9-4fa9-8734-644b50a18ed3</v>
          </cell>
        </row>
        <row r="211">
          <cell r="B211" t="str">
            <v>153eb09a-5a60-454d-ad1b-7f9060f601ac</v>
          </cell>
        </row>
        <row r="212">
          <cell r="B212" t="str">
            <v>03a5c8b8-76f4-46f2-b34b-10eaa65eee46</v>
          </cell>
        </row>
        <row r="213">
          <cell r="B213" t="str">
            <v>2366443f-ab2f-42b9-95c4-d8c5a34bcd9d</v>
          </cell>
        </row>
        <row r="214">
          <cell r="B214" t="str">
            <v>4e08f6ea-80d4-48f4-a544-9385b0a8a2a6</v>
          </cell>
        </row>
        <row r="215">
          <cell r="B215" t="str">
            <v>92634be8-3b74-45a6-b2a5-7cc74b745c8f</v>
          </cell>
          <cell r="D215" t="str">
            <v>310a279b-7d01-4825-bd79-7de3bc6310e3</v>
          </cell>
        </row>
      </sheetData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RAPL TEAM" id="{A9213413-F8FB-4978-BF61-56971C71A39C}" userId="e02ec775ed80e3c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5-11-07T04:37:10.33" personId="{A9213413-F8FB-4978-BF61-56971C71A39C}" id="{9A5B99E5-5BA4-4CF3-81E8-365B37BF0E7E}">
    <text>Total Paid</text>
  </threadedComment>
  <threadedComment ref="H11" dT="2025-11-07T04:33:13.40" personId="{A9213413-F8FB-4978-BF61-56971C71A39C}" id="{67C1B1A0-A334-465F-AE39-D9C4658B7072}">
    <text>AVG(Original Spread - Coupon)</text>
  </threadedComment>
  <threadedComment ref="H13" dT="2025-11-07T04:37:31.95" personId="{A9213413-F8FB-4978-BF61-56971C71A39C}" id="{9EB7A050-B8C6-4E7E-8B73-F1508AD21BC6}">
    <text>Premium correspond to all Treasury 1.5m*3.7%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0"/>
  <sheetViews>
    <sheetView zoomScaleNormal="100" workbookViewId="0">
      <selection activeCell="L28" sqref="L28"/>
    </sheetView>
  </sheetViews>
  <sheetFormatPr defaultRowHeight="14.4" x14ac:dyDescent="0.3"/>
  <cols>
    <col min="1" max="1" width="24.21875" bestFit="1" customWidth="1"/>
    <col min="2" max="2" width="2.109375" customWidth="1"/>
    <col min="3" max="4" width="13.6640625" bestFit="1" customWidth="1"/>
    <col min="5" max="8" width="11.5546875" bestFit="1" customWidth="1"/>
    <col min="9" max="9" width="11.5546875" customWidth="1"/>
    <col min="10" max="10" width="11.5546875" bestFit="1" customWidth="1"/>
    <col min="11" max="11" width="20.33203125" style="83" bestFit="1" customWidth="1"/>
    <col min="13" max="13" width="13.6640625" bestFit="1" customWidth="1"/>
    <col min="14" max="14" width="13.5546875" bestFit="1" customWidth="1"/>
  </cols>
  <sheetData>
    <row r="1" spans="1:14" ht="15" thickBot="1" x14ac:dyDescent="0.35"/>
    <row r="2" spans="1:14" ht="15" thickBot="1" x14ac:dyDescent="0.35">
      <c r="A2" s="97" t="s">
        <v>53</v>
      </c>
      <c r="B2" s="98"/>
      <c r="C2" s="99">
        <v>45894</v>
      </c>
      <c r="D2" s="100">
        <v>45911</v>
      </c>
      <c r="E2" s="100">
        <v>45915</v>
      </c>
      <c r="F2" s="100">
        <v>45933</v>
      </c>
      <c r="G2" s="100">
        <v>45947</v>
      </c>
      <c r="H2" s="119">
        <v>45968</v>
      </c>
      <c r="I2" s="124">
        <v>45978</v>
      </c>
      <c r="J2" s="120" t="s">
        <v>185</v>
      </c>
    </row>
    <row r="3" spans="1:14" ht="15" thickBot="1" x14ac:dyDescent="0.35">
      <c r="A3" s="1"/>
      <c r="B3" s="1"/>
      <c r="C3" s="15"/>
      <c r="D3" s="15"/>
      <c r="E3" s="15"/>
      <c r="F3" s="15"/>
      <c r="G3" s="15"/>
      <c r="H3" s="15"/>
      <c r="I3" s="15"/>
      <c r="J3" s="53"/>
      <c r="K3" s="58"/>
      <c r="M3" s="123"/>
    </row>
    <row r="4" spans="1:14" x14ac:dyDescent="0.3">
      <c r="A4" s="84" t="s">
        <v>179</v>
      </c>
      <c r="B4" s="101"/>
      <c r="C4" s="105">
        <v>45891</v>
      </c>
      <c r="D4" s="104">
        <v>45912</v>
      </c>
      <c r="E4" s="108">
        <v>45919</v>
      </c>
      <c r="F4" s="108">
        <v>45933</v>
      </c>
      <c r="G4" s="108">
        <v>45946</v>
      </c>
      <c r="H4" s="108">
        <v>45968</v>
      </c>
      <c r="I4" s="125">
        <v>45978</v>
      </c>
      <c r="J4" s="114"/>
      <c r="M4" s="29"/>
    </row>
    <row r="5" spans="1:14" x14ac:dyDescent="0.3">
      <c r="A5" s="85" t="s">
        <v>181</v>
      </c>
      <c r="B5" s="87"/>
      <c r="C5" s="102">
        <v>33</v>
      </c>
      <c r="D5" s="103">
        <v>36</v>
      </c>
      <c r="E5" s="109">
        <v>39</v>
      </c>
      <c r="F5" s="109">
        <v>41</v>
      </c>
      <c r="G5" s="109">
        <v>44</v>
      </c>
      <c r="H5" s="109">
        <v>55</v>
      </c>
      <c r="I5" s="126">
        <v>57</v>
      </c>
      <c r="J5" s="115">
        <f>I5/H5-1</f>
        <v>3.6363636363636376E-2</v>
      </c>
    </row>
    <row r="6" spans="1:14" x14ac:dyDescent="0.3">
      <c r="A6" s="85" t="s">
        <v>180</v>
      </c>
      <c r="C6" s="90">
        <v>41</v>
      </c>
      <c r="D6" s="103">
        <v>42</v>
      </c>
      <c r="E6" s="109">
        <v>43</v>
      </c>
      <c r="F6" s="109">
        <v>0</v>
      </c>
      <c r="G6" s="109">
        <v>0</v>
      </c>
      <c r="H6" s="109"/>
      <c r="I6" s="126"/>
      <c r="J6" s="115"/>
    </row>
    <row r="7" spans="1:14" x14ac:dyDescent="0.3">
      <c r="A7" s="85" t="s">
        <v>184</v>
      </c>
      <c r="B7" s="87"/>
      <c r="C7" s="88">
        <v>12000000</v>
      </c>
      <c r="D7" s="103">
        <v>12000000</v>
      </c>
      <c r="E7" s="109">
        <v>12170460</v>
      </c>
      <c r="F7" s="109">
        <v>13000000</v>
      </c>
      <c r="G7" s="109">
        <v>13000000</v>
      </c>
      <c r="H7" s="109">
        <v>17000000</v>
      </c>
      <c r="I7" s="126">
        <v>19000000</v>
      </c>
      <c r="J7" s="115">
        <f>I7/H7-1</f>
        <v>0.11764705882352944</v>
      </c>
    </row>
    <row r="8" spans="1:14" x14ac:dyDescent="0.3">
      <c r="A8" s="85" t="s">
        <v>187</v>
      </c>
      <c r="B8" s="87"/>
      <c r="C8" s="88"/>
      <c r="D8" s="103"/>
      <c r="E8" s="109"/>
      <c r="F8" s="109"/>
      <c r="G8" s="109"/>
      <c r="H8" s="109">
        <v>1150000</v>
      </c>
      <c r="I8" s="126">
        <v>1500000</v>
      </c>
      <c r="J8" s="115">
        <f>I8/H8-1</f>
        <v>0.30434782608695654</v>
      </c>
    </row>
    <row r="9" spans="1:14" ht="18" x14ac:dyDescent="0.3">
      <c r="A9" s="85" t="s">
        <v>186</v>
      </c>
      <c r="B9" s="87"/>
      <c r="C9" s="88">
        <v>8459065</v>
      </c>
      <c r="D9" s="103">
        <v>9236432.5800000001</v>
      </c>
      <c r="E9" s="109">
        <v>10016084.98</v>
      </c>
      <c r="F9" s="109">
        <v>10992085.23</v>
      </c>
      <c r="G9" s="109">
        <v>12079741.700000001</v>
      </c>
      <c r="H9" s="109">
        <v>15545795.120000005</v>
      </c>
      <c r="I9" s="126">
        <v>17904729.560000002</v>
      </c>
      <c r="J9" s="115">
        <f>I9/H9-1</f>
        <v>0.1517409963138634</v>
      </c>
      <c r="M9" s="117"/>
      <c r="N9" s="118"/>
    </row>
    <row r="10" spans="1:14" x14ac:dyDescent="0.3">
      <c r="A10" s="85" t="s">
        <v>183</v>
      </c>
      <c r="B10" s="87"/>
      <c r="C10" s="88"/>
      <c r="D10" s="89"/>
      <c r="E10" s="110"/>
      <c r="F10" s="110"/>
      <c r="G10" s="110"/>
      <c r="H10" s="110"/>
      <c r="I10" s="127"/>
      <c r="J10" s="115"/>
    </row>
    <row r="11" spans="1:14" x14ac:dyDescent="0.3">
      <c r="A11" s="85" t="s">
        <v>182</v>
      </c>
      <c r="B11" s="87"/>
      <c r="C11" s="91">
        <v>4.7399999999999998E-2</v>
      </c>
      <c r="D11" s="92">
        <v>4.0087130679941629E-2</v>
      </c>
      <c r="E11" s="111">
        <v>4.0087130679941629E-2</v>
      </c>
      <c r="F11" s="111">
        <v>3.9484946631504619E-2</v>
      </c>
      <c r="G11" s="111">
        <v>3.95E-2</v>
      </c>
      <c r="H11" s="111">
        <v>3.8699999999999998E-2</v>
      </c>
      <c r="I11" s="128">
        <v>3.8699999999999998E-2</v>
      </c>
      <c r="J11" s="115">
        <f>I11/H11-1</f>
        <v>0</v>
      </c>
    </row>
    <row r="12" spans="1:14" x14ac:dyDescent="0.3">
      <c r="A12" s="85" t="s">
        <v>173</v>
      </c>
      <c r="B12" s="87"/>
      <c r="C12" s="89">
        <v>167840.31899999999</v>
      </c>
      <c r="D12" s="89">
        <v>110783.48830836914</v>
      </c>
      <c r="E12" s="110">
        <v>86362.712960341843</v>
      </c>
      <c r="F12" s="110">
        <v>79282.40753405985</v>
      </c>
      <c r="G12" s="110">
        <v>36350.202849999958</v>
      </c>
      <c r="H12" s="110">
        <v>56277.728855999812</v>
      </c>
      <c r="I12" s="127">
        <f>(I7-I9)*I11</f>
        <v>42386.966027999908</v>
      </c>
      <c r="J12" s="115">
        <f t="shared" ref="J12:J19" si="0">I12/H12-1</f>
        <v>-0.24682522039122767</v>
      </c>
      <c r="K12" s="59"/>
    </row>
    <row r="13" spans="1:14" x14ac:dyDescent="0.3">
      <c r="A13" s="85" t="s">
        <v>172</v>
      </c>
      <c r="B13" s="87"/>
      <c r="C13" s="88">
        <v>163700</v>
      </c>
      <c r="D13" s="89">
        <v>112710</v>
      </c>
      <c r="E13" s="110">
        <v>81010</v>
      </c>
      <c r="F13" s="110">
        <v>72650</v>
      </c>
      <c r="G13" s="110">
        <v>30988</v>
      </c>
      <c r="H13" s="110">
        <v>42550.000000000007</v>
      </c>
      <c r="I13" s="127">
        <v>30988</v>
      </c>
      <c r="J13" s="115">
        <f t="shared" si="0"/>
        <v>-0.2717273795534666</v>
      </c>
    </row>
    <row r="14" spans="1:14" ht="18" x14ac:dyDescent="0.3">
      <c r="A14" s="85" t="s">
        <v>17</v>
      </c>
      <c r="C14" s="93">
        <v>118198</v>
      </c>
      <c r="D14" s="94">
        <v>118198.48</v>
      </c>
      <c r="E14" s="112">
        <v>117000</v>
      </c>
      <c r="F14" s="112">
        <v>117000</v>
      </c>
      <c r="G14" s="112">
        <v>117000</v>
      </c>
      <c r="H14" s="112">
        <v>117000</v>
      </c>
      <c r="I14" s="112">
        <v>117000</v>
      </c>
      <c r="J14" s="115">
        <f t="shared" si="0"/>
        <v>0</v>
      </c>
      <c r="M14" s="117"/>
    </row>
    <row r="15" spans="1:14" x14ac:dyDescent="0.3">
      <c r="A15" s="85" t="s">
        <v>174</v>
      </c>
      <c r="C15" s="88">
        <v>8250000</v>
      </c>
      <c r="D15" s="89">
        <v>9000000</v>
      </c>
      <c r="E15" s="110">
        <v>9750000</v>
      </c>
      <c r="F15" s="110">
        <v>10675000</v>
      </c>
      <c r="G15" s="110">
        <v>11675000</v>
      </c>
      <c r="H15" s="110">
        <v>14925000</v>
      </c>
      <c r="I15" s="127">
        <v>17175000</v>
      </c>
      <c r="J15" s="115">
        <f t="shared" si="0"/>
        <v>0.15075376884422109</v>
      </c>
    </row>
    <row r="16" spans="1:14" x14ac:dyDescent="0.3">
      <c r="A16" s="85" t="s">
        <v>175</v>
      </c>
      <c r="C16" s="88">
        <v>11700000</v>
      </c>
      <c r="D16" s="89">
        <v>11700000</v>
      </c>
      <c r="E16" s="110">
        <v>11700000</v>
      </c>
      <c r="F16" s="110">
        <v>12425000</v>
      </c>
      <c r="G16" s="110">
        <v>12425000</v>
      </c>
      <c r="H16" s="110">
        <v>15575000</v>
      </c>
      <c r="I16" s="127">
        <v>18325000</v>
      </c>
      <c r="J16" s="115">
        <f t="shared" si="0"/>
        <v>0.1765650080256822</v>
      </c>
    </row>
    <row r="17" spans="1:10" x14ac:dyDescent="0.3">
      <c r="A17" s="85" t="s">
        <v>176</v>
      </c>
      <c r="C17" s="93">
        <v>911703</v>
      </c>
      <c r="D17" s="89">
        <v>994208.167552948</v>
      </c>
      <c r="E17" s="110">
        <v>1060655.5913068771</v>
      </c>
      <c r="F17" s="110">
        <v>1158832.8125502586</v>
      </c>
      <c r="G17" s="110">
        <v>1303174.2059416198</v>
      </c>
      <c r="H17" s="110">
        <v>1745621.2453847504</v>
      </c>
      <c r="I17" s="127">
        <v>2016217.8673355484</v>
      </c>
      <c r="J17" s="115">
        <f t="shared" si="0"/>
        <v>0.15501450997244026</v>
      </c>
    </row>
    <row r="18" spans="1:10" x14ac:dyDescent="0.3">
      <c r="A18" s="85" t="s">
        <v>177</v>
      </c>
      <c r="C18" s="93">
        <v>1075473</v>
      </c>
      <c r="D18" s="89">
        <v>1106918.167552948</v>
      </c>
      <c r="E18" s="110">
        <v>1141665.5913068771</v>
      </c>
      <c r="F18" s="110">
        <v>1231482.8125502586</v>
      </c>
      <c r="G18" s="110">
        <v>1334161.7059416198</v>
      </c>
      <c r="H18" s="110">
        <v>1769671.2453847504</v>
      </c>
      <c r="I18" s="127">
        <v>2047205.3673355484</v>
      </c>
      <c r="J18" s="115">
        <f t="shared" si="0"/>
        <v>0.15682806774116864</v>
      </c>
    </row>
    <row r="19" spans="1:10" ht="15" thickBot="1" x14ac:dyDescent="0.35">
      <c r="A19" s="86" t="s">
        <v>178</v>
      </c>
      <c r="B19" s="11"/>
      <c r="C19" s="95">
        <v>134285</v>
      </c>
      <c r="D19" s="96">
        <v>150910</v>
      </c>
      <c r="E19" s="113">
        <v>166635</v>
      </c>
      <c r="F19" s="113">
        <v>181750</v>
      </c>
      <c r="G19" s="113">
        <v>198875</v>
      </c>
      <c r="H19" s="113">
        <v>308400</v>
      </c>
      <c r="I19" s="113">
        <v>371800</v>
      </c>
      <c r="J19" s="121">
        <f t="shared" si="0"/>
        <v>0.20557717250324248</v>
      </c>
    </row>
    <row r="20" spans="1:10" x14ac:dyDescent="0.3">
      <c r="A20" s="106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V136"/>
  <sheetViews>
    <sheetView topLeftCell="AS1" zoomScale="110" zoomScaleNormal="110" workbookViewId="0">
      <selection activeCell="U2" sqref="U2:U6"/>
    </sheetView>
  </sheetViews>
  <sheetFormatPr defaultColWidth="9.109375" defaultRowHeight="14.4" x14ac:dyDescent="0.3"/>
  <cols>
    <col min="1" max="1" width="18.44140625" bestFit="1" customWidth="1"/>
    <col min="2" max="2" width="8.33203125" bestFit="1" customWidth="1"/>
    <col min="3" max="3" width="56.44140625" bestFit="1" customWidth="1"/>
    <col min="4" max="4" width="8.109375" customWidth="1"/>
    <col min="5" max="5" width="8.44140625" customWidth="1"/>
    <col min="6" max="6" width="6" style="63" customWidth="1"/>
    <col min="7" max="7" width="8.6640625" customWidth="1"/>
    <col min="8" max="8" width="9.5546875" style="63" customWidth="1"/>
    <col min="9" max="9" width="19.88671875" customWidth="1"/>
    <col min="10" max="10" width="7.5546875" customWidth="1"/>
    <col min="11" max="11" width="11.33203125" customWidth="1"/>
    <col min="12" max="13" width="20.6640625" style="122" customWidth="1"/>
    <col min="14" max="14" width="8.44140625" customWidth="1"/>
    <col min="15" max="15" width="18.6640625" customWidth="1"/>
    <col min="16" max="16" width="15.5546875" style="64" customWidth="1"/>
    <col min="17" max="17" width="21.6640625" style="64" customWidth="1"/>
    <col min="18" max="18" width="10.109375" customWidth="1"/>
    <col min="19" max="19" width="8" customWidth="1"/>
    <col min="20" max="20" width="19.6640625" customWidth="1"/>
    <col min="21" max="21" width="14.44140625" style="66" customWidth="1"/>
    <col min="22" max="22" width="16.88671875" customWidth="1"/>
    <col min="23" max="23" width="20.6640625" style="15" customWidth="1"/>
    <col min="24" max="24" width="15.6640625" customWidth="1"/>
    <col min="25" max="25" width="15.44140625" style="15" customWidth="1"/>
    <col min="26" max="26" width="19.5546875" style="67" customWidth="1"/>
    <col min="27" max="27" width="18" customWidth="1"/>
    <col min="28" max="28" width="17.33203125" customWidth="1"/>
    <col min="29" max="29" width="8.88671875" style="70" customWidth="1"/>
    <col min="30" max="30" width="10.6640625" style="63" customWidth="1"/>
    <col min="31" max="31" width="18.44140625" style="63" customWidth="1"/>
    <col min="32" max="32" width="25.88671875" style="63" customWidth="1"/>
    <col min="33" max="33" width="10.5546875" style="63" customWidth="1"/>
    <col min="34" max="34" width="19.6640625" style="63" customWidth="1"/>
    <col min="35" max="35" width="29" customWidth="1"/>
    <col min="36" max="36" width="36.5546875" style="63" customWidth="1"/>
    <col min="37" max="37" width="17.5546875" style="63" customWidth="1"/>
    <col min="38" max="38" width="23.5546875" style="63" customWidth="1"/>
    <col min="39" max="39" width="21" style="63" customWidth="1"/>
    <col min="40" max="40" width="10.88671875" customWidth="1"/>
    <col min="41" max="41" width="13.6640625" customWidth="1"/>
    <col min="42" max="42" width="16.5546875" style="63" customWidth="1"/>
    <col min="43" max="43" width="13.33203125" style="63" customWidth="1"/>
    <col min="44" max="44" width="9.109375" style="63" customWidth="1"/>
    <col min="45" max="45" width="19.33203125" style="63" customWidth="1"/>
    <col min="46" max="46" width="25.77734375" bestFit="1" customWidth="1"/>
  </cols>
  <sheetData>
    <row r="1" spans="1:48" s="25" customFormat="1" ht="15" thickBot="1" x14ac:dyDescent="0.35">
      <c r="A1" s="73" t="s">
        <v>33</v>
      </c>
      <c r="B1" s="71" t="s">
        <v>0</v>
      </c>
      <c r="C1" s="74" t="s">
        <v>35</v>
      </c>
      <c r="D1" s="74" t="s">
        <v>92</v>
      </c>
      <c r="E1" s="74" t="s">
        <v>93</v>
      </c>
      <c r="F1" s="74" t="s">
        <v>94</v>
      </c>
      <c r="G1" s="71" t="s">
        <v>95</v>
      </c>
      <c r="H1" s="71" t="s">
        <v>96</v>
      </c>
      <c r="I1" s="74" t="s">
        <v>2</v>
      </c>
      <c r="J1" s="71" t="s">
        <v>3</v>
      </c>
      <c r="K1" s="74" t="s">
        <v>37</v>
      </c>
      <c r="L1" s="107" t="s">
        <v>38</v>
      </c>
      <c r="M1" s="107" t="s">
        <v>40</v>
      </c>
      <c r="N1" s="71" t="s">
        <v>4</v>
      </c>
      <c r="O1" s="71" t="s">
        <v>41</v>
      </c>
      <c r="P1" s="76" t="s">
        <v>43</v>
      </c>
      <c r="Q1" s="76" t="s">
        <v>46</v>
      </c>
      <c r="R1" s="77" t="s">
        <v>142</v>
      </c>
      <c r="S1" s="71" t="s">
        <v>97</v>
      </c>
      <c r="T1" s="74" t="s">
        <v>47</v>
      </c>
      <c r="U1" s="78" t="s">
        <v>136</v>
      </c>
      <c r="V1" s="72" t="s">
        <v>137</v>
      </c>
      <c r="W1" s="75" t="s">
        <v>138</v>
      </c>
      <c r="X1" s="72" t="s">
        <v>139</v>
      </c>
      <c r="Y1" s="72" t="s">
        <v>140</v>
      </c>
      <c r="Z1" s="79" t="s">
        <v>171</v>
      </c>
      <c r="AA1" s="74" t="s">
        <v>101</v>
      </c>
      <c r="AB1" s="72" t="s">
        <v>102</v>
      </c>
      <c r="AC1" s="80" t="s">
        <v>5</v>
      </c>
      <c r="AD1" s="72" t="s">
        <v>48</v>
      </c>
      <c r="AE1" s="72" t="s">
        <v>49</v>
      </c>
      <c r="AF1" s="72" t="s">
        <v>50</v>
      </c>
      <c r="AG1" s="72" t="s">
        <v>51</v>
      </c>
      <c r="AH1" s="72" t="s">
        <v>103</v>
      </c>
      <c r="AI1" s="81" t="s">
        <v>104</v>
      </c>
      <c r="AJ1" s="81" t="s">
        <v>105</v>
      </c>
      <c r="AK1" s="81" t="s">
        <v>106</v>
      </c>
      <c r="AL1" s="81" t="s">
        <v>107</v>
      </c>
      <c r="AM1" s="81" t="s">
        <v>108</v>
      </c>
      <c r="AN1" s="81" t="s">
        <v>109</v>
      </c>
      <c r="AO1" s="82" t="s">
        <v>135</v>
      </c>
      <c r="AP1" s="72" t="s">
        <v>141</v>
      </c>
      <c r="AQ1" s="72" t="s">
        <v>149</v>
      </c>
      <c r="AR1" s="72" t="s">
        <v>161</v>
      </c>
      <c r="AS1" s="72" t="s">
        <v>162</v>
      </c>
    </row>
    <row r="2" spans="1:48" s="116" customFormat="1" x14ac:dyDescent="0.3">
      <c r="A2" s="138"/>
      <c r="B2" s="138"/>
      <c r="C2" s="138"/>
      <c r="D2" s="160"/>
      <c r="E2" s="160"/>
      <c r="F2" s="160"/>
      <c r="G2" s="161"/>
      <c r="H2" s="160"/>
      <c r="I2" s="162"/>
      <c r="J2" s="161"/>
      <c r="K2" s="162"/>
      <c r="L2" s="162"/>
      <c r="M2" s="162"/>
      <c r="N2" s="161"/>
      <c r="O2" s="160"/>
      <c r="P2" s="64"/>
      <c r="Q2" s="64"/>
      <c r="R2" s="69"/>
      <c r="S2" s="161"/>
      <c r="T2" s="129"/>
      <c r="U2" s="134"/>
      <c r="V2" s="160"/>
      <c r="W2" s="162"/>
      <c r="X2" s="163"/>
      <c r="Y2" s="163"/>
      <c r="Z2" s="68"/>
      <c r="AA2" s="164"/>
      <c r="AB2" s="160"/>
      <c r="AC2" s="164"/>
      <c r="AD2" s="160"/>
      <c r="AE2" s="160"/>
      <c r="AF2" s="160"/>
      <c r="AG2" s="160"/>
      <c r="AH2" s="160"/>
      <c r="AI2" s="162"/>
      <c r="AJ2" s="162"/>
      <c r="AK2" s="162"/>
      <c r="AL2" s="162"/>
      <c r="AM2" s="162"/>
      <c r="AN2" s="162"/>
      <c r="AO2" s="162"/>
      <c r="AP2" s="160"/>
      <c r="AQ2" s="160"/>
      <c r="AR2" s="160"/>
      <c r="AS2" s="160"/>
      <c r="AV2" s="130"/>
    </row>
    <row r="3" spans="1:48" s="116" customFormat="1" x14ac:dyDescent="0.3">
      <c r="A3" s="138"/>
      <c r="B3" s="138"/>
      <c r="C3" s="138"/>
      <c r="D3" s="160"/>
      <c r="E3" s="160"/>
      <c r="F3" s="160"/>
      <c r="G3" s="161"/>
      <c r="H3" s="160"/>
      <c r="I3" s="162"/>
      <c r="J3" s="161"/>
      <c r="K3" s="162"/>
      <c r="L3" s="162"/>
      <c r="M3" s="162"/>
      <c r="N3" s="161"/>
      <c r="O3" s="160"/>
      <c r="P3" s="64"/>
      <c r="Q3" s="64"/>
      <c r="R3" s="69"/>
      <c r="S3" s="161"/>
      <c r="T3" s="129"/>
      <c r="U3" s="134"/>
      <c r="V3" s="160"/>
      <c r="W3" s="162"/>
      <c r="X3" s="163"/>
      <c r="Y3" s="163"/>
      <c r="Z3" s="68"/>
      <c r="AA3" s="164"/>
      <c r="AB3" s="160"/>
      <c r="AC3" s="164"/>
      <c r="AD3" s="160"/>
      <c r="AE3" s="160"/>
      <c r="AF3" s="160"/>
      <c r="AG3" s="160"/>
      <c r="AH3" s="160"/>
      <c r="AI3" s="162"/>
      <c r="AJ3" s="162"/>
      <c r="AK3" s="162"/>
      <c r="AL3" s="162"/>
      <c r="AM3" s="162"/>
      <c r="AN3" s="162"/>
      <c r="AO3" s="162"/>
      <c r="AP3" s="160"/>
      <c r="AQ3" s="160"/>
      <c r="AR3" s="160"/>
      <c r="AS3" s="160"/>
      <c r="AV3" s="130"/>
    </row>
    <row r="4" spans="1:48" s="116" customFormat="1" x14ac:dyDescent="0.3">
      <c r="A4" s="138"/>
      <c r="B4" s="138"/>
      <c r="C4" s="138"/>
      <c r="D4" s="160"/>
      <c r="E4" s="160"/>
      <c r="F4" s="160"/>
      <c r="G4" s="161"/>
      <c r="H4" s="160"/>
      <c r="I4" s="162"/>
      <c r="J4" s="161"/>
      <c r="K4" s="162"/>
      <c r="L4" s="162"/>
      <c r="M4" s="162"/>
      <c r="N4" s="161"/>
      <c r="O4" s="160"/>
      <c r="P4" s="64"/>
      <c r="Q4" s="64"/>
      <c r="R4" s="69"/>
      <c r="S4" s="161"/>
      <c r="T4" s="129"/>
      <c r="U4" s="134"/>
      <c r="V4" s="160"/>
      <c r="W4" s="162"/>
      <c r="X4" s="163"/>
      <c r="Y4" s="163"/>
      <c r="Z4" s="68"/>
      <c r="AA4" s="164"/>
      <c r="AB4" s="160"/>
      <c r="AC4" s="164"/>
      <c r="AD4" s="160"/>
      <c r="AE4" s="160"/>
      <c r="AF4" s="160"/>
      <c r="AG4" s="160"/>
      <c r="AH4" s="160"/>
      <c r="AI4" s="162"/>
      <c r="AJ4" s="162"/>
      <c r="AK4" s="162"/>
      <c r="AL4" s="162"/>
      <c r="AM4" s="162"/>
      <c r="AN4" s="162"/>
      <c r="AO4" s="162"/>
      <c r="AP4" s="160"/>
      <c r="AQ4" s="160"/>
      <c r="AR4" s="160"/>
      <c r="AS4" s="160"/>
      <c r="AV4" s="130"/>
    </row>
    <row r="5" spans="1:48" s="116" customFormat="1" x14ac:dyDescent="0.3">
      <c r="A5" s="138"/>
      <c r="B5" s="138"/>
      <c r="C5" s="138"/>
      <c r="D5" s="160"/>
      <c r="E5" s="160"/>
      <c r="F5" s="160"/>
      <c r="G5" s="161"/>
      <c r="H5" s="160"/>
      <c r="I5" s="162"/>
      <c r="J5" s="161"/>
      <c r="K5" s="162"/>
      <c r="L5" s="162"/>
      <c r="M5" s="162"/>
      <c r="N5" s="161"/>
      <c r="O5" s="160"/>
      <c r="P5" s="64"/>
      <c r="Q5" s="64"/>
      <c r="R5" s="69"/>
      <c r="S5" s="161"/>
      <c r="T5" s="129"/>
      <c r="U5" s="134"/>
      <c r="V5" s="160"/>
      <c r="W5" s="162"/>
      <c r="X5" s="163"/>
      <c r="Y5" s="163"/>
      <c r="Z5" s="68"/>
      <c r="AA5" s="164"/>
      <c r="AB5" s="160"/>
      <c r="AC5" s="164"/>
      <c r="AD5" s="160"/>
      <c r="AE5" s="160"/>
      <c r="AF5" s="160"/>
      <c r="AG5" s="160"/>
      <c r="AH5" s="160"/>
      <c r="AI5" s="162"/>
      <c r="AJ5" s="162"/>
      <c r="AK5" s="162"/>
      <c r="AL5" s="162"/>
      <c r="AM5" s="162"/>
      <c r="AN5" s="162"/>
      <c r="AO5" s="162"/>
      <c r="AP5" s="160"/>
      <c r="AQ5" s="160"/>
      <c r="AR5" s="160"/>
      <c r="AS5" s="160"/>
      <c r="AV5" s="130"/>
    </row>
    <row r="6" spans="1:48" s="116" customFormat="1" x14ac:dyDescent="0.3">
      <c r="A6" s="138"/>
      <c r="B6" s="138"/>
      <c r="C6" s="138"/>
      <c r="D6" s="160"/>
      <c r="E6" s="160"/>
      <c r="F6" s="160"/>
      <c r="G6" s="161"/>
      <c r="H6" s="160"/>
      <c r="I6" s="162"/>
      <c r="J6" s="161"/>
      <c r="K6" s="162"/>
      <c r="L6" s="162"/>
      <c r="M6" s="162"/>
      <c r="N6" s="161"/>
      <c r="O6" s="160"/>
      <c r="P6" s="64"/>
      <c r="Q6" s="64"/>
      <c r="R6" s="69"/>
      <c r="S6" s="161"/>
      <c r="T6" s="129"/>
      <c r="U6" s="134"/>
      <c r="V6" s="160"/>
      <c r="W6" s="162"/>
      <c r="X6" s="163"/>
      <c r="Y6" s="163"/>
      <c r="Z6" s="68"/>
      <c r="AA6" s="164"/>
      <c r="AB6" s="160"/>
      <c r="AC6" s="164"/>
      <c r="AD6" s="160"/>
      <c r="AE6" s="160"/>
      <c r="AF6" s="160"/>
      <c r="AG6" s="160"/>
      <c r="AH6" s="160"/>
      <c r="AI6" s="162"/>
      <c r="AJ6" s="162"/>
      <c r="AK6" s="162"/>
      <c r="AL6" s="162"/>
      <c r="AM6" s="162"/>
      <c r="AN6" s="162"/>
      <c r="AO6" s="162"/>
      <c r="AP6" s="160"/>
      <c r="AQ6" s="160"/>
      <c r="AR6" s="160"/>
      <c r="AS6" s="160"/>
      <c r="AV6" s="130"/>
    </row>
    <row r="7" spans="1:48" s="116" customFormat="1" x14ac:dyDescent="0.3">
      <c r="A7" s="138"/>
      <c r="B7" s="138"/>
      <c r="C7" s="138"/>
      <c r="D7" s="160"/>
      <c r="E7" s="160"/>
      <c r="F7" s="160"/>
      <c r="G7" s="161"/>
      <c r="H7" s="160"/>
      <c r="I7" s="162"/>
      <c r="J7" s="161"/>
      <c r="K7" s="162"/>
      <c r="L7" s="162"/>
      <c r="M7" s="162"/>
      <c r="N7" s="161"/>
      <c r="O7" s="160"/>
      <c r="P7" s="64"/>
      <c r="Q7" s="64"/>
      <c r="R7" s="69"/>
      <c r="S7" s="161"/>
      <c r="T7" s="129"/>
      <c r="U7" s="65"/>
      <c r="V7" s="160"/>
      <c r="W7" s="162"/>
      <c r="X7" s="163"/>
      <c r="Y7" s="163"/>
      <c r="Z7" s="68"/>
      <c r="AA7" s="164"/>
      <c r="AB7" s="160"/>
      <c r="AC7" s="164"/>
      <c r="AD7" s="160"/>
      <c r="AE7" s="160"/>
      <c r="AF7" s="160"/>
      <c r="AG7" s="160"/>
      <c r="AH7" s="160"/>
      <c r="AI7" s="162"/>
      <c r="AJ7" s="162"/>
      <c r="AK7" s="162"/>
      <c r="AL7" s="162"/>
      <c r="AM7" s="162"/>
      <c r="AN7" s="162"/>
      <c r="AO7" s="162"/>
      <c r="AP7" s="160"/>
      <c r="AQ7" s="160"/>
      <c r="AR7" s="160"/>
      <c r="AS7" s="160"/>
      <c r="AV7" s="130"/>
    </row>
    <row r="8" spans="1:48" x14ac:dyDescent="0.3">
      <c r="A8" s="138"/>
      <c r="B8" s="138"/>
      <c r="C8" s="138"/>
      <c r="D8" s="138"/>
      <c r="E8" s="138"/>
      <c r="F8" s="160"/>
      <c r="G8" s="138"/>
      <c r="H8" s="160"/>
      <c r="I8" s="162"/>
      <c r="J8" s="138"/>
      <c r="K8" s="162"/>
      <c r="L8" s="162"/>
      <c r="M8" s="165"/>
      <c r="N8" s="138"/>
      <c r="O8" s="160"/>
      <c r="R8" s="69"/>
      <c r="S8" s="138"/>
      <c r="T8" s="129"/>
      <c r="U8" s="65"/>
      <c r="V8" s="160"/>
      <c r="W8" s="162"/>
      <c r="X8" s="138"/>
      <c r="Y8" s="166"/>
      <c r="Z8" s="68"/>
      <c r="AA8" s="164"/>
      <c r="AB8" s="160"/>
      <c r="AC8" s="164"/>
      <c r="AD8" s="160"/>
      <c r="AE8" s="160"/>
      <c r="AF8" s="160"/>
      <c r="AG8" s="160"/>
      <c r="AH8" s="160"/>
      <c r="AI8" s="162"/>
      <c r="AJ8" s="162"/>
      <c r="AK8" s="162"/>
      <c r="AL8" s="162"/>
      <c r="AM8" s="162"/>
      <c r="AN8" s="162"/>
      <c r="AO8" s="162"/>
      <c r="AP8" s="160"/>
      <c r="AQ8" s="160"/>
      <c r="AR8" s="160"/>
      <c r="AS8" s="160"/>
    </row>
    <row r="9" spans="1:48" x14ac:dyDescent="0.3">
      <c r="A9" s="138"/>
      <c r="B9" s="138"/>
      <c r="C9" s="138"/>
      <c r="D9" s="138"/>
      <c r="E9" s="138"/>
      <c r="F9" s="160"/>
      <c r="G9" s="138"/>
      <c r="H9" s="160"/>
      <c r="I9" s="162"/>
      <c r="J9" s="138"/>
      <c r="K9" s="162"/>
      <c r="L9" s="162"/>
      <c r="M9" s="162"/>
      <c r="N9" s="138"/>
      <c r="O9" s="160"/>
      <c r="R9" s="69"/>
      <c r="S9" s="138"/>
      <c r="T9" s="129"/>
      <c r="U9" s="65"/>
      <c r="V9" s="160"/>
      <c r="W9" s="162"/>
      <c r="X9" s="138"/>
      <c r="Y9" s="166"/>
      <c r="Z9" s="68"/>
      <c r="AA9" s="164"/>
      <c r="AB9" s="160"/>
      <c r="AC9" s="164"/>
      <c r="AD9" s="160"/>
      <c r="AE9" s="160"/>
      <c r="AF9" s="160"/>
      <c r="AG9" s="160"/>
      <c r="AH9" s="160"/>
      <c r="AI9" s="162"/>
      <c r="AJ9" s="162"/>
      <c r="AK9" s="162"/>
      <c r="AL9" s="162"/>
      <c r="AM9" s="162"/>
      <c r="AN9" s="162"/>
      <c r="AO9" s="162"/>
      <c r="AP9" s="160"/>
      <c r="AQ9" s="160"/>
      <c r="AR9" s="160"/>
      <c r="AS9" s="160"/>
    </row>
    <row r="10" spans="1:48" x14ac:dyDescent="0.3">
      <c r="A10" s="138"/>
      <c r="B10" s="138"/>
      <c r="C10" s="138"/>
      <c r="D10" s="138"/>
      <c r="E10" s="138"/>
      <c r="F10" s="160"/>
      <c r="G10" s="138"/>
      <c r="H10" s="160"/>
      <c r="I10" s="162"/>
      <c r="J10" s="138"/>
      <c r="K10" s="162"/>
      <c r="L10" s="162"/>
      <c r="M10" s="162"/>
      <c r="N10" s="138"/>
      <c r="O10" s="160"/>
      <c r="R10" s="69"/>
      <c r="S10" s="138"/>
      <c r="T10" s="129"/>
      <c r="U10" s="65"/>
      <c r="V10" s="160"/>
      <c r="W10" s="162"/>
      <c r="X10" s="138"/>
      <c r="Y10" s="166"/>
      <c r="Z10" s="68"/>
      <c r="AA10" s="164"/>
      <c r="AB10" s="160"/>
      <c r="AC10" s="164"/>
      <c r="AD10" s="160"/>
      <c r="AE10" s="160"/>
      <c r="AF10" s="160"/>
      <c r="AG10" s="160"/>
      <c r="AH10" s="160"/>
      <c r="AI10" s="162"/>
      <c r="AJ10" s="162"/>
      <c r="AK10" s="162"/>
      <c r="AL10" s="162"/>
      <c r="AM10" s="162"/>
      <c r="AN10" s="162"/>
      <c r="AO10" s="162"/>
      <c r="AP10" s="160"/>
      <c r="AQ10" s="160"/>
      <c r="AR10" s="160"/>
      <c r="AS10" s="160"/>
    </row>
    <row r="11" spans="1:48" x14ac:dyDescent="0.3">
      <c r="A11" s="138"/>
      <c r="B11" s="138"/>
      <c r="C11" s="138"/>
      <c r="D11" s="138"/>
      <c r="E11" s="138"/>
      <c r="F11" s="160"/>
      <c r="G11" s="138"/>
      <c r="H11" s="160"/>
      <c r="I11" s="162"/>
      <c r="J11" s="138"/>
      <c r="K11" s="162"/>
      <c r="L11" s="162"/>
      <c r="M11" s="162"/>
      <c r="N11" s="138"/>
      <c r="O11" s="160"/>
      <c r="R11" s="69"/>
      <c r="S11" s="138"/>
      <c r="T11" s="129"/>
      <c r="U11" s="65"/>
      <c r="V11" s="160"/>
      <c r="W11" s="162"/>
      <c r="X11" s="138"/>
      <c r="Y11" s="166"/>
      <c r="Z11" s="68"/>
      <c r="AA11" s="164"/>
      <c r="AB11" s="160"/>
      <c r="AC11" s="164"/>
      <c r="AD11" s="160"/>
      <c r="AE11" s="160"/>
      <c r="AF11" s="160"/>
      <c r="AG11" s="160"/>
      <c r="AH11" s="160"/>
      <c r="AI11" s="162"/>
      <c r="AJ11" s="162"/>
      <c r="AK11" s="162"/>
      <c r="AL11" s="162"/>
      <c r="AM11" s="162"/>
      <c r="AN11" s="162"/>
      <c r="AO11" s="162"/>
      <c r="AP11" s="160"/>
      <c r="AQ11" s="160"/>
      <c r="AR11" s="160"/>
      <c r="AS11" s="160"/>
    </row>
    <row r="12" spans="1:48" x14ac:dyDescent="0.3">
      <c r="A12" s="138"/>
      <c r="B12" s="138"/>
      <c r="C12" s="138"/>
      <c r="D12" s="138"/>
      <c r="E12" s="138"/>
      <c r="F12" s="160"/>
      <c r="G12" s="138"/>
      <c r="H12" s="160"/>
      <c r="I12" s="138"/>
      <c r="J12" s="138"/>
      <c r="K12" s="138"/>
      <c r="L12" s="162"/>
      <c r="M12" s="162"/>
      <c r="N12" s="138"/>
      <c r="O12" s="138"/>
      <c r="R12" s="167"/>
      <c r="S12" s="138"/>
      <c r="T12" s="138"/>
      <c r="V12" s="138"/>
      <c r="W12" s="166"/>
      <c r="X12" s="138"/>
      <c r="Y12" s="166"/>
      <c r="AA12" s="138"/>
      <c r="AB12" s="138"/>
      <c r="AC12" s="168"/>
      <c r="AD12" s="160"/>
      <c r="AE12" s="160"/>
      <c r="AF12" s="160"/>
      <c r="AG12" s="160"/>
      <c r="AH12" s="160"/>
      <c r="AI12" s="166"/>
      <c r="AJ12" s="169"/>
      <c r="AK12" s="169"/>
      <c r="AL12" s="169"/>
      <c r="AM12" s="169"/>
      <c r="AN12" s="138"/>
      <c r="AO12" s="138"/>
      <c r="AP12" s="160"/>
      <c r="AQ12" s="160"/>
      <c r="AR12" s="160"/>
      <c r="AS12" s="160"/>
    </row>
    <row r="13" spans="1:48" x14ac:dyDescent="0.3">
      <c r="A13" s="138"/>
      <c r="B13" s="138"/>
      <c r="C13" s="138"/>
      <c r="D13" s="138"/>
      <c r="E13" s="138"/>
      <c r="F13" s="160"/>
      <c r="G13" s="138"/>
      <c r="H13" s="160"/>
      <c r="I13" s="138"/>
      <c r="J13" s="138"/>
      <c r="K13" s="138"/>
      <c r="L13" s="162"/>
      <c r="M13" s="162"/>
      <c r="N13" s="138"/>
      <c r="O13" s="138"/>
      <c r="R13" s="138"/>
      <c r="S13" s="138"/>
      <c r="T13" s="138"/>
      <c r="V13" s="138"/>
      <c r="W13" s="166"/>
      <c r="X13" s="138"/>
      <c r="Y13" s="166"/>
      <c r="AA13" s="138"/>
      <c r="AB13" s="138"/>
      <c r="AC13" s="168"/>
      <c r="AD13" s="160"/>
      <c r="AE13" s="160"/>
      <c r="AF13" s="160"/>
      <c r="AG13" s="160"/>
      <c r="AH13" s="160"/>
      <c r="AI13" s="166"/>
      <c r="AJ13" s="169"/>
      <c r="AK13" s="169"/>
      <c r="AL13" s="169"/>
      <c r="AM13" s="169"/>
      <c r="AN13" s="138"/>
      <c r="AO13" s="138"/>
      <c r="AP13" s="160"/>
      <c r="AQ13" s="160"/>
      <c r="AR13" s="160"/>
      <c r="AS13" s="160"/>
    </row>
    <row r="14" spans="1:48" x14ac:dyDescent="0.3">
      <c r="A14" s="138"/>
      <c r="B14" s="138"/>
      <c r="C14" s="138"/>
      <c r="D14" s="138"/>
      <c r="E14" s="138"/>
      <c r="F14" s="160"/>
      <c r="G14" s="138"/>
      <c r="H14" s="160"/>
      <c r="I14" s="138"/>
      <c r="J14" s="138"/>
      <c r="K14" s="138"/>
      <c r="L14" s="162"/>
      <c r="M14" s="162"/>
      <c r="N14" s="138"/>
      <c r="O14" s="138"/>
      <c r="R14" s="138"/>
      <c r="S14" s="138"/>
      <c r="T14" s="138"/>
      <c r="V14" s="138"/>
      <c r="W14" s="166"/>
      <c r="X14" s="138"/>
      <c r="Y14" s="166"/>
      <c r="AA14" s="138"/>
      <c r="AB14" s="138"/>
      <c r="AC14" s="168"/>
      <c r="AD14" s="160"/>
      <c r="AE14" s="160"/>
      <c r="AF14" s="160"/>
      <c r="AG14" s="160"/>
      <c r="AH14" s="160"/>
      <c r="AI14" s="166"/>
      <c r="AJ14" s="169"/>
      <c r="AK14" s="169"/>
      <c r="AL14" s="169"/>
      <c r="AM14" s="169"/>
      <c r="AN14" s="138"/>
      <c r="AO14" s="138"/>
      <c r="AP14" s="160"/>
      <c r="AQ14" s="160"/>
      <c r="AR14" s="160"/>
      <c r="AS14" s="160"/>
    </row>
    <row r="15" spans="1:48" x14ac:dyDescent="0.3">
      <c r="A15" s="138"/>
      <c r="B15" s="138"/>
      <c r="C15" s="138"/>
      <c r="D15" s="138"/>
      <c r="E15" s="138"/>
      <c r="F15" s="160"/>
      <c r="G15" s="138"/>
      <c r="H15" s="160"/>
      <c r="I15" s="138"/>
      <c r="J15" s="138"/>
      <c r="K15" s="138"/>
      <c r="L15" s="162"/>
      <c r="M15" s="162"/>
      <c r="N15" s="138"/>
      <c r="O15" s="138"/>
      <c r="R15" s="138"/>
      <c r="S15" s="138"/>
      <c r="T15" s="138"/>
      <c r="V15" s="138"/>
      <c r="W15" s="166"/>
      <c r="X15" s="138"/>
      <c r="Y15" s="166"/>
      <c r="AA15" s="138"/>
      <c r="AB15" s="138"/>
      <c r="AC15" s="168"/>
      <c r="AD15" s="160"/>
      <c r="AE15" s="160"/>
      <c r="AF15" s="160"/>
      <c r="AG15" s="160"/>
      <c r="AH15" s="160"/>
      <c r="AI15" s="166"/>
      <c r="AJ15" s="169"/>
      <c r="AK15" s="169"/>
      <c r="AL15" s="169"/>
      <c r="AM15" s="169"/>
      <c r="AN15" s="138"/>
      <c r="AO15" s="138"/>
      <c r="AP15" s="160"/>
      <c r="AQ15" s="160"/>
      <c r="AR15" s="160"/>
      <c r="AS15" s="160"/>
    </row>
    <row r="16" spans="1:48" x14ac:dyDescent="0.3">
      <c r="A16" s="138"/>
      <c r="B16" s="138"/>
      <c r="C16" s="138"/>
      <c r="D16" s="138"/>
      <c r="E16" s="138"/>
      <c r="F16" s="160"/>
      <c r="G16" s="138"/>
      <c r="H16" s="160"/>
      <c r="I16" s="138"/>
      <c r="J16" s="138"/>
      <c r="K16" s="138"/>
      <c r="L16" s="162"/>
      <c r="M16" s="162"/>
      <c r="N16" s="138"/>
      <c r="O16" s="138"/>
      <c r="R16" s="138"/>
      <c r="S16" s="138"/>
      <c r="T16" s="138"/>
      <c r="V16" s="138"/>
      <c r="W16" s="166"/>
      <c r="X16" s="138"/>
      <c r="Y16" s="166"/>
      <c r="AA16" s="138"/>
      <c r="AB16" s="138"/>
      <c r="AC16" s="168"/>
      <c r="AD16" s="160"/>
      <c r="AE16" s="160"/>
      <c r="AF16" s="160"/>
      <c r="AG16" s="160"/>
      <c r="AH16" s="160"/>
      <c r="AI16" s="166"/>
      <c r="AJ16" s="169"/>
      <c r="AK16" s="169"/>
      <c r="AL16" s="169"/>
      <c r="AM16" s="169"/>
      <c r="AN16" s="138"/>
      <c r="AO16" s="138"/>
      <c r="AP16" s="160"/>
      <c r="AQ16" s="160"/>
      <c r="AR16" s="160"/>
      <c r="AS16" s="160"/>
    </row>
    <row r="17" spans="1:45" x14ac:dyDescent="0.3">
      <c r="A17" s="138"/>
      <c r="B17" s="138"/>
      <c r="C17" s="138"/>
      <c r="D17" s="138"/>
      <c r="E17" s="138"/>
      <c r="F17" s="160"/>
      <c r="G17" s="138"/>
      <c r="H17" s="160"/>
      <c r="I17" s="138"/>
      <c r="J17" s="138"/>
      <c r="K17" s="138"/>
      <c r="L17" s="165"/>
      <c r="M17" s="165"/>
      <c r="N17" s="138"/>
      <c r="O17" s="138"/>
      <c r="R17" s="138"/>
      <c r="S17" s="138"/>
      <c r="T17" s="138"/>
      <c r="V17" s="138"/>
      <c r="W17" s="166"/>
      <c r="X17" s="138"/>
      <c r="Y17" s="166"/>
      <c r="AA17" s="138"/>
      <c r="AB17" s="138"/>
      <c r="AC17" s="168"/>
      <c r="AD17" s="160"/>
      <c r="AE17" s="160"/>
      <c r="AF17" s="160"/>
      <c r="AG17" s="160"/>
      <c r="AH17" s="160"/>
      <c r="AI17" s="166"/>
      <c r="AJ17" s="169"/>
      <c r="AK17" s="169"/>
      <c r="AL17" s="169"/>
      <c r="AM17" s="169"/>
      <c r="AN17" s="138"/>
      <c r="AO17" s="138"/>
      <c r="AP17" s="160"/>
      <c r="AQ17" s="160"/>
      <c r="AR17" s="160"/>
      <c r="AS17" s="160"/>
    </row>
    <row r="18" spans="1:45" x14ac:dyDescent="0.3">
      <c r="A18" s="138"/>
      <c r="B18" s="138"/>
      <c r="C18" s="138"/>
      <c r="D18" s="138"/>
      <c r="E18" s="138"/>
      <c r="F18" s="160"/>
      <c r="G18" s="138"/>
      <c r="H18" s="160"/>
      <c r="I18" s="138"/>
      <c r="J18" s="138"/>
      <c r="K18" s="138"/>
      <c r="L18" s="165"/>
      <c r="M18" s="165"/>
      <c r="N18" s="138"/>
      <c r="O18" s="138"/>
      <c r="R18" s="138"/>
      <c r="S18" s="138"/>
      <c r="T18" s="138"/>
      <c r="V18" s="138"/>
      <c r="W18" s="166"/>
      <c r="X18" s="138"/>
      <c r="Y18" s="166"/>
      <c r="AA18" s="138"/>
      <c r="AB18" s="138"/>
      <c r="AC18" s="168"/>
      <c r="AD18" s="160"/>
      <c r="AE18" s="160"/>
      <c r="AF18" s="160"/>
      <c r="AG18" s="160"/>
      <c r="AH18" s="160"/>
      <c r="AI18" s="166"/>
      <c r="AJ18" s="169"/>
      <c r="AK18" s="169"/>
      <c r="AL18" s="169"/>
      <c r="AM18" s="169"/>
      <c r="AN18" s="138"/>
      <c r="AO18" s="138"/>
      <c r="AP18" s="160"/>
      <c r="AQ18" s="160"/>
      <c r="AR18" s="160"/>
      <c r="AS18" s="160"/>
    </row>
    <row r="19" spans="1:45" x14ac:dyDescent="0.3">
      <c r="A19" s="138"/>
      <c r="B19" s="138"/>
      <c r="C19" s="138"/>
      <c r="D19" s="138"/>
      <c r="E19" s="138"/>
      <c r="F19" s="160"/>
      <c r="G19" s="138"/>
      <c r="H19" s="160"/>
      <c r="I19" s="138"/>
      <c r="J19" s="138"/>
      <c r="K19" s="138"/>
      <c r="L19" s="165"/>
      <c r="M19" s="165"/>
      <c r="N19" s="138"/>
      <c r="O19" s="138"/>
      <c r="R19" s="138"/>
      <c r="S19" s="138"/>
      <c r="T19" s="138"/>
      <c r="V19" s="138"/>
      <c r="W19" s="166"/>
      <c r="X19" s="138"/>
      <c r="Y19" s="166"/>
      <c r="AA19" s="138"/>
      <c r="AB19" s="138"/>
      <c r="AC19" s="168"/>
      <c r="AD19" s="160"/>
      <c r="AE19" s="160"/>
      <c r="AF19" s="160"/>
      <c r="AG19" s="160"/>
      <c r="AH19" s="160"/>
      <c r="AI19" s="166"/>
      <c r="AJ19" s="169"/>
      <c r="AK19" s="169"/>
      <c r="AL19" s="169"/>
      <c r="AM19" s="169"/>
      <c r="AN19" s="138"/>
      <c r="AO19" s="138"/>
      <c r="AP19" s="160"/>
      <c r="AQ19" s="160"/>
      <c r="AR19" s="160"/>
      <c r="AS19" s="160"/>
    </row>
    <row r="20" spans="1:45" x14ac:dyDescent="0.3">
      <c r="A20" s="138"/>
      <c r="B20" s="138"/>
      <c r="C20" s="138"/>
      <c r="D20" s="138"/>
      <c r="E20" s="138"/>
      <c r="F20" s="160"/>
      <c r="G20" s="138"/>
      <c r="H20" s="160"/>
      <c r="I20" s="138"/>
      <c r="J20" s="138"/>
      <c r="K20" s="138"/>
      <c r="L20" s="165"/>
      <c r="M20" s="165"/>
      <c r="N20" s="138"/>
      <c r="O20" s="138"/>
      <c r="R20" s="138"/>
      <c r="S20" s="138"/>
      <c r="T20" s="138"/>
      <c r="V20" s="138"/>
      <c r="W20" s="166"/>
      <c r="X20" s="138"/>
      <c r="Y20" s="166"/>
      <c r="AA20" s="138"/>
      <c r="AB20" s="138"/>
      <c r="AC20" s="168"/>
      <c r="AD20" s="160"/>
      <c r="AE20" s="160"/>
      <c r="AF20" s="160"/>
      <c r="AG20" s="160"/>
      <c r="AH20" s="160"/>
      <c r="AI20" s="166"/>
      <c r="AJ20" s="169"/>
      <c r="AK20" s="169"/>
      <c r="AL20" s="169"/>
      <c r="AM20" s="169"/>
      <c r="AN20" s="138"/>
      <c r="AO20" s="138"/>
      <c r="AP20" s="160"/>
      <c r="AQ20" s="160"/>
      <c r="AR20" s="160"/>
      <c r="AS20" s="160"/>
    </row>
    <row r="21" spans="1:45" x14ac:dyDescent="0.3">
      <c r="A21" s="138"/>
      <c r="B21" s="138"/>
      <c r="C21" s="138"/>
      <c r="D21" s="138"/>
      <c r="E21" s="138"/>
      <c r="F21" s="160"/>
      <c r="G21" s="138"/>
      <c r="H21" s="160"/>
      <c r="I21" s="138"/>
      <c r="J21" s="138"/>
      <c r="K21" s="138"/>
      <c r="L21" s="165"/>
      <c r="M21" s="165"/>
      <c r="N21" s="138"/>
      <c r="O21" s="138"/>
      <c r="R21" s="138"/>
      <c r="S21" s="138"/>
      <c r="T21" s="138"/>
      <c r="V21" s="138"/>
      <c r="W21" s="166"/>
      <c r="X21" s="138"/>
      <c r="Y21" s="166"/>
      <c r="AA21" s="138"/>
      <c r="AB21" s="138"/>
      <c r="AC21" s="168"/>
      <c r="AD21" s="160"/>
      <c r="AE21" s="160"/>
      <c r="AF21" s="160"/>
      <c r="AG21" s="160"/>
      <c r="AH21" s="160"/>
      <c r="AI21" s="166"/>
      <c r="AJ21" s="169"/>
      <c r="AK21" s="169"/>
      <c r="AL21" s="169"/>
      <c r="AM21" s="169"/>
      <c r="AN21" s="138"/>
      <c r="AO21" s="138"/>
      <c r="AP21" s="160"/>
      <c r="AQ21" s="160"/>
      <c r="AR21" s="160"/>
      <c r="AS21" s="160"/>
    </row>
    <row r="22" spans="1:45" x14ac:dyDescent="0.3">
      <c r="A22" s="138"/>
      <c r="B22" s="138"/>
      <c r="C22" s="138"/>
      <c r="D22" s="138"/>
      <c r="E22" s="138"/>
      <c r="F22" s="160"/>
      <c r="G22" s="138"/>
      <c r="H22" s="160"/>
      <c r="I22" s="138"/>
      <c r="J22" s="138"/>
      <c r="K22" s="138"/>
      <c r="L22" s="165"/>
      <c r="M22" s="165"/>
      <c r="N22" s="138"/>
      <c r="O22" s="138"/>
      <c r="R22" s="138"/>
      <c r="S22" s="138"/>
      <c r="T22" s="138"/>
      <c r="V22" s="138"/>
      <c r="W22" s="166"/>
      <c r="X22" s="138"/>
      <c r="Y22" s="166"/>
      <c r="AA22" s="138"/>
      <c r="AB22" s="138"/>
      <c r="AC22" s="168"/>
      <c r="AD22" s="160"/>
      <c r="AE22" s="160"/>
      <c r="AF22" s="160"/>
      <c r="AG22" s="160"/>
      <c r="AH22" s="160"/>
      <c r="AI22" s="166"/>
      <c r="AJ22" s="169"/>
      <c r="AK22" s="169"/>
      <c r="AL22" s="169"/>
      <c r="AM22" s="169"/>
      <c r="AN22" s="138"/>
      <c r="AO22" s="138"/>
      <c r="AP22" s="160"/>
      <c r="AQ22" s="160"/>
      <c r="AR22" s="160"/>
      <c r="AS22" s="160"/>
    </row>
    <row r="23" spans="1:45" x14ac:dyDescent="0.3">
      <c r="A23" s="138"/>
      <c r="B23" s="138"/>
      <c r="C23" s="138"/>
      <c r="D23" s="138"/>
      <c r="E23" s="138"/>
      <c r="F23" s="160"/>
      <c r="G23" s="138"/>
      <c r="H23" s="160"/>
      <c r="I23" s="138"/>
      <c r="J23" s="138"/>
      <c r="K23" s="138"/>
      <c r="L23" s="165"/>
      <c r="M23" s="165"/>
      <c r="N23" s="138"/>
      <c r="O23" s="138"/>
      <c r="R23" s="138"/>
      <c r="S23" s="138"/>
      <c r="T23" s="138"/>
      <c r="V23" s="138"/>
      <c r="W23" s="166"/>
      <c r="X23" s="138"/>
      <c r="Y23" s="166"/>
      <c r="AA23" s="138"/>
      <c r="AB23" s="138"/>
      <c r="AC23" s="168"/>
      <c r="AD23" s="160"/>
      <c r="AE23" s="160"/>
      <c r="AF23" s="160"/>
      <c r="AG23" s="160"/>
      <c r="AH23" s="160"/>
      <c r="AI23" s="166"/>
      <c r="AJ23" s="169"/>
      <c r="AK23" s="169"/>
      <c r="AL23" s="169"/>
      <c r="AM23" s="169"/>
      <c r="AN23" s="138"/>
      <c r="AO23" s="138"/>
      <c r="AP23" s="160"/>
      <c r="AQ23" s="160"/>
      <c r="AR23" s="160"/>
      <c r="AS23" s="160"/>
    </row>
    <row r="24" spans="1:45" x14ac:dyDescent="0.3">
      <c r="A24" s="138"/>
      <c r="B24" s="138"/>
      <c r="C24" s="138"/>
      <c r="D24" s="138"/>
      <c r="E24" s="138"/>
      <c r="F24" s="160"/>
      <c r="G24" s="138"/>
      <c r="H24" s="160"/>
      <c r="I24" s="138"/>
      <c r="J24" s="138"/>
      <c r="K24" s="138"/>
      <c r="L24" s="165"/>
      <c r="M24" s="165"/>
      <c r="N24" s="138"/>
      <c r="O24" s="138"/>
      <c r="R24" s="138"/>
      <c r="S24" s="138"/>
      <c r="T24" s="138"/>
      <c r="V24" s="138"/>
      <c r="W24" s="166"/>
      <c r="X24" s="138"/>
      <c r="Y24" s="166"/>
      <c r="AA24" s="138"/>
      <c r="AB24" s="138"/>
      <c r="AC24" s="168"/>
      <c r="AD24" s="160"/>
      <c r="AE24" s="160"/>
      <c r="AF24" s="160"/>
      <c r="AG24" s="160"/>
      <c r="AH24" s="160"/>
      <c r="AI24" s="166"/>
      <c r="AJ24" s="169"/>
      <c r="AK24" s="169"/>
      <c r="AL24" s="169"/>
      <c r="AM24" s="169"/>
      <c r="AN24" s="138"/>
      <c r="AO24" s="138"/>
      <c r="AP24" s="160"/>
      <c r="AQ24" s="160"/>
      <c r="AR24" s="160"/>
      <c r="AS24" s="160"/>
    </row>
    <row r="25" spans="1:45" x14ac:dyDescent="0.3">
      <c r="A25" s="138"/>
      <c r="B25" s="138"/>
      <c r="C25" s="138"/>
      <c r="D25" s="138"/>
      <c r="E25" s="138"/>
      <c r="F25" s="160"/>
      <c r="G25" s="138"/>
      <c r="H25" s="160"/>
      <c r="I25" s="138"/>
      <c r="J25" s="138"/>
      <c r="K25" s="138"/>
      <c r="L25" s="165"/>
      <c r="M25" s="165"/>
      <c r="N25" s="138"/>
      <c r="O25" s="138"/>
      <c r="R25" s="138"/>
      <c r="S25" s="138"/>
      <c r="T25" s="138"/>
      <c r="V25" s="138"/>
      <c r="W25" s="166"/>
      <c r="X25" s="138"/>
      <c r="Y25" s="166"/>
      <c r="AA25" s="138"/>
      <c r="AB25" s="138"/>
      <c r="AC25" s="168"/>
      <c r="AD25" s="160"/>
      <c r="AE25" s="160"/>
      <c r="AF25" s="160"/>
      <c r="AG25" s="160"/>
      <c r="AH25" s="160"/>
      <c r="AI25" s="166"/>
      <c r="AJ25" s="169"/>
      <c r="AK25" s="169"/>
      <c r="AL25" s="169"/>
      <c r="AM25" s="169"/>
      <c r="AN25" s="138"/>
      <c r="AO25" s="138"/>
      <c r="AP25" s="160"/>
      <c r="AQ25" s="160"/>
      <c r="AR25" s="160"/>
      <c r="AS25" s="160"/>
    </row>
    <row r="26" spans="1:45" x14ac:dyDescent="0.3">
      <c r="A26" s="138"/>
      <c r="B26" s="138"/>
      <c r="C26" s="138"/>
      <c r="D26" s="138"/>
      <c r="E26" s="138"/>
      <c r="F26" s="160"/>
      <c r="G26" s="138"/>
      <c r="H26" s="160"/>
      <c r="I26" s="138"/>
      <c r="J26" s="138"/>
      <c r="K26" s="138"/>
      <c r="L26" s="165"/>
      <c r="M26" s="165"/>
      <c r="N26" s="138"/>
      <c r="O26" s="138"/>
      <c r="R26" s="138"/>
      <c r="S26" s="138"/>
      <c r="T26" s="138"/>
      <c r="V26" s="138"/>
      <c r="W26" s="166"/>
      <c r="X26" s="138"/>
      <c r="Y26" s="166"/>
      <c r="AA26" s="138"/>
      <c r="AB26" s="138"/>
      <c r="AC26" s="168"/>
      <c r="AD26" s="160"/>
      <c r="AE26" s="160"/>
      <c r="AF26" s="160"/>
      <c r="AG26" s="160"/>
      <c r="AH26" s="160"/>
      <c r="AI26" s="166"/>
      <c r="AJ26" s="169"/>
      <c r="AK26" s="169"/>
      <c r="AL26" s="169"/>
      <c r="AM26" s="169"/>
      <c r="AN26" s="138"/>
      <c r="AO26" s="138"/>
      <c r="AP26" s="160"/>
      <c r="AQ26" s="160"/>
      <c r="AR26" s="160"/>
      <c r="AS26" s="160"/>
    </row>
    <row r="27" spans="1:45" x14ac:dyDescent="0.3">
      <c r="A27" s="138"/>
      <c r="B27" s="138"/>
      <c r="C27" s="138"/>
      <c r="D27" s="138"/>
      <c r="E27" s="138"/>
      <c r="F27" s="160"/>
      <c r="G27" s="138"/>
      <c r="H27" s="160"/>
      <c r="I27" s="138"/>
      <c r="J27" s="138"/>
      <c r="K27" s="138"/>
      <c r="L27" s="165"/>
      <c r="M27" s="165"/>
      <c r="N27" s="138"/>
      <c r="O27" s="138"/>
      <c r="R27" s="138"/>
      <c r="S27" s="138"/>
      <c r="T27" s="138"/>
      <c r="V27" s="138"/>
      <c r="W27" s="166"/>
      <c r="X27" s="138"/>
      <c r="Y27" s="166"/>
      <c r="AA27" s="138"/>
      <c r="AB27" s="138"/>
      <c r="AC27" s="168"/>
      <c r="AD27" s="160"/>
      <c r="AE27" s="160"/>
      <c r="AF27" s="160"/>
      <c r="AG27" s="160"/>
      <c r="AH27" s="160"/>
      <c r="AI27" s="166"/>
      <c r="AJ27" s="169"/>
      <c r="AK27" s="169"/>
      <c r="AL27" s="169"/>
      <c r="AM27" s="169"/>
      <c r="AN27" s="138"/>
      <c r="AO27" s="138"/>
      <c r="AP27" s="160"/>
      <c r="AQ27" s="160"/>
      <c r="AR27" s="160"/>
      <c r="AS27" s="160"/>
    </row>
    <row r="28" spans="1:45" x14ac:dyDescent="0.3">
      <c r="A28" s="138"/>
      <c r="B28" s="138"/>
      <c r="C28" s="138"/>
      <c r="D28" s="138"/>
      <c r="E28" s="138"/>
      <c r="F28" s="160"/>
      <c r="G28" s="138"/>
      <c r="H28" s="160"/>
      <c r="I28" s="138"/>
      <c r="J28" s="138"/>
      <c r="K28" s="138"/>
      <c r="L28" s="165"/>
      <c r="M28" s="165"/>
      <c r="N28" s="138"/>
      <c r="O28" s="138"/>
      <c r="R28" s="138"/>
      <c r="S28" s="138"/>
      <c r="T28" s="138"/>
      <c r="V28" s="138"/>
      <c r="W28" s="166"/>
      <c r="X28" s="138"/>
      <c r="Y28" s="166"/>
      <c r="AA28" s="138"/>
      <c r="AB28" s="138"/>
      <c r="AC28" s="168"/>
      <c r="AD28" s="160"/>
      <c r="AE28" s="160"/>
      <c r="AF28" s="160"/>
      <c r="AG28" s="160"/>
      <c r="AH28" s="160"/>
      <c r="AI28" s="166"/>
      <c r="AJ28" s="169"/>
      <c r="AK28" s="169"/>
      <c r="AL28" s="169"/>
      <c r="AM28" s="169"/>
      <c r="AN28" s="138"/>
      <c r="AO28" s="138"/>
      <c r="AP28" s="160"/>
      <c r="AQ28" s="160"/>
      <c r="AR28" s="160"/>
      <c r="AS28" s="160"/>
    </row>
    <row r="29" spans="1:45" x14ac:dyDescent="0.3">
      <c r="A29" s="138"/>
      <c r="B29" s="138"/>
      <c r="C29" s="138"/>
      <c r="D29" s="138"/>
      <c r="E29" s="138"/>
      <c r="F29" s="160"/>
      <c r="G29" s="138"/>
      <c r="H29" s="160"/>
      <c r="I29" s="138"/>
      <c r="J29" s="138"/>
      <c r="K29" s="138"/>
      <c r="L29" s="165"/>
      <c r="M29" s="165"/>
      <c r="N29" s="138"/>
      <c r="O29" s="138"/>
      <c r="R29" s="138"/>
      <c r="S29" s="138"/>
      <c r="T29" s="138"/>
      <c r="V29" s="138"/>
      <c r="W29" s="166"/>
      <c r="X29" s="138"/>
      <c r="Y29" s="166"/>
      <c r="AA29" s="138"/>
      <c r="AB29" s="138"/>
      <c r="AC29" s="168"/>
      <c r="AD29" s="160"/>
      <c r="AE29" s="160"/>
      <c r="AF29" s="160"/>
      <c r="AG29" s="160"/>
      <c r="AH29" s="160"/>
      <c r="AI29" s="166"/>
      <c r="AJ29" s="169"/>
      <c r="AK29" s="169"/>
      <c r="AL29" s="169"/>
      <c r="AM29" s="169"/>
      <c r="AN29" s="138"/>
      <c r="AO29" s="138"/>
      <c r="AP29" s="160"/>
      <c r="AQ29" s="160"/>
      <c r="AR29" s="160"/>
      <c r="AS29" s="160"/>
    </row>
    <row r="30" spans="1:45" x14ac:dyDescent="0.3">
      <c r="A30" s="138"/>
      <c r="B30" s="138"/>
      <c r="C30" s="138"/>
      <c r="D30" s="138"/>
      <c r="E30" s="138"/>
      <c r="F30" s="160"/>
      <c r="G30" s="138"/>
      <c r="H30" s="160"/>
      <c r="I30" s="138"/>
      <c r="J30" s="138"/>
      <c r="K30" s="138"/>
      <c r="L30" s="165"/>
      <c r="M30" s="165"/>
      <c r="N30" s="138"/>
      <c r="O30" s="138"/>
      <c r="R30" s="138"/>
      <c r="S30" s="138"/>
      <c r="T30" s="138"/>
      <c r="V30" s="138"/>
      <c r="W30" s="166"/>
      <c r="X30" s="138"/>
      <c r="Y30" s="166"/>
      <c r="AA30" s="138"/>
      <c r="AB30" s="138"/>
      <c r="AC30" s="168"/>
      <c r="AD30" s="160"/>
      <c r="AE30" s="160"/>
      <c r="AF30" s="160"/>
      <c r="AG30" s="160"/>
      <c r="AH30" s="160"/>
      <c r="AI30" s="166"/>
      <c r="AJ30" s="169"/>
      <c r="AK30" s="169"/>
      <c r="AL30" s="169"/>
      <c r="AM30" s="169"/>
      <c r="AN30" s="138"/>
      <c r="AO30" s="138"/>
      <c r="AP30" s="160"/>
      <c r="AQ30" s="160"/>
      <c r="AR30" s="160"/>
      <c r="AS30" s="160"/>
    </row>
    <row r="31" spans="1:45" x14ac:dyDescent="0.3">
      <c r="A31" s="138"/>
      <c r="B31" s="138"/>
      <c r="C31" s="138"/>
      <c r="D31" s="138"/>
      <c r="E31" s="138"/>
      <c r="F31" s="160"/>
      <c r="G31" s="138"/>
      <c r="H31" s="160"/>
      <c r="I31" s="138"/>
      <c r="J31" s="138"/>
      <c r="K31" s="138"/>
      <c r="L31" s="165"/>
      <c r="M31" s="165"/>
      <c r="N31" s="138"/>
      <c r="O31" s="138"/>
      <c r="R31" s="138"/>
      <c r="S31" s="138"/>
      <c r="T31" s="138"/>
      <c r="V31" s="138"/>
      <c r="W31" s="166"/>
      <c r="X31" s="138"/>
      <c r="Y31" s="166"/>
      <c r="AA31" s="138"/>
      <c r="AB31" s="138"/>
      <c r="AC31" s="168"/>
      <c r="AD31" s="160"/>
      <c r="AE31" s="160"/>
      <c r="AF31" s="160"/>
      <c r="AG31" s="160"/>
      <c r="AH31" s="160"/>
      <c r="AI31" s="166"/>
      <c r="AJ31" s="169"/>
      <c r="AK31" s="169"/>
      <c r="AL31" s="169"/>
      <c r="AM31" s="169"/>
      <c r="AN31" s="138"/>
      <c r="AO31" s="138"/>
      <c r="AP31" s="160"/>
      <c r="AQ31" s="160"/>
      <c r="AR31" s="160"/>
      <c r="AS31" s="160"/>
    </row>
    <row r="32" spans="1:45" x14ac:dyDescent="0.3">
      <c r="A32" s="138"/>
      <c r="B32" s="138"/>
      <c r="C32" s="138"/>
      <c r="D32" s="138"/>
      <c r="E32" s="138"/>
      <c r="F32" s="160"/>
      <c r="G32" s="138"/>
      <c r="H32" s="160"/>
      <c r="I32" s="138"/>
      <c r="J32" s="138"/>
      <c r="K32" s="138"/>
      <c r="L32" s="165"/>
      <c r="M32" s="165"/>
      <c r="N32" s="138"/>
      <c r="O32" s="138"/>
      <c r="R32" s="138"/>
      <c r="S32" s="138"/>
      <c r="T32" s="138"/>
      <c r="V32" s="138"/>
      <c r="W32" s="166"/>
      <c r="X32" s="138"/>
      <c r="Y32" s="166"/>
      <c r="AA32" s="138"/>
      <c r="AB32" s="138"/>
      <c r="AC32" s="168"/>
      <c r="AD32" s="160"/>
      <c r="AE32" s="160"/>
      <c r="AF32" s="160"/>
      <c r="AG32" s="160"/>
      <c r="AH32" s="160"/>
      <c r="AI32" s="166"/>
      <c r="AJ32" s="169"/>
      <c r="AK32" s="169"/>
      <c r="AL32" s="169"/>
      <c r="AM32" s="169"/>
      <c r="AN32" s="138"/>
      <c r="AO32" s="138"/>
      <c r="AP32" s="160"/>
      <c r="AQ32" s="160"/>
      <c r="AR32" s="160"/>
      <c r="AS32" s="160"/>
    </row>
    <row r="33" spans="1:45" x14ac:dyDescent="0.3">
      <c r="A33" s="138"/>
      <c r="B33" s="138"/>
      <c r="C33" s="138"/>
      <c r="D33" s="138"/>
      <c r="E33" s="138"/>
      <c r="F33" s="160"/>
      <c r="G33" s="138"/>
      <c r="H33" s="160"/>
      <c r="I33" s="138"/>
      <c r="J33" s="138"/>
      <c r="K33" s="138"/>
      <c r="L33" s="165"/>
      <c r="M33" s="165"/>
      <c r="N33" s="138"/>
      <c r="O33" s="138"/>
      <c r="R33" s="138"/>
      <c r="S33" s="138"/>
      <c r="T33" s="138"/>
      <c r="V33" s="138"/>
      <c r="W33" s="166"/>
      <c r="X33" s="138"/>
      <c r="Y33" s="166"/>
      <c r="AA33" s="138"/>
      <c r="AB33" s="138"/>
      <c r="AC33" s="168"/>
      <c r="AD33" s="160"/>
      <c r="AE33" s="160"/>
      <c r="AF33" s="160"/>
      <c r="AG33" s="160"/>
      <c r="AH33" s="160"/>
      <c r="AI33" s="166"/>
      <c r="AJ33" s="169"/>
      <c r="AK33" s="169"/>
      <c r="AL33" s="169"/>
      <c r="AM33" s="169"/>
      <c r="AN33" s="138"/>
      <c r="AO33" s="138"/>
      <c r="AP33" s="160"/>
      <c r="AQ33" s="160"/>
      <c r="AR33" s="160"/>
      <c r="AS33" s="160"/>
    </row>
    <row r="34" spans="1:45" x14ac:dyDescent="0.3">
      <c r="A34" s="138"/>
      <c r="B34" s="138"/>
      <c r="C34" s="138"/>
      <c r="D34" s="138"/>
      <c r="E34" s="138"/>
      <c r="F34" s="160"/>
      <c r="G34" s="138"/>
      <c r="H34" s="160"/>
      <c r="I34" s="138"/>
      <c r="J34" s="138"/>
      <c r="K34" s="138"/>
      <c r="L34" s="165"/>
      <c r="M34" s="165"/>
      <c r="N34" s="138"/>
      <c r="O34" s="138"/>
      <c r="R34" s="138"/>
      <c r="S34" s="138"/>
      <c r="T34" s="138"/>
      <c r="V34" s="138"/>
      <c r="W34" s="166"/>
      <c r="X34" s="138"/>
      <c r="Y34" s="166"/>
      <c r="AA34" s="138"/>
      <c r="AB34" s="138"/>
      <c r="AC34" s="168"/>
      <c r="AD34" s="160"/>
      <c r="AE34" s="160"/>
      <c r="AF34" s="160"/>
      <c r="AG34" s="160"/>
      <c r="AH34" s="160"/>
      <c r="AI34" s="166"/>
      <c r="AJ34" s="169"/>
      <c r="AK34" s="169"/>
      <c r="AL34" s="169"/>
      <c r="AM34" s="169"/>
      <c r="AN34" s="138"/>
      <c r="AO34" s="138"/>
      <c r="AP34" s="160"/>
      <c r="AQ34" s="160"/>
      <c r="AR34" s="160"/>
      <c r="AS34" s="160"/>
    </row>
    <row r="35" spans="1:45" x14ac:dyDescent="0.3">
      <c r="A35" s="138"/>
      <c r="B35" s="138"/>
      <c r="C35" s="138"/>
      <c r="D35" s="138"/>
      <c r="E35" s="138"/>
      <c r="F35" s="160"/>
      <c r="G35" s="138"/>
      <c r="H35" s="160"/>
      <c r="I35" s="138"/>
      <c r="J35" s="138"/>
      <c r="K35" s="138"/>
      <c r="L35" s="165"/>
      <c r="M35" s="165"/>
      <c r="N35" s="138"/>
      <c r="O35" s="138"/>
      <c r="R35" s="138"/>
      <c r="S35" s="138"/>
      <c r="T35" s="138"/>
      <c r="V35" s="138"/>
      <c r="W35" s="166"/>
      <c r="X35" s="138"/>
      <c r="Y35" s="166"/>
      <c r="AA35" s="138"/>
      <c r="AB35" s="138"/>
      <c r="AC35" s="168"/>
      <c r="AD35" s="160"/>
      <c r="AE35" s="160"/>
      <c r="AF35" s="160"/>
      <c r="AG35" s="160"/>
      <c r="AH35" s="160"/>
      <c r="AI35" s="166"/>
      <c r="AJ35" s="169"/>
      <c r="AK35" s="169"/>
      <c r="AL35" s="169"/>
      <c r="AM35" s="169"/>
      <c r="AN35" s="138"/>
      <c r="AO35" s="138"/>
      <c r="AP35" s="160"/>
      <c r="AQ35" s="160"/>
      <c r="AR35" s="160"/>
      <c r="AS35" s="160"/>
    </row>
    <row r="36" spans="1:45" x14ac:dyDescent="0.3">
      <c r="A36" s="138"/>
      <c r="B36" s="138"/>
      <c r="C36" s="138"/>
      <c r="D36" s="138"/>
      <c r="E36" s="138"/>
      <c r="F36" s="160"/>
      <c r="G36" s="138"/>
      <c r="H36" s="160"/>
      <c r="I36" s="138"/>
      <c r="J36" s="138"/>
      <c r="K36" s="138"/>
      <c r="L36" s="165"/>
      <c r="M36" s="165"/>
      <c r="N36" s="138"/>
      <c r="O36" s="138"/>
      <c r="R36" s="138"/>
      <c r="S36" s="138"/>
      <c r="T36" s="138"/>
      <c r="V36" s="138"/>
      <c r="W36" s="166"/>
      <c r="X36" s="138"/>
      <c r="Y36" s="166"/>
      <c r="AA36" s="138"/>
      <c r="AB36" s="138"/>
      <c r="AC36" s="168"/>
      <c r="AD36" s="160"/>
      <c r="AE36" s="160"/>
      <c r="AF36" s="160"/>
      <c r="AG36" s="160"/>
      <c r="AH36" s="160"/>
      <c r="AI36" s="166"/>
      <c r="AJ36" s="169"/>
      <c r="AK36" s="169"/>
      <c r="AL36" s="169"/>
      <c r="AM36" s="169"/>
      <c r="AN36" s="138"/>
      <c r="AO36" s="138"/>
      <c r="AP36" s="160"/>
      <c r="AQ36" s="160"/>
      <c r="AR36" s="160"/>
      <c r="AS36" s="160"/>
    </row>
    <row r="37" spans="1:45" x14ac:dyDescent="0.3">
      <c r="A37" s="138"/>
      <c r="B37" s="138"/>
      <c r="C37" s="138"/>
      <c r="D37" s="138"/>
      <c r="E37" s="138"/>
      <c r="F37" s="160"/>
      <c r="G37" s="138"/>
      <c r="H37" s="160"/>
      <c r="I37" s="138"/>
      <c r="J37" s="138"/>
      <c r="K37" s="138"/>
      <c r="L37" s="165"/>
      <c r="M37" s="165"/>
      <c r="N37" s="138"/>
      <c r="O37" s="138"/>
      <c r="R37" s="138"/>
      <c r="S37" s="138"/>
      <c r="T37" s="138"/>
      <c r="V37" s="138"/>
      <c r="W37" s="166"/>
      <c r="X37" s="138"/>
      <c r="Y37" s="166"/>
      <c r="AA37" s="138"/>
      <c r="AB37" s="138"/>
      <c r="AC37" s="168"/>
      <c r="AD37" s="160"/>
      <c r="AE37" s="160"/>
      <c r="AF37" s="160"/>
      <c r="AG37" s="160"/>
      <c r="AH37" s="160"/>
      <c r="AI37" s="166"/>
      <c r="AJ37" s="169"/>
      <c r="AK37" s="169"/>
      <c r="AL37" s="169"/>
      <c r="AM37" s="169"/>
      <c r="AN37" s="138"/>
      <c r="AO37" s="138"/>
      <c r="AP37" s="160"/>
      <c r="AQ37" s="160"/>
      <c r="AR37" s="160"/>
      <c r="AS37" s="160"/>
    </row>
    <row r="38" spans="1:45" x14ac:dyDescent="0.3">
      <c r="A38" s="138"/>
      <c r="B38" s="138"/>
      <c r="C38" s="138"/>
      <c r="D38" s="138"/>
      <c r="E38" s="138"/>
      <c r="F38" s="160"/>
      <c r="G38" s="138"/>
      <c r="H38" s="160"/>
      <c r="I38" s="138"/>
      <c r="J38" s="138"/>
      <c r="K38" s="138"/>
      <c r="L38" s="165"/>
      <c r="M38" s="165"/>
      <c r="N38" s="138"/>
      <c r="O38" s="138"/>
      <c r="R38" s="138"/>
      <c r="S38" s="138"/>
      <c r="T38" s="138"/>
      <c r="V38" s="138"/>
      <c r="W38" s="166"/>
      <c r="X38" s="138"/>
      <c r="Y38" s="166"/>
      <c r="AA38" s="138"/>
      <c r="AB38" s="138"/>
      <c r="AC38" s="168"/>
      <c r="AD38" s="160"/>
      <c r="AE38" s="160"/>
      <c r="AF38" s="160"/>
      <c r="AG38" s="160"/>
      <c r="AH38" s="160"/>
      <c r="AI38" s="166"/>
      <c r="AJ38" s="169"/>
      <c r="AK38" s="169"/>
      <c r="AL38" s="169"/>
      <c r="AM38" s="169"/>
      <c r="AN38" s="138"/>
      <c r="AO38" s="138"/>
      <c r="AP38" s="160"/>
      <c r="AQ38" s="160"/>
      <c r="AR38" s="160"/>
      <c r="AS38" s="160"/>
    </row>
    <row r="39" spans="1:45" x14ac:dyDescent="0.3">
      <c r="A39" s="138"/>
      <c r="B39" s="138"/>
      <c r="C39" s="138"/>
      <c r="D39" s="138"/>
      <c r="E39" s="138"/>
      <c r="F39" s="160"/>
      <c r="G39" s="138"/>
      <c r="H39" s="160"/>
      <c r="I39" s="138"/>
      <c r="J39" s="138"/>
      <c r="K39" s="138"/>
      <c r="L39" s="165"/>
      <c r="M39" s="165"/>
      <c r="N39" s="138"/>
      <c r="O39" s="138"/>
      <c r="R39" s="138"/>
      <c r="S39" s="138"/>
      <c r="T39" s="138"/>
      <c r="V39" s="138"/>
      <c r="W39" s="166"/>
      <c r="X39" s="138"/>
      <c r="Y39" s="166"/>
      <c r="AA39" s="138"/>
      <c r="AB39" s="138"/>
      <c r="AC39" s="168"/>
      <c r="AD39" s="160"/>
      <c r="AE39" s="160"/>
      <c r="AF39" s="160"/>
      <c r="AG39" s="160"/>
      <c r="AH39" s="160"/>
      <c r="AI39" s="166"/>
      <c r="AJ39" s="169"/>
      <c r="AK39" s="169"/>
      <c r="AL39" s="169"/>
      <c r="AM39" s="169"/>
      <c r="AN39" s="138"/>
      <c r="AO39" s="138"/>
      <c r="AP39" s="160"/>
      <c r="AQ39" s="160"/>
      <c r="AR39" s="160"/>
      <c r="AS39" s="160"/>
    </row>
    <row r="40" spans="1:45" x14ac:dyDescent="0.3">
      <c r="A40" s="138"/>
      <c r="B40" s="138"/>
      <c r="C40" s="138"/>
      <c r="D40" s="138"/>
      <c r="E40" s="138"/>
      <c r="F40" s="160"/>
      <c r="G40" s="138"/>
      <c r="H40" s="160"/>
      <c r="I40" s="138"/>
      <c r="J40" s="138"/>
      <c r="K40" s="138"/>
      <c r="L40" s="165"/>
      <c r="M40" s="165"/>
      <c r="N40" s="138"/>
      <c r="O40" s="138"/>
      <c r="R40" s="138"/>
      <c r="S40" s="138"/>
      <c r="T40" s="138"/>
      <c r="V40" s="138"/>
      <c r="W40" s="166"/>
      <c r="X40" s="138"/>
      <c r="Y40" s="166"/>
      <c r="AA40" s="138"/>
      <c r="AB40" s="138"/>
      <c r="AC40" s="168"/>
      <c r="AD40" s="160"/>
      <c r="AE40" s="160"/>
      <c r="AF40" s="160"/>
      <c r="AG40" s="160"/>
      <c r="AH40" s="160"/>
      <c r="AI40" s="166"/>
      <c r="AJ40" s="169"/>
      <c r="AK40" s="169"/>
      <c r="AL40" s="169"/>
      <c r="AM40" s="169"/>
      <c r="AN40" s="138"/>
      <c r="AO40" s="138"/>
      <c r="AP40" s="160"/>
      <c r="AQ40" s="160"/>
      <c r="AR40" s="160"/>
      <c r="AS40" s="160"/>
    </row>
    <row r="41" spans="1:45" x14ac:dyDescent="0.3">
      <c r="A41" s="138"/>
      <c r="B41" s="138"/>
      <c r="C41" s="138"/>
      <c r="D41" s="138"/>
      <c r="E41" s="138"/>
      <c r="F41" s="160"/>
      <c r="G41" s="138"/>
      <c r="H41" s="160"/>
      <c r="I41" s="138"/>
      <c r="J41" s="138"/>
      <c r="K41" s="138"/>
      <c r="L41" s="165"/>
      <c r="M41" s="165"/>
      <c r="N41" s="138"/>
      <c r="O41" s="138"/>
      <c r="R41" s="138"/>
      <c r="S41" s="138"/>
      <c r="T41" s="138"/>
      <c r="V41" s="138"/>
      <c r="W41" s="166"/>
      <c r="X41" s="138"/>
      <c r="Y41" s="166"/>
      <c r="AA41" s="138"/>
      <c r="AB41" s="138"/>
      <c r="AC41" s="168"/>
      <c r="AD41" s="160"/>
      <c r="AE41" s="160"/>
      <c r="AF41" s="160"/>
      <c r="AG41" s="160"/>
      <c r="AH41" s="160"/>
      <c r="AI41" s="166"/>
      <c r="AJ41" s="169"/>
      <c r="AK41" s="169"/>
      <c r="AL41" s="169"/>
      <c r="AM41" s="169"/>
      <c r="AN41" s="138"/>
      <c r="AO41" s="138"/>
      <c r="AP41" s="160"/>
      <c r="AQ41" s="160"/>
      <c r="AR41" s="160"/>
      <c r="AS41" s="160"/>
    </row>
    <row r="42" spans="1:45" x14ac:dyDescent="0.3">
      <c r="A42" s="138"/>
      <c r="B42" s="138"/>
      <c r="C42" s="138"/>
      <c r="D42" s="138"/>
      <c r="E42" s="138"/>
      <c r="F42" s="160"/>
      <c r="G42" s="138"/>
      <c r="H42" s="160"/>
      <c r="I42" s="138"/>
      <c r="J42" s="138"/>
      <c r="K42" s="138"/>
      <c r="L42" s="165"/>
      <c r="M42" s="165"/>
      <c r="N42" s="138"/>
      <c r="O42" s="138"/>
      <c r="R42" s="138"/>
      <c r="S42" s="138"/>
      <c r="T42" s="138"/>
      <c r="V42" s="138"/>
      <c r="W42" s="166"/>
      <c r="X42" s="138"/>
      <c r="Y42" s="166"/>
      <c r="AA42" s="138"/>
      <c r="AB42" s="138"/>
      <c r="AC42" s="168"/>
      <c r="AD42" s="160"/>
      <c r="AE42" s="160"/>
      <c r="AF42" s="160"/>
      <c r="AG42" s="160"/>
      <c r="AH42" s="160"/>
      <c r="AI42" s="166"/>
      <c r="AJ42" s="169"/>
      <c r="AK42" s="169"/>
      <c r="AL42" s="169"/>
      <c r="AM42" s="169"/>
      <c r="AN42" s="138"/>
      <c r="AO42" s="138"/>
      <c r="AP42" s="160"/>
      <c r="AQ42" s="160"/>
      <c r="AR42" s="160"/>
      <c r="AS42" s="160"/>
    </row>
    <row r="43" spans="1:45" x14ac:dyDescent="0.3">
      <c r="A43" s="138"/>
      <c r="B43" s="138"/>
      <c r="C43" s="138"/>
      <c r="D43" s="138"/>
      <c r="E43" s="138"/>
      <c r="F43" s="160"/>
      <c r="G43" s="138"/>
      <c r="H43" s="160"/>
      <c r="I43" s="138"/>
      <c r="J43" s="138"/>
      <c r="K43" s="138"/>
      <c r="L43" s="165"/>
      <c r="M43" s="165"/>
      <c r="N43" s="138"/>
      <c r="O43" s="138"/>
      <c r="R43" s="138"/>
      <c r="S43" s="138"/>
      <c r="T43" s="138"/>
      <c r="V43" s="138"/>
      <c r="W43" s="166"/>
      <c r="X43" s="138"/>
      <c r="Y43" s="166"/>
      <c r="AA43" s="138"/>
      <c r="AB43" s="138"/>
      <c r="AC43" s="168"/>
      <c r="AD43" s="160"/>
      <c r="AE43" s="160"/>
      <c r="AF43" s="160"/>
      <c r="AG43" s="160"/>
      <c r="AH43" s="160"/>
      <c r="AI43" s="166"/>
      <c r="AJ43" s="169"/>
      <c r="AK43" s="169"/>
      <c r="AL43" s="169"/>
      <c r="AM43" s="169"/>
      <c r="AN43" s="138"/>
      <c r="AO43" s="138"/>
      <c r="AP43" s="160"/>
      <c r="AQ43" s="160"/>
      <c r="AR43" s="160"/>
      <c r="AS43" s="160"/>
    </row>
    <row r="44" spans="1:45" x14ac:dyDescent="0.3">
      <c r="A44" s="138"/>
      <c r="B44" s="138"/>
      <c r="C44" s="138"/>
      <c r="D44" s="138"/>
      <c r="E44" s="138"/>
      <c r="F44" s="160"/>
      <c r="G44" s="138"/>
      <c r="H44" s="160"/>
      <c r="I44" s="138"/>
      <c r="J44" s="138"/>
      <c r="K44" s="138"/>
      <c r="L44" s="165"/>
      <c r="M44" s="165"/>
      <c r="N44" s="138"/>
      <c r="O44" s="138"/>
      <c r="R44" s="138"/>
      <c r="S44" s="138"/>
      <c r="T44" s="138"/>
      <c r="V44" s="138"/>
      <c r="W44" s="166"/>
      <c r="X44" s="138"/>
      <c r="Y44" s="166"/>
      <c r="AA44" s="138"/>
      <c r="AB44" s="138"/>
      <c r="AC44" s="168"/>
      <c r="AD44" s="160"/>
      <c r="AE44" s="160"/>
      <c r="AF44" s="160"/>
      <c r="AG44" s="160"/>
      <c r="AH44" s="160"/>
      <c r="AI44" s="166"/>
      <c r="AJ44" s="169"/>
      <c r="AK44" s="169"/>
      <c r="AL44" s="169"/>
      <c r="AM44" s="169"/>
      <c r="AN44" s="138"/>
      <c r="AO44" s="138"/>
      <c r="AP44" s="160"/>
      <c r="AQ44" s="160"/>
      <c r="AR44" s="160"/>
      <c r="AS44" s="160"/>
    </row>
    <row r="45" spans="1:45" x14ac:dyDescent="0.3">
      <c r="A45" s="138"/>
      <c r="B45" s="138"/>
      <c r="C45" s="138"/>
      <c r="D45" s="138"/>
      <c r="E45" s="138"/>
      <c r="F45" s="160"/>
      <c r="G45" s="138"/>
      <c r="H45" s="160"/>
      <c r="I45" s="138"/>
      <c r="J45" s="138"/>
      <c r="K45" s="138"/>
      <c r="L45" s="165"/>
      <c r="M45" s="165"/>
      <c r="N45" s="138"/>
      <c r="O45" s="138"/>
      <c r="R45" s="138"/>
      <c r="S45" s="138"/>
      <c r="T45" s="138"/>
      <c r="V45" s="138"/>
      <c r="W45" s="166"/>
      <c r="X45" s="138"/>
      <c r="Y45" s="166"/>
      <c r="AA45" s="138"/>
      <c r="AB45" s="138"/>
      <c r="AC45" s="168"/>
      <c r="AD45" s="160"/>
      <c r="AE45" s="160"/>
      <c r="AF45" s="160"/>
      <c r="AG45" s="160"/>
      <c r="AH45" s="160"/>
      <c r="AI45" s="166"/>
      <c r="AJ45" s="169"/>
      <c r="AK45" s="169"/>
      <c r="AL45" s="169"/>
      <c r="AM45" s="169"/>
      <c r="AN45" s="138"/>
      <c r="AO45" s="138"/>
      <c r="AP45" s="160"/>
      <c r="AQ45" s="160"/>
      <c r="AR45" s="160"/>
      <c r="AS45" s="160"/>
    </row>
    <row r="46" spans="1:45" x14ac:dyDescent="0.3">
      <c r="A46" s="138"/>
      <c r="B46" s="138"/>
      <c r="C46" s="138"/>
      <c r="D46" s="138"/>
      <c r="E46" s="138"/>
      <c r="F46" s="160"/>
      <c r="G46" s="138"/>
      <c r="H46" s="160"/>
      <c r="I46" s="138"/>
      <c r="J46" s="138"/>
      <c r="K46" s="138"/>
      <c r="L46" s="165"/>
      <c r="M46" s="165"/>
      <c r="N46" s="138"/>
      <c r="O46" s="138"/>
      <c r="R46" s="138"/>
      <c r="S46" s="138"/>
      <c r="T46" s="138"/>
      <c r="V46" s="138"/>
      <c r="W46" s="166"/>
      <c r="X46" s="138"/>
      <c r="Y46" s="166"/>
      <c r="AA46" s="138"/>
      <c r="AB46" s="138"/>
      <c r="AC46" s="168"/>
      <c r="AD46" s="160"/>
      <c r="AE46" s="160"/>
      <c r="AF46" s="160"/>
      <c r="AG46" s="160"/>
      <c r="AH46" s="160"/>
      <c r="AI46" s="166"/>
      <c r="AJ46" s="169"/>
      <c r="AK46" s="169"/>
      <c r="AL46" s="169"/>
      <c r="AM46" s="169"/>
      <c r="AN46" s="138"/>
      <c r="AO46" s="138"/>
      <c r="AP46" s="160"/>
      <c r="AQ46" s="160"/>
      <c r="AR46" s="160"/>
      <c r="AS46" s="160"/>
    </row>
    <row r="47" spans="1:45" x14ac:dyDescent="0.3">
      <c r="A47" s="138"/>
      <c r="B47" s="138"/>
      <c r="C47" s="138"/>
      <c r="D47" s="138"/>
      <c r="E47" s="138"/>
      <c r="F47" s="160"/>
      <c r="G47" s="138"/>
      <c r="H47" s="160"/>
      <c r="I47" s="138"/>
      <c r="J47" s="138"/>
      <c r="K47" s="138"/>
      <c r="L47" s="165"/>
      <c r="M47" s="165"/>
      <c r="N47" s="138"/>
      <c r="O47" s="138"/>
      <c r="R47" s="138"/>
      <c r="S47" s="138"/>
      <c r="T47" s="138"/>
      <c r="V47" s="138"/>
      <c r="W47" s="166"/>
      <c r="X47" s="138"/>
      <c r="Y47" s="166"/>
      <c r="AA47" s="138"/>
      <c r="AB47" s="138"/>
      <c r="AC47" s="168"/>
      <c r="AD47" s="160"/>
      <c r="AE47" s="160"/>
      <c r="AF47" s="160"/>
      <c r="AG47" s="160"/>
      <c r="AH47" s="160"/>
      <c r="AI47" s="166"/>
      <c r="AJ47" s="169"/>
      <c r="AK47" s="169"/>
      <c r="AL47" s="169"/>
      <c r="AM47" s="169"/>
      <c r="AN47" s="138"/>
      <c r="AO47" s="138"/>
      <c r="AP47" s="160"/>
      <c r="AQ47" s="160"/>
      <c r="AR47" s="160"/>
      <c r="AS47" s="160"/>
    </row>
    <row r="48" spans="1:45" x14ac:dyDescent="0.3">
      <c r="A48" s="138"/>
      <c r="B48" s="138"/>
      <c r="C48" s="138"/>
      <c r="D48" s="138"/>
      <c r="E48" s="138"/>
      <c r="F48" s="160"/>
      <c r="G48" s="138"/>
      <c r="H48" s="160"/>
      <c r="I48" s="138"/>
      <c r="J48" s="138"/>
      <c r="K48" s="138"/>
      <c r="L48" s="165"/>
      <c r="M48" s="165"/>
      <c r="N48" s="138"/>
      <c r="O48" s="138"/>
      <c r="R48" s="138"/>
      <c r="S48" s="138"/>
      <c r="T48" s="138"/>
      <c r="V48" s="138"/>
      <c r="W48" s="166"/>
      <c r="X48" s="138"/>
      <c r="Y48" s="166"/>
      <c r="AA48" s="138"/>
      <c r="AB48" s="138"/>
      <c r="AC48" s="168"/>
      <c r="AD48" s="160"/>
      <c r="AE48" s="160"/>
      <c r="AF48" s="160"/>
      <c r="AG48" s="160"/>
      <c r="AH48" s="160"/>
      <c r="AI48" s="166"/>
      <c r="AJ48" s="169"/>
      <c r="AK48" s="169"/>
      <c r="AL48" s="169"/>
      <c r="AM48" s="169"/>
      <c r="AN48" s="138"/>
      <c r="AO48" s="138"/>
      <c r="AP48" s="160"/>
      <c r="AQ48" s="160"/>
      <c r="AR48" s="160"/>
      <c r="AS48" s="160"/>
    </row>
    <row r="49" spans="1:45" x14ac:dyDescent="0.3">
      <c r="A49" s="138"/>
      <c r="B49" s="138"/>
      <c r="C49" s="138"/>
      <c r="D49" s="138"/>
      <c r="E49" s="138"/>
      <c r="F49" s="160"/>
      <c r="G49" s="138"/>
      <c r="H49" s="160"/>
      <c r="I49" s="138"/>
      <c r="J49" s="138"/>
      <c r="K49" s="138"/>
      <c r="L49" s="165"/>
      <c r="M49" s="165"/>
      <c r="N49" s="138"/>
      <c r="O49" s="138"/>
      <c r="R49" s="138"/>
      <c r="S49" s="138"/>
      <c r="T49" s="138"/>
      <c r="V49" s="138"/>
      <c r="W49" s="166"/>
      <c r="X49" s="138"/>
      <c r="Y49" s="166"/>
      <c r="AA49" s="138"/>
      <c r="AB49" s="138"/>
      <c r="AC49" s="168"/>
      <c r="AD49" s="160"/>
      <c r="AE49" s="160"/>
      <c r="AF49" s="160"/>
      <c r="AG49" s="160"/>
      <c r="AH49" s="160"/>
      <c r="AI49" s="166"/>
      <c r="AJ49" s="169"/>
      <c r="AK49" s="169"/>
      <c r="AL49" s="169"/>
      <c r="AM49" s="169"/>
      <c r="AN49" s="138"/>
      <c r="AO49" s="138"/>
      <c r="AP49" s="160"/>
      <c r="AQ49" s="160"/>
      <c r="AR49" s="160"/>
      <c r="AS49" s="160"/>
    </row>
    <row r="50" spans="1:45" x14ac:dyDescent="0.3">
      <c r="A50" s="138"/>
      <c r="B50" s="138"/>
      <c r="C50" s="138"/>
      <c r="D50" s="138"/>
      <c r="E50" s="138"/>
      <c r="F50" s="160"/>
      <c r="G50" s="138"/>
      <c r="H50" s="160"/>
      <c r="I50" s="138"/>
      <c r="J50" s="138"/>
      <c r="K50" s="138"/>
      <c r="L50" s="165"/>
      <c r="M50" s="165"/>
      <c r="N50" s="138"/>
      <c r="O50" s="138"/>
      <c r="R50" s="138"/>
      <c r="S50" s="138"/>
      <c r="T50" s="138"/>
      <c r="V50" s="138"/>
      <c r="W50" s="166"/>
      <c r="X50" s="138"/>
      <c r="Y50" s="166"/>
      <c r="AA50" s="138"/>
      <c r="AB50" s="138"/>
      <c r="AC50" s="168"/>
      <c r="AD50" s="160"/>
      <c r="AE50" s="160"/>
      <c r="AF50" s="160"/>
      <c r="AG50" s="160"/>
      <c r="AH50" s="160"/>
      <c r="AI50" s="166"/>
      <c r="AJ50" s="169"/>
      <c r="AK50" s="169"/>
      <c r="AL50" s="169"/>
      <c r="AM50" s="169"/>
      <c r="AN50" s="138"/>
      <c r="AO50" s="138"/>
      <c r="AP50" s="160"/>
      <c r="AQ50" s="160"/>
      <c r="AR50" s="160"/>
      <c r="AS50" s="160"/>
    </row>
    <row r="51" spans="1:45" x14ac:dyDescent="0.3">
      <c r="A51" s="138"/>
      <c r="B51" s="138"/>
      <c r="C51" s="138"/>
      <c r="D51" s="138"/>
      <c r="E51" s="138"/>
      <c r="F51" s="160"/>
      <c r="G51" s="138"/>
      <c r="H51" s="160"/>
      <c r="I51" s="138"/>
      <c r="J51" s="138"/>
      <c r="K51" s="138"/>
      <c r="L51" s="165"/>
      <c r="M51" s="165"/>
      <c r="N51" s="138"/>
      <c r="O51" s="138"/>
      <c r="R51" s="138"/>
      <c r="S51" s="138"/>
      <c r="T51" s="138"/>
      <c r="V51" s="138"/>
      <c r="W51" s="166"/>
      <c r="X51" s="138"/>
      <c r="Y51" s="166"/>
      <c r="AA51" s="138"/>
      <c r="AB51" s="138"/>
      <c r="AC51" s="168"/>
      <c r="AD51" s="160"/>
      <c r="AE51" s="160"/>
      <c r="AF51" s="160"/>
      <c r="AG51" s="160"/>
      <c r="AH51" s="160"/>
      <c r="AI51" s="166"/>
      <c r="AJ51" s="169"/>
      <c r="AK51" s="169"/>
      <c r="AL51" s="169"/>
      <c r="AM51" s="169"/>
      <c r="AN51" s="138"/>
      <c r="AO51" s="138"/>
      <c r="AP51" s="160"/>
      <c r="AQ51" s="160"/>
      <c r="AR51" s="160"/>
      <c r="AS51" s="160"/>
    </row>
    <row r="52" spans="1:45" x14ac:dyDescent="0.3">
      <c r="A52" s="138"/>
      <c r="B52" s="138"/>
      <c r="C52" s="138"/>
      <c r="D52" s="138"/>
      <c r="E52" s="138"/>
      <c r="F52" s="160"/>
      <c r="G52" s="138"/>
      <c r="H52" s="160"/>
      <c r="I52" s="138"/>
      <c r="J52" s="138"/>
      <c r="K52" s="138"/>
      <c r="L52" s="165"/>
      <c r="M52" s="165"/>
      <c r="N52" s="138"/>
      <c r="O52" s="138"/>
      <c r="R52" s="138"/>
      <c r="S52" s="138"/>
      <c r="T52" s="138"/>
      <c r="V52" s="138"/>
      <c r="W52" s="166"/>
      <c r="X52" s="138"/>
      <c r="Y52" s="166"/>
      <c r="AA52" s="138"/>
      <c r="AB52" s="138"/>
      <c r="AC52" s="168"/>
      <c r="AD52" s="160"/>
      <c r="AE52" s="160"/>
      <c r="AF52" s="160"/>
      <c r="AG52" s="160"/>
      <c r="AH52" s="160"/>
      <c r="AI52" s="166"/>
      <c r="AJ52" s="169"/>
      <c r="AK52" s="169"/>
      <c r="AL52" s="169"/>
      <c r="AM52" s="169"/>
      <c r="AN52" s="138"/>
      <c r="AO52" s="138"/>
      <c r="AP52" s="160"/>
      <c r="AQ52" s="160"/>
      <c r="AR52" s="160"/>
      <c r="AS52" s="160"/>
    </row>
    <row r="53" spans="1:45" x14ac:dyDescent="0.3">
      <c r="A53" s="138"/>
      <c r="B53" s="138"/>
      <c r="C53" s="138"/>
      <c r="D53" s="138"/>
      <c r="E53" s="138"/>
      <c r="F53" s="160"/>
      <c r="G53" s="138"/>
      <c r="H53" s="160"/>
      <c r="I53" s="138"/>
      <c r="J53" s="138"/>
      <c r="K53" s="138"/>
      <c r="L53" s="165"/>
      <c r="M53" s="165"/>
      <c r="N53" s="138"/>
      <c r="O53" s="138"/>
      <c r="R53" s="138"/>
      <c r="S53" s="138"/>
      <c r="T53" s="138"/>
      <c r="V53" s="138"/>
      <c r="W53" s="166"/>
      <c r="X53" s="138"/>
      <c r="Y53" s="166"/>
      <c r="AA53" s="138"/>
      <c r="AB53" s="138"/>
      <c r="AC53" s="168"/>
      <c r="AD53" s="160"/>
      <c r="AE53" s="160"/>
      <c r="AF53" s="160"/>
      <c r="AG53" s="160"/>
      <c r="AH53" s="160"/>
      <c r="AI53" s="166"/>
      <c r="AJ53" s="169"/>
      <c r="AK53" s="169"/>
      <c r="AL53" s="169"/>
      <c r="AM53" s="169"/>
      <c r="AN53" s="138"/>
      <c r="AO53" s="138"/>
      <c r="AP53" s="160"/>
      <c r="AQ53" s="160"/>
      <c r="AR53" s="160"/>
      <c r="AS53" s="160"/>
    </row>
    <row r="54" spans="1:45" x14ac:dyDescent="0.3">
      <c r="A54" s="138"/>
      <c r="B54" s="138"/>
      <c r="C54" s="138"/>
      <c r="D54" s="138"/>
      <c r="E54" s="138"/>
      <c r="F54" s="160"/>
      <c r="G54" s="138"/>
      <c r="H54" s="160"/>
      <c r="I54" s="138"/>
      <c r="J54" s="138"/>
      <c r="K54" s="138"/>
      <c r="L54" s="165"/>
      <c r="M54" s="165"/>
      <c r="N54" s="138"/>
      <c r="O54" s="138"/>
      <c r="R54" s="138"/>
      <c r="S54" s="138"/>
      <c r="T54" s="138"/>
      <c r="V54" s="138"/>
      <c r="W54" s="166"/>
      <c r="X54" s="138"/>
      <c r="Y54" s="166"/>
      <c r="AA54" s="138"/>
      <c r="AB54" s="138"/>
      <c r="AC54" s="168"/>
      <c r="AD54" s="160"/>
      <c r="AE54" s="160"/>
      <c r="AF54" s="160"/>
      <c r="AG54" s="160"/>
      <c r="AH54" s="160"/>
      <c r="AI54" s="166"/>
      <c r="AJ54" s="169"/>
      <c r="AK54" s="169"/>
      <c r="AL54" s="169"/>
      <c r="AM54" s="169"/>
      <c r="AN54" s="138"/>
      <c r="AO54" s="138"/>
      <c r="AP54" s="160"/>
      <c r="AQ54" s="160"/>
      <c r="AR54" s="160"/>
      <c r="AS54" s="160"/>
    </row>
    <row r="55" spans="1:45" x14ac:dyDescent="0.3">
      <c r="A55" s="138"/>
      <c r="B55" s="138"/>
      <c r="C55" s="138"/>
      <c r="D55" s="138"/>
      <c r="E55" s="138"/>
      <c r="F55" s="160"/>
      <c r="G55" s="138"/>
      <c r="H55" s="160"/>
      <c r="I55" s="138"/>
      <c r="J55" s="138"/>
      <c r="K55" s="138"/>
      <c r="L55" s="165"/>
      <c r="M55" s="165"/>
      <c r="N55" s="138"/>
      <c r="O55" s="138"/>
      <c r="R55" s="138"/>
      <c r="S55" s="138"/>
      <c r="T55" s="138"/>
      <c r="V55" s="138"/>
      <c r="W55" s="166"/>
      <c r="X55" s="138"/>
      <c r="Y55" s="166"/>
      <c r="AA55" s="138"/>
      <c r="AB55" s="138"/>
      <c r="AC55" s="168"/>
      <c r="AD55" s="160"/>
      <c r="AE55" s="160"/>
      <c r="AF55" s="160"/>
      <c r="AG55" s="160"/>
      <c r="AH55" s="160"/>
      <c r="AI55" s="166"/>
      <c r="AJ55" s="169"/>
      <c r="AK55" s="169"/>
      <c r="AL55" s="169"/>
      <c r="AM55" s="169"/>
      <c r="AN55" s="138"/>
      <c r="AO55" s="138"/>
      <c r="AP55" s="160"/>
      <c r="AQ55" s="160"/>
      <c r="AR55" s="160"/>
      <c r="AS55" s="160"/>
    </row>
    <row r="56" spans="1:45" x14ac:dyDescent="0.3">
      <c r="A56" s="138"/>
      <c r="B56" s="138"/>
      <c r="C56" s="138"/>
      <c r="D56" s="138"/>
      <c r="E56" s="138"/>
      <c r="F56" s="160"/>
      <c r="G56" s="138"/>
      <c r="H56" s="160"/>
      <c r="I56" s="138"/>
      <c r="J56" s="138"/>
      <c r="K56" s="138"/>
      <c r="L56" s="165"/>
      <c r="M56" s="165"/>
      <c r="N56" s="138"/>
      <c r="O56" s="138"/>
      <c r="R56" s="138"/>
      <c r="S56" s="138"/>
      <c r="T56" s="138"/>
      <c r="V56" s="138"/>
      <c r="W56" s="166"/>
      <c r="X56" s="138"/>
      <c r="Y56" s="166"/>
      <c r="AA56" s="138"/>
      <c r="AB56" s="138"/>
      <c r="AC56" s="168"/>
      <c r="AD56" s="160"/>
      <c r="AE56" s="160"/>
      <c r="AF56" s="160"/>
      <c r="AG56" s="160"/>
      <c r="AH56" s="160"/>
      <c r="AI56" s="166"/>
      <c r="AJ56" s="169"/>
      <c r="AK56" s="169"/>
      <c r="AL56" s="169"/>
      <c r="AM56" s="169"/>
      <c r="AN56" s="138"/>
      <c r="AO56" s="138"/>
      <c r="AP56" s="160"/>
      <c r="AQ56" s="160"/>
      <c r="AR56" s="160"/>
      <c r="AS56" s="160"/>
    </row>
    <row r="57" spans="1:45" x14ac:dyDescent="0.3">
      <c r="A57" s="138"/>
      <c r="B57" s="138"/>
      <c r="C57" s="138"/>
      <c r="D57" s="138"/>
      <c r="E57" s="138"/>
      <c r="F57" s="160"/>
      <c r="G57" s="138"/>
      <c r="H57" s="160"/>
      <c r="I57" s="138"/>
      <c r="J57" s="138"/>
      <c r="K57" s="138"/>
      <c r="L57" s="165"/>
      <c r="M57" s="165"/>
      <c r="N57" s="138"/>
      <c r="O57" s="138"/>
      <c r="R57" s="138"/>
      <c r="S57" s="138"/>
      <c r="T57" s="138"/>
      <c r="V57" s="138"/>
      <c r="W57" s="166"/>
      <c r="X57" s="138"/>
      <c r="Y57" s="166"/>
      <c r="AA57" s="138"/>
      <c r="AB57" s="138"/>
      <c r="AC57" s="168"/>
      <c r="AD57" s="160"/>
      <c r="AE57" s="160"/>
      <c r="AF57" s="160"/>
      <c r="AG57" s="160"/>
      <c r="AH57" s="160"/>
      <c r="AI57" s="166"/>
      <c r="AJ57" s="169"/>
      <c r="AK57" s="169"/>
      <c r="AL57" s="169"/>
      <c r="AM57" s="169"/>
      <c r="AN57" s="138"/>
      <c r="AO57" s="138"/>
      <c r="AP57" s="160"/>
      <c r="AQ57" s="160"/>
      <c r="AR57" s="160"/>
      <c r="AS57" s="160"/>
    </row>
    <row r="58" spans="1:45" x14ac:dyDescent="0.3">
      <c r="A58" s="138"/>
      <c r="B58" s="138"/>
      <c r="C58" s="138"/>
      <c r="D58" s="138"/>
      <c r="E58" s="138"/>
      <c r="F58" s="160"/>
      <c r="G58" s="138"/>
      <c r="H58" s="160"/>
      <c r="I58" s="138"/>
      <c r="J58" s="138"/>
      <c r="K58" s="138"/>
      <c r="L58" s="165"/>
      <c r="M58" s="165"/>
      <c r="N58" s="138"/>
      <c r="O58" s="138"/>
      <c r="R58" s="138"/>
      <c r="S58" s="138"/>
      <c r="T58" s="138"/>
      <c r="V58" s="138"/>
      <c r="W58" s="166"/>
      <c r="X58" s="138"/>
      <c r="Y58" s="166"/>
      <c r="AA58" s="138"/>
      <c r="AB58" s="138"/>
      <c r="AC58" s="168"/>
      <c r="AD58" s="160"/>
      <c r="AE58" s="160"/>
      <c r="AF58" s="160"/>
      <c r="AG58" s="160"/>
      <c r="AH58" s="160"/>
      <c r="AI58" s="166"/>
      <c r="AJ58" s="169"/>
      <c r="AK58" s="169"/>
      <c r="AL58" s="169"/>
      <c r="AM58" s="169"/>
      <c r="AN58" s="138"/>
      <c r="AO58" s="138"/>
      <c r="AP58" s="160"/>
      <c r="AQ58" s="160"/>
      <c r="AR58" s="160"/>
      <c r="AS58" s="160"/>
    </row>
    <row r="59" spans="1:45" x14ac:dyDescent="0.3">
      <c r="A59" s="138"/>
      <c r="B59" s="138"/>
      <c r="C59" s="138"/>
      <c r="D59" s="138"/>
      <c r="E59" s="138"/>
      <c r="F59" s="160"/>
      <c r="G59" s="138"/>
      <c r="H59" s="160"/>
      <c r="I59" s="138"/>
      <c r="J59" s="138"/>
      <c r="K59" s="138"/>
      <c r="L59" s="165"/>
      <c r="M59" s="165"/>
      <c r="N59" s="138"/>
      <c r="O59" s="138"/>
      <c r="R59" s="138"/>
      <c r="S59" s="138"/>
      <c r="T59" s="138"/>
      <c r="V59" s="138"/>
      <c r="W59" s="166"/>
      <c r="X59" s="138"/>
      <c r="Y59" s="166"/>
      <c r="AA59" s="138"/>
      <c r="AB59" s="138"/>
      <c r="AC59" s="168"/>
      <c r="AD59" s="160"/>
      <c r="AE59" s="160"/>
      <c r="AF59" s="160"/>
      <c r="AG59" s="160"/>
      <c r="AH59" s="160"/>
      <c r="AI59" s="166"/>
      <c r="AJ59" s="169"/>
      <c r="AK59" s="169"/>
      <c r="AL59" s="169"/>
      <c r="AM59" s="169"/>
      <c r="AN59" s="138"/>
      <c r="AO59" s="138"/>
      <c r="AP59" s="160"/>
      <c r="AQ59" s="160"/>
      <c r="AR59" s="160"/>
      <c r="AS59" s="160"/>
    </row>
    <row r="60" spans="1:45" x14ac:dyDescent="0.3">
      <c r="A60" s="138"/>
      <c r="B60" s="138"/>
      <c r="C60" s="138"/>
      <c r="D60" s="138"/>
      <c r="E60" s="138"/>
      <c r="F60" s="160"/>
      <c r="G60" s="138"/>
      <c r="H60" s="160"/>
      <c r="I60" s="138"/>
      <c r="J60" s="138"/>
      <c r="K60" s="138"/>
      <c r="L60" s="165"/>
      <c r="M60" s="165"/>
      <c r="N60" s="138"/>
      <c r="O60" s="138"/>
      <c r="R60" s="138"/>
      <c r="S60" s="138"/>
      <c r="T60" s="138"/>
      <c r="V60" s="138"/>
      <c r="W60" s="166"/>
      <c r="X60" s="138"/>
      <c r="Y60" s="166"/>
      <c r="AA60" s="138"/>
      <c r="AB60" s="138"/>
      <c r="AC60" s="168"/>
      <c r="AD60" s="160"/>
      <c r="AE60" s="160"/>
      <c r="AF60" s="160"/>
      <c r="AG60" s="160"/>
      <c r="AH60" s="160"/>
      <c r="AI60" s="166"/>
      <c r="AJ60" s="169"/>
      <c r="AK60" s="169"/>
      <c r="AL60" s="169"/>
      <c r="AM60" s="169"/>
      <c r="AN60" s="138"/>
      <c r="AO60" s="138"/>
      <c r="AP60" s="160"/>
      <c r="AQ60" s="160"/>
      <c r="AR60" s="160"/>
      <c r="AS60" s="160"/>
    </row>
    <row r="61" spans="1:45" x14ac:dyDescent="0.3">
      <c r="A61" s="138"/>
      <c r="B61" s="138"/>
      <c r="C61" s="138"/>
      <c r="D61" s="138"/>
      <c r="E61" s="138"/>
      <c r="F61" s="160"/>
      <c r="G61" s="138"/>
      <c r="H61" s="160"/>
      <c r="I61" s="138"/>
      <c r="J61" s="138"/>
      <c r="K61" s="138"/>
      <c r="L61" s="165"/>
      <c r="M61" s="165"/>
      <c r="N61" s="138"/>
      <c r="O61" s="138"/>
      <c r="R61" s="138"/>
      <c r="S61" s="138"/>
      <c r="T61" s="138"/>
      <c r="V61" s="138"/>
      <c r="W61" s="166"/>
      <c r="X61" s="138"/>
      <c r="Y61" s="166"/>
      <c r="AA61" s="138"/>
      <c r="AB61" s="138"/>
      <c r="AC61" s="168"/>
      <c r="AD61" s="160"/>
      <c r="AE61" s="160"/>
      <c r="AF61" s="160"/>
      <c r="AG61" s="160"/>
      <c r="AH61" s="160"/>
      <c r="AI61" s="166"/>
      <c r="AJ61" s="169"/>
      <c r="AK61" s="169"/>
      <c r="AL61" s="169"/>
      <c r="AM61" s="169"/>
      <c r="AN61" s="138"/>
      <c r="AO61" s="138"/>
      <c r="AP61" s="160"/>
      <c r="AQ61" s="160"/>
      <c r="AR61" s="160"/>
      <c r="AS61" s="160"/>
    </row>
    <row r="62" spans="1:45" x14ac:dyDescent="0.3">
      <c r="A62" s="138"/>
      <c r="B62" s="138"/>
      <c r="C62" s="138"/>
      <c r="D62" s="138"/>
      <c r="E62" s="138"/>
      <c r="F62" s="160"/>
      <c r="G62" s="138"/>
      <c r="H62" s="160"/>
      <c r="I62" s="138"/>
      <c r="J62" s="138"/>
      <c r="K62" s="138"/>
      <c r="L62" s="165"/>
      <c r="M62" s="165"/>
      <c r="N62" s="138"/>
      <c r="O62" s="138"/>
      <c r="R62" s="138"/>
      <c r="S62" s="138"/>
      <c r="T62" s="138"/>
      <c r="V62" s="138"/>
      <c r="W62" s="166"/>
      <c r="X62" s="138"/>
      <c r="Y62" s="166"/>
      <c r="AA62" s="138"/>
      <c r="AB62" s="138"/>
      <c r="AC62" s="168"/>
      <c r="AD62" s="160"/>
      <c r="AE62" s="160"/>
      <c r="AF62" s="160"/>
      <c r="AG62" s="160"/>
      <c r="AH62" s="160"/>
      <c r="AI62" s="166"/>
      <c r="AJ62" s="169"/>
      <c r="AK62" s="169"/>
      <c r="AL62" s="169"/>
      <c r="AM62" s="169"/>
      <c r="AN62" s="138"/>
      <c r="AO62" s="138"/>
      <c r="AP62" s="160"/>
      <c r="AQ62" s="160"/>
      <c r="AR62" s="160"/>
      <c r="AS62" s="160"/>
    </row>
    <row r="63" spans="1:45" x14ac:dyDescent="0.3">
      <c r="A63" s="138"/>
      <c r="B63" s="138"/>
      <c r="C63" s="138"/>
      <c r="D63" s="138"/>
      <c r="E63" s="138"/>
      <c r="F63" s="160"/>
      <c r="G63" s="138"/>
      <c r="H63" s="160"/>
      <c r="I63" s="138"/>
      <c r="J63" s="138"/>
      <c r="K63" s="138"/>
      <c r="L63" s="165"/>
      <c r="M63" s="165"/>
      <c r="N63" s="138"/>
      <c r="O63" s="138"/>
      <c r="R63" s="138"/>
      <c r="S63" s="138"/>
      <c r="T63" s="138"/>
      <c r="V63" s="138"/>
      <c r="W63" s="166"/>
      <c r="X63" s="138"/>
      <c r="Y63" s="166"/>
      <c r="AA63" s="138"/>
      <c r="AB63" s="138"/>
      <c r="AC63" s="168"/>
      <c r="AD63" s="160"/>
      <c r="AE63" s="160"/>
      <c r="AF63" s="160"/>
      <c r="AG63" s="160"/>
      <c r="AH63" s="160"/>
      <c r="AI63" s="166"/>
      <c r="AJ63" s="169"/>
      <c r="AK63" s="169"/>
      <c r="AL63" s="169"/>
      <c r="AM63" s="169"/>
      <c r="AN63" s="138"/>
      <c r="AO63" s="138"/>
      <c r="AP63" s="160"/>
      <c r="AQ63" s="160"/>
      <c r="AR63" s="160"/>
      <c r="AS63" s="160"/>
    </row>
    <row r="64" spans="1:45" x14ac:dyDescent="0.3">
      <c r="A64" s="138"/>
      <c r="B64" s="138"/>
      <c r="C64" s="138"/>
      <c r="D64" s="138"/>
      <c r="E64" s="138"/>
      <c r="F64" s="160"/>
      <c r="G64" s="138"/>
      <c r="H64" s="160"/>
      <c r="I64" s="138"/>
      <c r="J64" s="138"/>
      <c r="K64" s="138"/>
      <c r="L64" s="165"/>
      <c r="M64" s="165"/>
      <c r="N64" s="138"/>
      <c r="O64" s="138"/>
      <c r="R64" s="138"/>
      <c r="S64" s="138"/>
      <c r="T64" s="138"/>
      <c r="V64" s="138"/>
      <c r="W64" s="166"/>
      <c r="X64" s="138"/>
      <c r="Y64" s="166"/>
      <c r="AA64" s="138"/>
      <c r="AB64" s="138"/>
      <c r="AC64" s="168"/>
      <c r="AD64" s="160"/>
      <c r="AE64" s="160"/>
      <c r="AF64" s="160"/>
      <c r="AG64" s="160"/>
      <c r="AH64" s="160"/>
      <c r="AI64" s="166"/>
      <c r="AJ64" s="169"/>
      <c r="AK64" s="169"/>
      <c r="AL64" s="169"/>
      <c r="AM64" s="169"/>
      <c r="AN64" s="138"/>
      <c r="AO64" s="138"/>
      <c r="AP64" s="160"/>
      <c r="AQ64" s="160"/>
      <c r="AR64" s="160"/>
      <c r="AS64" s="160"/>
    </row>
    <row r="65" spans="1:45" x14ac:dyDescent="0.3">
      <c r="A65" s="138"/>
      <c r="B65" s="138"/>
      <c r="C65" s="138"/>
      <c r="D65" s="138"/>
      <c r="E65" s="138"/>
      <c r="F65" s="160"/>
      <c r="G65" s="138"/>
      <c r="H65" s="160"/>
      <c r="I65" s="138"/>
      <c r="J65" s="138"/>
      <c r="K65" s="138"/>
      <c r="L65" s="165"/>
      <c r="M65" s="165"/>
      <c r="N65" s="138"/>
      <c r="O65" s="138"/>
      <c r="R65" s="138"/>
      <c r="S65" s="138"/>
      <c r="T65" s="138"/>
      <c r="V65" s="138"/>
      <c r="W65" s="166"/>
      <c r="X65" s="138"/>
      <c r="Y65" s="166"/>
      <c r="AA65" s="138"/>
      <c r="AB65" s="138"/>
      <c r="AC65" s="168"/>
      <c r="AD65" s="160"/>
      <c r="AE65" s="160"/>
      <c r="AF65" s="160"/>
      <c r="AG65" s="160"/>
      <c r="AH65" s="160"/>
      <c r="AI65" s="166"/>
      <c r="AJ65" s="169"/>
      <c r="AK65" s="169"/>
      <c r="AL65" s="169"/>
      <c r="AM65" s="169"/>
      <c r="AN65" s="138"/>
      <c r="AO65" s="138"/>
      <c r="AP65" s="160"/>
      <c r="AQ65" s="160"/>
      <c r="AR65" s="160"/>
      <c r="AS65" s="160"/>
    </row>
    <row r="66" spans="1:45" x14ac:dyDescent="0.3">
      <c r="A66" s="138"/>
      <c r="B66" s="138"/>
      <c r="C66" s="138"/>
      <c r="D66" s="138"/>
      <c r="E66" s="138"/>
      <c r="F66" s="160"/>
      <c r="G66" s="138"/>
      <c r="H66" s="160"/>
      <c r="I66" s="138"/>
      <c r="J66" s="138"/>
      <c r="K66" s="138"/>
      <c r="L66" s="165"/>
      <c r="M66" s="165"/>
      <c r="N66" s="138"/>
      <c r="O66" s="138"/>
      <c r="R66" s="138"/>
      <c r="S66" s="138"/>
      <c r="T66" s="138"/>
      <c r="V66" s="138"/>
      <c r="W66" s="166"/>
      <c r="X66" s="138"/>
      <c r="Y66" s="166"/>
      <c r="AA66" s="138"/>
      <c r="AB66" s="138"/>
      <c r="AC66" s="168"/>
      <c r="AD66" s="160"/>
      <c r="AE66" s="160"/>
      <c r="AF66" s="160"/>
      <c r="AG66" s="160"/>
      <c r="AH66" s="160"/>
      <c r="AI66" s="166"/>
      <c r="AJ66" s="169"/>
      <c r="AK66" s="169"/>
      <c r="AL66" s="169"/>
      <c r="AM66" s="169"/>
      <c r="AN66" s="138"/>
      <c r="AO66" s="138"/>
      <c r="AP66" s="160"/>
      <c r="AQ66" s="160"/>
      <c r="AR66" s="160"/>
      <c r="AS66" s="160"/>
    </row>
    <row r="67" spans="1:45" x14ac:dyDescent="0.3">
      <c r="A67" s="138"/>
      <c r="B67" s="138"/>
      <c r="C67" s="138"/>
      <c r="D67" s="138"/>
      <c r="E67" s="138"/>
      <c r="F67" s="160"/>
      <c r="G67" s="138"/>
      <c r="H67" s="160"/>
      <c r="I67" s="138"/>
      <c r="J67" s="138"/>
      <c r="K67" s="138"/>
      <c r="L67" s="165"/>
      <c r="M67" s="165"/>
      <c r="N67" s="138"/>
      <c r="O67" s="138"/>
      <c r="R67" s="138"/>
      <c r="S67" s="138"/>
      <c r="T67" s="138"/>
      <c r="V67" s="138"/>
      <c r="W67" s="166"/>
      <c r="X67" s="138"/>
      <c r="Y67" s="166"/>
      <c r="AA67" s="138"/>
      <c r="AB67" s="138"/>
      <c r="AC67" s="168"/>
      <c r="AD67" s="160"/>
      <c r="AE67" s="160"/>
      <c r="AF67" s="160"/>
      <c r="AG67" s="160"/>
      <c r="AH67" s="160"/>
      <c r="AI67" s="166"/>
      <c r="AJ67" s="169"/>
      <c r="AK67" s="169"/>
      <c r="AL67" s="169"/>
      <c r="AM67" s="169"/>
      <c r="AN67" s="138"/>
      <c r="AO67" s="138"/>
      <c r="AP67" s="160"/>
      <c r="AQ67" s="160"/>
      <c r="AR67" s="160"/>
      <c r="AS67" s="160"/>
    </row>
    <row r="68" spans="1:45" x14ac:dyDescent="0.3">
      <c r="A68" s="138"/>
      <c r="B68" s="138"/>
      <c r="C68" s="138"/>
      <c r="D68" s="138"/>
      <c r="E68" s="138"/>
      <c r="F68" s="160"/>
      <c r="G68" s="138"/>
      <c r="H68" s="160"/>
      <c r="I68" s="138"/>
      <c r="J68" s="138"/>
      <c r="K68" s="138"/>
      <c r="L68" s="165"/>
      <c r="M68" s="165"/>
      <c r="N68" s="138"/>
      <c r="O68" s="138"/>
      <c r="R68" s="138"/>
      <c r="S68" s="138"/>
      <c r="T68" s="138"/>
      <c r="V68" s="138"/>
      <c r="W68" s="166"/>
      <c r="X68" s="138"/>
      <c r="Y68" s="166"/>
      <c r="AA68" s="138"/>
      <c r="AB68" s="138"/>
      <c r="AC68" s="168"/>
      <c r="AD68" s="160"/>
      <c r="AE68" s="160"/>
      <c r="AF68" s="160"/>
      <c r="AG68" s="160"/>
      <c r="AH68" s="160"/>
      <c r="AI68" s="166"/>
      <c r="AJ68" s="169"/>
      <c r="AK68" s="169"/>
      <c r="AL68" s="169"/>
      <c r="AM68" s="169"/>
      <c r="AN68" s="138"/>
      <c r="AO68" s="138"/>
      <c r="AP68" s="160"/>
      <c r="AQ68" s="160"/>
      <c r="AR68" s="160"/>
      <c r="AS68" s="160"/>
    </row>
    <row r="69" spans="1:45" x14ac:dyDescent="0.3">
      <c r="A69" s="138"/>
      <c r="B69" s="138"/>
      <c r="C69" s="138"/>
      <c r="D69" s="138"/>
      <c r="E69" s="138"/>
      <c r="F69" s="160"/>
      <c r="G69" s="138"/>
      <c r="H69" s="160"/>
      <c r="I69" s="138"/>
      <c r="J69" s="138"/>
      <c r="K69" s="138"/>
      <c r="L69" s="165"/>
      <c r="M69" s="165"/>
      <c r="N69" s="138"/>
      <c r="O69" s="138"/>
      <c r="R69" s="138"/>
      <c r="S69" s="138"/>
      <c r="T69" s="138"/>
      <c r="V69" s="138"/>
      <c r="W69" s="166"/>
      <c r="X69" s="138"/>
      <c r="Y69" s="166"/>
      <c r="AA69" s="138"/>
      <c r="AB69" s="138"/>
      <c r="AC69" s="168"/>
      <c r="AD69" s="160"/>
      <c r="AE69" s="160"/>
      <c r="AF69" s="160"/>
      <c r="AG69" s="160"/>
      <c r="AH69" s="160"/>
      <c r="AI69" s="166"/>
      <c r="AJ69" s="169"/>
      <c r="AK69" s="169"/>
      <c r="AL69" s="169"/>
      <c r="AM69" s="169"/>
      <c r="AN69" s="138"/>
      <c r="AO69" s="138"/>
      <c r="AP69" s="160"/>
      <c r="AQ69" s="160"/>
      <c r="AR69" s="160"/>
      <c r="AS69" s="160"/>
    </row>
    <row r="70" spans="1:45" x14ac:dyDescent="0.3">
      <c r="A70" s="138"/>
      <c r="B70" s="138"/>
      <c r="C70" s="138"/>
      <c r="D70" s="138"/>
      <c r="E70" s="138"/>
      <c r="F70" s="160"/>
      <c r="G70" s="138"/>
      <c r="H70" s="160"/>
      <c r="I70" s="138"/>
      <c r="J70" s="138"/>
      <c r="K70" s="138"/>
      <c r="L70" s="165"/>
      <c r="M70" s="165"/>
      <c r="N70" s="138"/>
      <c r="O70" s="138"/>
      <c r="R70" s="138"/>
      <c r="S70" s="138"/>
      <c r="T70" s="138"/>
      <c r="V70" s="138"/>
      <c r="W70" s="166"/>
      <c r="X70" s="138"/>
      <c r="Y70" s="166"/>
      <c r="AA70" s="138"/>
      <c r="AB70" s="138"/>
      <c r="AC70" s="168"/>
      <c r="AD70" s="160"/>
      <c r="AE70" s="160"/>
      <c r="AF70" s="160"/>
      <c r="AG70" s="160"/>
      <c r="AH70" s="160"/>
      <c r="AI70" s="166"/>
      <c r="AJ70" s="169"/>
      <c r="AK70" s="169"/>
      <c r="AL70" s="169"/>
      <c r="AM70" s="169"/>
      <c r="AN70" s="138"/>
      <c r="AO70" s="138"/>
      <c r="AP70" s="160"/>
      <c r="AQ70" s="160"/>
      <c r="AR70" s="160"/>
      <c r="AS70" s="160"/>
    </row>
    <row r="71" spans="1:45" x14ac:dyDescent="0.3">
      <c r="A71" s="138"/>
      <c r="B71" s="138"/>
      <c r="C71" s="138"/>
      <c r="D71" s="138"/>
      <c r="E71" s="138"/>
      <c r="F71" s="160"/>
      <c r="G71" s="138"/>
      <c r="H71" s="160"/>
      <c r="I71" s="138"/>
      <c r="J71" s="138"/>
      <c r="K71" s="138"/>
      <c r="L71" s="165"/>
      <c r="M71" s="165"/>
      <c r="N71" s="138"/>
      <c r="O71" s="138"/>
      <c r="R71" s="138"/>
      <c r="S71" s="138"/>
      <c r="T71" s="138"/>
      <c r="V71" s="138"/>
      <c r="W71" s="166"/>
      <c r="X71" s="138"/>
      <c r="Y71" s="166"/>
      <c r="AA71" s="138"/>
      <c r="AB71" s="138"/>
      <c r="AC71" s="168"/>
      <c r="AD71" s="160"/>
      <c r="AE71" s="160"/>
      <c r="AF71" s="160"/>
      <c r="AG71" s="160"/>
      <c r="AH71" s="160"/>
      <c r="AI71" s="166"/>
      <c r="AJ71" s="169"/>
      <c r="AK71" s="169"/>
      <c r="AL71" s="169"/>
      <c r="AM71" s="169"/>
      <c r="AN71" s="138"/>
      <c r="AO71" s="138"/>
      <c r="AP71" s="160"/>
      <c r="AQ71" s="160"/>
      <c r="AR71" s="160"/>
      <c r="AS71" s="160"/>
    </row>
    <row r="72" spans="1:45" x14ac:dyDescent="0.3">
      <c r="A72" s="138"/>
      <c r="B72" s="138"/>
      <c r="C72" s="138"/>
      <c r="D72" s="138"/>
      <c r="E72" s="138"/>
      <c r="F72" s="160"/>
      <c r="G72" s="138"/>
      <c r="H72" s="160"/>
      <c r="I72" s="138"/>
      <c r="J72" s="138"/>
      <c r="K72" s="138"/>
      <c r="L72" s="165"/>
      <c r="M72" s="165"/>
      <c r="N72" s="138"/>
      <c r="O72" s="138"/>
      <c r="R72" s="138"/>
      <c r="S72" s="138"/>
      <c r="T72" s="138"/>
      <c r="V72" s="138"/>
      <c r="W72" s="166"/>
      <c r="X72" s="138"/>
      <c r="Y72" s="166"/>
      <c r="AA72" s="138"/>
      <c r="AB72" s="138"/>
      <c r="AC72" s="168"/>
      <c r="AD72" s="160"/>
      <c r="AE72" s="160"/>
      <c r="AF72" s="160"/>
      <c r="AG72" s="160"/>
      <c r="AH72" s="160"/>
      <c r="AI72" s="166"/>
      <c r="AJ72" s="169"/>
      <c r="AK72" s="169"/>
      <c r="AL72" s="169"/>
      <c r="AM72" s="169"/>
      <c r="AN72" s="138"/>
      <c r="AO72" s="138"/>
      <c r="AP72" s="160"/>
      <c r="AQ72" s="160"/>
      <c r="AR72" s="160"/>
      <c r="AS72" s="160"/>
    </row>
    <row r="73" spans="1:45" x14ac:dyDescent="0.3">
      <c r="A73" s="138"/>
      <c r="B73" s="138"/>
      <c r="C73" s="138"/>
      <c r="D73" s="138"/>
      <c r="E73" s="138"/>
      <c r="F73" s="160"/>
      <c r="G73" s="138"/>
      <c r="H73" s="160"/>
      <c r="I73" s="138"/>
      <c r="J73" s="138"/>
      <c r="K73" s="138"/>
      <c r="L73" s="165"/>
      <c r="M73" s="165"/>
      <c r="N73" s="138"/>
      <c r="O73" s="138"/>
      <c r="R73" s="138"/>
      <c r="S73" s="138"/>
      <c r="T73" s="138"/>
      <c r="V73" s="138"/>
      <c r="W73" s="166"/>
      <c r="X73" s="138"/>
      <c r="Y73" s="166"/>
      <c r="AA73" s="138"/>
      <c r="AB73" s="138"/>
      <c r="AC73" s="168"/>
      <c r="AD73" s="160"/>
      <c r="AE73" s="160"/>
      <c r="AF73" s="160"/>
      <c r="AG73" s="160"/>
      <c r="AH73" s="160"/>
      <c r="AI73" s="166"/>
      <c r="AJ73" s="169"/>
      <c r="AK73" s="169"/>
      <c r="AL73" s="169"/>
      <c r="AM73" s="169"/>
      <c r="AN73" s="138"/>
      <c r="AO73" s="138"/>
      <c r="AP73" s="160"/>
      <c r="AQ73" s="160"/>
      <c r="AR73" s="160"/>
      <c r="AS73" s="160"/>
    </row>
    <row r="74" spans="1:45" x14ac:dyDescent="0.3">
      <c r="A74" s="138"/>
      <c r="B74" s="138"/>
      <c r="C74" s="138"/>
      <c r="D74" s="138"/>
      <c r="E74" s="138"/>
      <c r="F74" s="160"/>
      <c r="G74" s="138"/>
      <c r="H74" s="160"/>
      <c r="I74" s="138"/>
      <c r="J74" s="138"/>
      <c r="K74" s="138"/>
      <c r="L74" s="165"/>
      <c r="M74" s="165"/>
      <c r="N74" s="138"/>
      <c r="O74" s="138"/>
      <c r="R74" s="138"/>
      <c r="S74" s="138"/>
      <c r="T74" s="138"/>
      <c r="V74" s="138"/>
      <c r="W74" s="166"/>
      <c r="X74" s="138"/>
      <c r="Y74" s="166"/>
      <c r="AA74" s="138"/>
      <c r="AB74" s="138"/>
      <c r="AC74" s="168"/>
      <c r="AD74" s="160"/>
      <c r="AE74" s="160"/>
      <c r="AF74" s="160"/>
      <c r="AG74" s="160"/>
      <c r="AH74" s="160"/>
      <c r="AI74" s="166"/>
      <c r="AJ74" s="169"/>
      <c r="AK74" s="169"/>
      <c r="AL74" s="169"/>
      <c r="AM74" s="169"/>
      <c r="AN74" s="138"/>
      <c r="AO74" s="138"/>
      <c r="AP74" s="160"/>
      <c r="AQ74" s="160"/>
      <c r="AR74" s="160"/>
      <c r="AS74" s="160"/>
    </row>
    <row r="75" spans="1:45" x14ac:dyDescent="0.3">
      <c r="A75" s="138"/>
      <c r="B75" s="138"/>
      <c r="C75" s="138"/>
      <c r="D75" s="138"/>
      <c r="E75" s="138"/>
      <c r="F75" s="160"/>
      <c r="G75" s="138"/>
      <c r="H75" s="160"/>
      <c r="I75" s="138"/>
      <c r="J75" s="138"/>
      <c r="K75" s="138"/>
      <c r="L75" s="165"/>
      <c r="M75" s="165"/>
      <c r="N75" s="138"/>
      <c r="O75" s="138"/>
      <c r="R75" s="138"/>
      <c r="S75" s="138"/>
      <c r="T75" s="138"/>
      <c r="V75" s="138"/>
      <c r="W75" s="166"/>
      <c r="X75" s="138"/>
      <c r="Y75" s="166"/>
      <c r="AA75" s="138"/>
      <c r="AB75" s="138"/>
      <c r="AC75" s="168"/>
      <c r="AD75" s="160"/>
      <c r="AE75" s="160"/>
      <c r="AF75" s="160"/>
      <c r="AG75" s="160"/>
      <c r="AH75" s="160"/>
      <c r="AI75" s="166"/>
      <c r="AJ75" s="169"/>
      <c r="AK75" s="169"/>
      <c r="AL75" s="169"/>
      <c r="AM75" s="169"/>
      <c r="AN75" s="138"/>
      <c r="AO75" s="138"/>
      <c r="AP75" s="160"/>
      <c r="AQ75" s="160"/>
      <c r="AR75" s="160"/>
      <c r="AS75" s="160"/>
    </row>
    <row r="76" spans="1:45" x14ac:dyDescent="0.3">
      <c r="A76" s="138"/>
      <c r="B76" s="138"/>
      <c r="C76" s="138"/>
      <c r="D76" s="138"/>
      <c r="E76" s="138"/>
      <c r="F76" s="160"/>
      <c r="G76" s="138"/>
      <c r="H76" s="160"/>
      <c r="I76" s="138"/>
      <c r="J76" s="138"/>
      <c r="K76" s="138"/>
      <c r="L76" s="165"/>
      <c r="M76" s="165"/>
      <c r="N76" s="138"/>
      <c r="O76" s="138"/>
      <c r="R76" s="138"/>
      <c r="S76" s="138"/>
      <c r="T76" s="138"/>
      <c r="V76" s="138"/>
      <c r="W76" s="166"/>
      <c r="X76" s="138"/>
      <c r="Y76" s="166"/>
      <c r="AA76" s="138"/>
      <c r="AB76" s="138"/>
      <c r="AC76" s="168"/>
      <c r="AD76" s="160"/>
      <c r="AE76" s="160"/>
      <c r="AF76" s="160"/>
      <c r="AG76" s="160"/>
      <c r="AH76" s="160"/>
      <c r="AI76" s="166"/>
      <c r="AJ76" s="169"/>
      <c r="AK76" s="169"/>
      <c r="AL76" s="169"/>
      <c r="AM76" s="169"/>
      <c r="AN76" s="138"/>
      <c r="AO76" s="138"/>
      <c r="AP76" s="160"/>
      <c r="AQ76" s="160"/>
      <c r="AR76" s="160"/>
      <c r="AS76" s="160"/>
    </row>
    <row r="77" spans="1:45" x14ac:dyDescent="0.3">
      <c r="A77" s="138"/>
      <c r="B77" s="138"/>
      <c r="C77" s="138"/>
      <c r="D77" s="138"/>
      <c r="E77" s="138"/>
      <c r="F77" s="160"/>
      <c r="G77" s="138"/>
      <c r="H77" s="160"/>
      <c r="I77" s="138"/>
      <c r="J77" s="138"/>
      <c r="K77" s="138"/>
      <c r="L77" s="165"/>
      <c r="M77" s="165"/>
      <c r="N77" s="138"/>
      <c r="O77" s="138"/>
      <c r="R77" s="138"/>
      <c r="S77" s="138"/>
      <c r="T77" s="138"/>
      <c r="V77" s="138"/>
      <c r="W77" s="166"/>
      <c r="X77" s="138"/>
      <c r="Y77" s="166"/>
      <c r="AA77" s="138"/>
      <c r="AB77" s="138"/>
      <c r="AC77" s="168"/>
      <c r="AD77" s="160"/>
      <c r="AE77" s="160"/>
      <c r="AF77" s="160"/>
      <c r="AG77" s="160"/>
      <c r="AH77" s="160"/>
      <c r="AI77" s="166"/>
      <c r="AJ77" s="169"/>
      <c r="AK77" s="169"/>
      <c r="AL77" s="169"/>
      <c r="AM77" s="169"/>
      <c r="AN77" s="138"/>
      <c r="AO77" s="138"/>
      <c r="AP77" s="160"/>
      <c r="AQ77" s="160"/>
      <c r="AR77" s="160"/>
      <c r="AS77" s="160"/>
    </row>
    <row r="78" spans="1:45" x14ac:dyDescent="0.3">
      <c r="A78" s="138"/>
      <c r="B78" s="138"/>
      <c r="C78" s="138"/>
      <c r="D78" s="138"/>
      <c r="E78" s="138"/>
      <c r="F78" s="160"/>
      <c r="G78" s="138"/>
      <c r="H78" s="160"/>
      <c r="I78" s="138"/>
      <c r="J78" s="138"/>
      <c r="K78" s="138"/>
      <c r="L78" s="165"/>
      <c r="M78" s="165"/>
      <c r="N78" s="138"/>
      <c r="O78" s="138"/>
      <c r="R78" s="138"/>
      <c r="S78" s="138"/>
      <c r="T78" s="138"/>
      <c r="V78" s="138"/>
      <c r="W78" s="166"/>
      <c r="X78" s="138"/>
      <c r="Y78" s="166"/>
      <c r="AA78" s="138"/>
      <c r="AB78" s="138"/>
      <c r="AC78" s="168"/>
      <c r="AD78" s="160"/>
      <c r="AE78" s="160"/>
      <c r="AF78" s="160"/>
      <c r="AG78" s="160"/>
      <c r="AH78" s="160"/>
      <c r="AI78" s="166"/>
      <c r="AJ78" s="169"/>
      <c r="AK78" s="169"/>
      <c r="AL78" s="169"/>
      <c r="AM78" s="169"/>
      <c r="AN78" s="138"/>
      <c r="AO78" s="138"/>
      <c r="AP78" s="160"/>
      <c r="AQ78" s="160"/>
      <c r="AR78" s="160"/>
      <c r="AS78" s="160"/>
    </row>
    <row r="79" spans="1:45" x14ac:dyDescent="0.3">
      <c r="A79" s="138"/>
      <c r="B79" s="138"/>
      <c r="C79" s="138"/>
      <c r="D79" s="138"/>
      <c r="E79" s="138"/>
      <c r="F79" s="160"/>
      <c r="G79" s="138"/>
      <c r="H79" s="160"/>
      <c r="I79" s="138"/>
      <c r="J79" s="138"/>
      <c r="K79" s="138"/>
      <c r="L79" s="165"/>
      <c r="M79" s="165"/>
      <c r="N79" s="138"/>
      <c r="O79" s="138"/>
      <c r="R79" s="138"/>
      <c r="S79" s="138"/>
      <c r="T79" s="138"/>
      <c r="V79" s="138"/>
      <c r="W79" s="166"/>
      <c r="X79" s="138"/>
      <c r="Y79" s="166"/>
      <c r="AA79" s="138"/>
      <c r="AB79" s="138"/>
      <c r="AC79" s="168"/>
      <c r="AD79" s="160"/>
      <c r="AE79" s="160"/>
      <c r="AF79" s="160"/>
      <c r="AG79" s="160"/>
      <c r="AH79" s="160"/>
      <c r="AI79" s="166"/>
      <c r="AJ79" s="169"/>
      <c r="AK79" s="169"/>
      <c r="AL79" s="169"/>
      <c r="AM79" s="169"/>
      <c r="AN79" s="138"/>
      <c r="AO79" s="138"/>
      <c r="AP79" s="160"/>
      <c r="AQ79" s="160"/>
      <c r="AR79" s="160"/>
      <c r="AS79" s="160"/>
    </row>
    <row r="80" spans="1:45" x14ac:dyDescent="0.3">
      <c r="A80" s="138"/>
      <c r="B80" s="138"/>
      <c r="C80" s="138"/>
      <c r="D80" s="138"/>
      <c r="E80" s="138"/>
      <c r="F80" s="160"/>
      <c r="G80" s="138"/>
      <c r="H80" s="160"/>
      <c r="I80" s="138"/>
      <c r="J80" s="138"/>
      <c r="K80" s="138"/>
      <c r="L80" s="165"/>
      <c r="M80" s="165"/>
      <c r="N80" s="138"/>
      <c r="O80" s="138"/>
      <c r="R80" s="138"/>
      <c r="S80" s="138"/>
      <c r="T80" s="138"/>
      <c r="V80" s="138"/>
      <c r="W80" s="166"/>
      <c r="X80" s="138"/>
      <c r="Y80" s="166"/>
      <c r="AA80" s="138"/>
      <c r="AB80" s="138"/>
      <c r="AC80" s="168"/>
      <c r="AD80" s="160"/>
      <c r="AE80" s="160"/>
      <c r="AF80" s="160"/>
      <c r="AG80" s="160"/>
      <c r="AH80" s="160"/>
      <c r="AI80" s="166"/>
      <c r="AJ80" s="169"/>
      <c r="AK80" s="169"/>
      <c r="AL80" s="169"/>
      <c r="AM80" s="169"/>
      <c r="AN80" s="138"/>
      <c r="AO80" s="138"/>
      <c r="AP80" s="160"/>
      <c r="AQ80" s="160"/>
      <c r="AR80" s="160"/>
      <c r="AS80" s="160"/>
    </row>
    <row r="81" spans="1:45" x14ac:dyDescent="0.3">
      <c r="A81" s="138"/>
      <c r="B81" s="138"/>
      <c r="C81" s="138"/>
      <c r="D81" s="138"/>
      <c r="E81" s="138"/>
      <c r="F81" s="160"/>
      <c r="G81" s="138"/>
      <c r="H81" s="160"/>
      <c r="I81" s="138"/>
      <c r="J81" s="138"/>
      <c r="K81" s="138"/>
      <c r="L81" s="165"/>
      <c r="M81" s="165"/>
      <c r="N81" s="138"/>
      <c r="O81" s="138"/>
      <c r="R81" s="138"/>
      <c r="S81" s="138"/>
      <c r="T81" s="138"/>
      <c r="V81" s="138"/>
      <c r="W81" s="166"/>
      <c r="X81" s="138"/>
      <c r="Y81" s="166"/>
      <c r="AA81" s="138"/>
      <c r="AB81" s="138"/>
      <c r="AC81" s="168"/>
      <c r="AD81" s="160"/>
      <c r="AE81" s="160"/>
      <c r="AF81" s="160"/>
      <c r="AG81" s="160"/>
      <c r="AH81" s="160"/>
      <c r="AI81" s="166"/>
      <c r="AJ81" s="169"/>
      <c r="AK81" s="169"/>
      <c r="AL81" s="169"/>
      <c r="AM81" s="169"/>
      <c r="AN81" s="138"/>
      <c r="AO81" s="138"/>
      <c r="AP81" s="160"/>
      <c r="AQ81" s="160"/>
      <c r="AR81" s="160"/>
      <c r="AS81" s="160"/>
    </row>
    <row r="82" spans="1:45" x14ac:dyDescent="0.3">
      <c r="A82" s="138"/>
      <c r="B82" s="138"/>
      <c r="C82" s="138"/>
      <c r="D82" s="138"/>
      <c r="E82" s="138"/>
      <c r="F82" s="160"/>
      <c r="G82" s="138"/>
      <c r="H82" s="160"/>
      <c r="I82" s="138"/>
      <c r="J82" s="138"/>
      <c r="K82" s="138"/>
      <c r="L82" s="165"/>
      <c r="M82" s="165"/>
      <c r="N82" s="138"/>
      <c r="O82" s="138"/>
      <c r="R82" s="138"/>
      <c r="S82" s="138"/>
      <c r="T82" s="138"/>
      <c r="V82" s="138"/>
      <c r="W82" s="166"/>
      <c r="X82" s="138"/>
      <c r="Y82" s="166"/>
      <c r="AA82" s="138"/>
      <c r="AB82" s="138"/>
      <c r="AC82" s="168"/>
      <c r="AD82" s="160"/>
      <c r="AE82" s="160"/>
      <c r="AF82" s="160"/>
      <c r="AG82" s="160"/>
      <c r="AH82" s="160"/>
      <c r="AI82" s="166"/>
      <c r="AJ82" s="169"/>
      <c r="AK82" s="169"/>
      <c r="AL82" s="169"/>
      <c r="AM82" s="169"/>
      <c r="AN82" s="138"/>
      <c r="AO82" s="138"/>
      <c r="AP82" s="160"/>
      <c r="AQ82" s="160"/>
      <c r="AR82" s="160"/>
      <c r="AS82" s="160"/>
    </row>
    <row r="83" spans="1:45" x14ac:dyDescent="0.3">
      <c r="A83" s="138"/>
      <c r="B83" s="138"/>
      <c r="C83" s="138"/>
      <c r="D83" s="138"/>
      <c r="E83" s="138"/>
      <c r="F83" s="160"/>
      <c r="G83" s="138"/>
      <c r="H83" s="160"/>
      <c r="I83" s="138"/>
      <c r="J83" s="138"/>
      <c r="K83" s="138"/>
      <c r="L83" s="165"/>
      <c r="M83" s="165"/>
      <c r="N83" s="138"/>
      <c r="O83" s="138"/>
      <c r="R83" s="138"/>
      <c r="S83" s="138"/>
      <c r="T83" s="138"/>
      <c r="V83" s="138"/>
      <c r="W83" s="166"/>
      <c r="X83" s="138"/>
      <c r="Y83" s="166"/>
      <c r="AA83" s="138"/>
      <c r="AB83" s="138"/>
      <c r="AC83" s="168"/>
      <c r="AD83" s="160"/>
      <c r="AE83" s="160"/>
      <c r="AF83" s="160"/>
      <c r="AG83" s="160"/>
      <c r="AH83" s="160"/>
      <c r="AI83" s="166"/>
      <c r="AJ83" s="169"/>
      <c r="AK83" s="169"/>
      <c r="AL83" s="169"/>
      <c r="AM83" s="169"/>
      <c r="AN83" s="138"/>
      <c r="AO83" s="138"/>
      <c r="AP83" s="160"/>
      <c r="AQ83" s="160"/>
      <c r="AR83" s="160"/>
      <c r="AS83" s="160"/>
    </row>
    <row r="84" spans="1:45" x14ac:dyDescent="0.3">
      <c r="A84" s="138"/>
      <c r="B84" s="138"/>
      <c r="C84" s="138"/>
      <c r="D84" s="138"/>
      <c r="E84" s="138"/>
      <c r="F84" s="160"/>
      <c r="G84" s="138"/>
      <c r="H84" s="160"/>
      <c r="I84" s="138"/>
      <c r="J84" s="138"/>
      <c r="K84" s="138"/>
      <c r="L84" s="165"/>
      <c r="M84" s="165"/>
      <c r="N84" s="138"/>
      <c r="O84" s="138"/>
      <c r="R84" s="138"/>
      <c r="S84" s="138"/>
      <c r="T84" s="138"/>
      <c r="V84" s="138"/>
      <c r="W84" s="166"/>
      <c r="X84" s="138"/>
      <c r="Y84" s="166"/>
      <c r="AA84" s="138"/>
      <c r="AB84" s="138"/>
      <c r="AC84" s="168"/>
      <c r="AD84" s="160"/>
      <c r="AE84" s="160"/>
      <c r="AF84" s="160"/>
      <c r="AG84" s="160"/>
      <c r="AH84" s="160"/>
      <c r="AI84" s="166"/>
      <c r="AJ84" s="169"/>
      <c r="AK84" s="169"/>
      <c r="AL84" s="169"/>
      <c r="AM84" s="169"/>
      <c r="AN84" s="138"/>
      <c r="AO84" s="138"/>
      <c r="AP84" s="160"/>
      <c r="AQ84" s="160"/>
      <c r="AR84" s="160"/>
      <c r="AS84" s="160"/>
    </row>
    <row r="85" spans="1:45" x14ac:dyDescent="0.3">
      <c r="A85" s="138"/>
      <c r="B85" s="138"/>
      <c r="C85" s="138"/>
      <c r="D85" s="138"/>
      <c r="E85" s="138"/>
      <c r="F85" s="160"/>
      <c r="G85" s="138"/>
      <c r="H85" s="160"/>
      <c r="I85" s="138"/>
      <c r="J85" s="138"/>
      <c r="K85" s="138"/>
      <c r="L85" s="165"/>
      <c r="M85" s="165"/>
      <c r="N85" s="138"/>
      <c r="O85" s="138"/>
      <c r="R85" s="138"/>
      <c r="S85" s="138"/>
      <c r="T85" s="138"/>
      <c r="V85" s="138"/>
      <c r="W85" s="166"/>
      <c r="X85" s="138"/>
      <c r="Y85" s="166"/>
      <c r="AA85" s="138"/>
      <c r="AB85" s="138"/>
      <c r="AC85" s="168"/>
      <c r="AD85" s="160"/>
      <c r="AE85" s="160"/>
      <c r="AF85" s="160"/>
      <c r="AG85" s="160"/>
      <c r="AH85" s="160"/>
      <c r="AI85" s="166"/>
      <c r="AJ85" s="169"/>
      <c r="AK85" s="169"/>
      <c r="AL85" s="169"/>
      <c r="AM85" s="169"/>
      <c r="AN85" s="138"/>
      <c r="AO85" s="138"/>
      <c r="AP85" s="160"/>
      <c r="AQ85" s="160"/>
      <c r="AR85" s="160"/>
      <c r="AS85" s="160"/>
    </row>
    <row r="86" spans="1:45" x14ac:dyDescent="0.3">
      <c r="A86" s="138"/>
      <c r="B86" s="138"/>
      <c r="C86" s="138"/>
      <c r="D86" s="138"/>
      <c r="E86" s="138"/>
      <c r="F86" s="160"/>
      <c r="G86" s="138"/>
      <c r="H86" s="160"/>
      <c r="I86" s="138"/>
      <c r="J86" s="138"/>
      <c r="K86" s="138"/>
      <c r="L86" s="165"/>
      <c r="M86" s="165"/>
      <c r="N86" s="138"/>
      <c r="O86" s="138"/>
      <c r="R86" s="138"/>
      <c r="S86" s="138"/>
      <c r="T86" s="138"/>
      <c r="V86" s="138"/>
      <c r="W86" s="166"/>
      <c r="X86" s="138"/>
      <c r="Y86" s="166"/>
      <c r="AA86" s="138"/>
      <c r="AB86" s="138"/>
      <c r="AC86" s="168"/>
      <c r="AD86" s="160"/>
      <c r="AE86" s="160"/>
      <c r="AF86" s="160"/>
      <c r="AG86" s="160"/>
      <c r="AH86" s="160"/>
      <c r="AI86" s="166"/>
      <c r="AJ86" s="169"/>
      <c r="AK86" s="169"/>
      <c r="AL86" s="169"/>
      <c r="AM86" s="169"/>
      <c r="AN86" s="138"/>
      <c r="AO86" s="138"/>
      <c r="AP86" s="160"/>
      <c r="AQ86" s="160"/>
      <c r="AR86" s="160"/>
      <c r="AS86" s="160"/>
    </row>
    <row r="87" spans="1:45" x14ac:dyDescent="0.3">
      <c r="A87" s="138"/>
      <c r="B87" s="138"/>
      <c r="C87" s="138"/>
      <c r="D87" s="138"/>
      <c r="E87" s="138"/>
      <c r="F87" s="160"/>
      <c r="G87" s="138"/>
      <c r="H87" s="160"/>
      <c r="I87" s="138"/>
      <c r="J87" s="138"/>
      <c r="K87" s="138"/>
      <c r="L87" s="165"/>
      <c r="M87" s="165"/>
      <c r="N87" s="138"/>
      <c r="O87" s="138"/>
      <c r="R87" s="138"/>
      <c r="S87" s="138"/>
      <c r="T87" s="138"/>
      <c r="V87" s="138"/>
      <c r="W87" s="166"/>
      <c r="X87" s="138"/>
      <c r="Y87" s="166"/>
      <c r="AA87" s="138"/>
      <c r="AB87" s="138"/>
      <c r="AC87" s="168"/>
      <c r="AD87" s="160"/>
      <c r="AE87" s="160"/>
      <c r="AF87" s="160"/>
      <c r="AG87" s="160"/>
      <c r="AH87" s="160"/>
      <c r="AI87" s="166"/>
      <c r="AJ87" s="169"/>
      <c r="AK87" s="169"/>
      <c r="AL87" s="169"/>
      <c r="AM87" s="169"/>
      <c r="AN87" s="138"/>
      <c r="AO87" s="138"/>
      <c r="AP87" s="160"/>
      <c r="AQ87" s="160"/>
      <c r="AR87" s="160"/>
      <c r="AS87" s="160"/>
    </row>
    <row r="88" spans="1:45" x14ac:dyDescent="0.3">
      <c r="A88" s="138"/>
      <c r="B88" s="138"/>
      <c r="C88" s="138"/>
      <c r="D88" s="138"/>
      <c r="E88" s="138"/>
      <c r="F88" s="160"/>
      <c r="G88" s="138"/>
      <c r="H88" s="160"/>
      <c r="I88" s="138"/>
      <c r="J88" s="138"/>
      <c r="K88" s="138"/>
      <c r="L88" s="165"/>
      <c r="M88" s="165"/>
      <c r="N88" s="138"/>
      <c r="O88" s="138"/>
      <c r="R88" s="138"/>
      <c r="S88" s="138"/>
      <c r="T88" s="138"/>
      <c r="V88" s="138"/>
      <c r="W88" s="166"/>
      <c r="X88" s="138"/>
      <c r="Y88" s="166"/>
      <c r="AA88" s="138"/>
      <c r="AB88" s="138"/>
      <c r="AC88" s="168"/>
      <c r="AD88" s="160"/>
      <c r="AE88" s="160"/>
      <c r="AF88" s="160"/>
      <c r="AG88" s="160"/>
      <c r="AH88" s="160"/>
      <c r="AI88" s="166"/>
      <c r="AJ88" s="169"/>
      <c r="AK88" s="169"/>
      <c r="AL88" s="169"/>
      <c r="AM88" s="169"/>
      <c r="AN88" s="138"/>
      <c r="AO88" s="138"/>
      <c r="AP88" s="160"/>
      <c r="AQ88" s="160"/>
      <c r="AR88" s="160"/>
      <c r="AS88" s="160"/>
    </row>
    <row r="89" spans="1:45" x14ac:dyDescent="0.3">
      <c r="A89" s="138"/>
      <c r="B89" s="138"/>
      <c r="C89" s="138"/>
      <c r="D89" s="138"/>
      <c r="E89" s="138"/>
      <c r="F89" s="160"/>
      <c r="G89" s="138"/>
      <c r="H89" s="160"/>
      <c r="I89" s="138"/>
      <c r="J89" s="138"/>
      <c r="K89" s="138"/>
      <c r="L89" s="165"/>
      <c r="M89" s="165"/>
      <c r="N89" s="138"/>
      <c r="O89" s="138"/>
      <c r="R89" s="138"/>
      <c r="S89" s="138"/>
      <c r="T89" s="138"/>
      <c r="V89" s="138"/>
      <c r="W89" s="166"/>
      <c r="X89" s="138"/>
      <c r="Y89" s="166"/>
      <c r="AA89" s="138"/>
      <c r="AB89" s="138"/>
      <c r="AC89" s="168"/>
      <c r="AD89" s="160"/>
      <c r="AE89" s="160"/>
      <c r="AF89" s="160"/>
      <c r="AG89" s="160"/>
      <c r="AH89" s="160"/>
      <c r="AI89" s="166"/>
      <c r="AJ89" s="169"/>
      <c r="AK89" s="169"/>
      <c r="AL89" s="169"/>
      <c r="AM89" s="169"/>
      <c r="AN89" s="138"/>
      <c r="AO89" s="138"/>
      <c r="AP89" s="160"/>
      <c r="AQ89" s="160"/>
      <c r="AR89" s="160"/>
      <c r="AS89" s="160"/>
    </row>
    <row r="90" spans="1:45" x14ac:dyDescent="0.3">
      <c r="A90" s="138"/>
      <c r="B90" s="138"/>
      <c r="C90" s="138"/>
      <c r="D90" s="138"/>
      <c r="E90" s="138"/>
      <c r="F90" s="160"/>
      <c r="G90" s="138"/>
      <c r="H90" s="160"/>
      <c r="I90" s="138"/>
      <c r="J90" s="138"/>
      <c r="K90" s="138"/>
      <c r="L90" s="165"/>
      <c r="M90" s="165"/>
      <c r="N90" s="138"/>
      <c r="O90" s="138"/>
      <c r="R90" s="138"/>
      <c r="S90" s="138"/>
      <c r="T90" s="138"/>
      <c r="V90" s="138"/>
      <c r="W90" s="166"/>
      <c r="X90" s="138"/>
      <c r="Y90" s="166"/>
      <c r="AA90" s="138"/>
      <c r="AB90" s="138"/>
      <c r="AC90" s="168"/>
      <c r="AD90" s="160"/>
      <c r="AE90" s="160"/>
      <c r="AF90" s="160"/>
      <c r="AG90" s="160"/>
      <c r="AH90" s="160"/>
      <c r="AI90" s="166"/>
      <c r="AJ90" s="169"/>
      <c r="AK90" s="169"/>
      <c r="AL90" s="169"/>
      <c r="AM90" s="169"/>
      <c r="AN90" s="138"/>
      <c r="AO90" s="138"/>
      <c r="AP90" s="160"/>
      <c r="AQ90" s="160"/>
      <c r="AR90" s="160"/>
      <c r="AS90" s="160"/>
    </row>
    <row r="91" spans="1:45" x14ac:dyDescent="0.3">
      <c r="A91" s="138"/>
      <c r="B91" s="138"/>
      <c r="C91" s="138"/>
      <c r="D91" s="138"/>
      <c r="E91" s="138"/>
      <c r="F91" s="160"/>
      <c r="G91" s="138"/>
      <c r="H91" s="160"/>
      <c r="I91" s="138"/>
      <c r="J91" s="138"/>
      <c r="K91" s="138"/>
      <c r="L91" s="165"/>
      <c r="M91" s="165"/>
      <c r="N91" s="138"/>
      <c r="O91" s="138"/>
      <c r="R91" s="138"/>
      <c r="S91" s="138"/>
      <c r="T91" s="138"/>
      <c r="V91" s="138"/>
      <c r="W91" s="166"/>
      <c r="X91" s="138"/>
      <c r="Y91" s="166"/>
      <c r="AA91" s="138"/>
      <c r="AB91" s="138"/>
      <c r="AC91" s="168"/>
      <c r="AD91" s="160"/>
      <c r="AE91" s="160"/>
      <c r="AF91" s="160"/>
      <c r="AG91" s="160"/>
      <c r="AH91" s="160"/>
      <c r="AI91" s="166"/>
      <c r="AJ91" s="169"/>
      <c r="AK91" s="169"/>
      <c r="AL91" s="169"/>
      <c r="AM91" s="169"/>
      <c r="AN91" s="138"/>
      <c r="AO91" s="138"/>
      <c r="AP91" s="160"/>
      <c r="AQ91" s="160"/>
      <c r="AR91" s="160"/>
      <c r="AS91" s="160"/>
    </row>
    <row r="92" spans="1:45" x14ac:dyDescent="0.3">
      <c r="A92" s="138"/>
      <c r="B92" s="138"/>
      <c r="C92" s="138"/>
      <c r="D92" s="138"/>
      <c r="E92" s="138"/>
      <c r="F92" s="160"/>
      <c r="G92" s="138"/>
      <c r="H92" s="160"/>
      <c r="I92" s="138"/>
      <c r="J92" s="138"/>
      <c r="K92" s="138"/>
      <c r="L92" s="165"/>
      <c r="M92" s="165"/>
      <c r="N92" s="138"/>
      <c r="O92" s="138"/>
      <c r="R92" s="138"/>
      <c r="S92" s="138"/>
      <c r="T92" s="138"/>
      <c r="V92" s="138"/>
      <c r="W92" s="166"/>
      <c r="X92" s="138"/>
      <c r="Y92" s="166"/>
      <c r="AA92" s="138"/>
      <c r="AB92" s="138"/>
      <c r="AC92" s="168"/>
      <c r="AD92" s="160"/>
      <c r="AE92" s="160"/>
      <c r="AF92" s="160"/>
      <c r="AG92" s="160"/>
      <c r="AH92" s="160"/>
      <c r="AI92" s="166"/>
      <c r="AJ92" s="169"/>
      <c r="AK92" s="169"/>
      <c r="AL92" s="169"/>
      <c r="AM92" s="169"/>
      <c r="AN92" s="138"/>
      <c r="AO92" s="138"/>
      <c r="AP92" s="160"/>
      <c r="AQ92" s="160"/>
      <c r="AR92" s="160"/>
      <c r="AS92" s="160"/>
    </row>
    <row r="93" spans="1:45" x14ac:dyDescent="0.3">
      <c r="A93" s="138"/>
      <c r="B93" s="138"/>
      <c r="C93" s="138"/>
      <c r="D93" s="138"/>
      <c r="E93" s="138"/>
      <c r="F93" s="160"/>
      <c r="G93" s="138"/>
      <c r="H93" s="160"/>
      <c r="I93" s="138"/>
      <c r="J93" s="138"/>
      <c r="K93" s="138"/>
      <c r="L93" s="165"/>
      <c r="M93" s="165"/>
      <c r="N93" s="138"/>
      <c r="O93" s="138"/>
      <c r="R93" s="138"/>
      <c r="S93" s="138"/>
      <c r="T93" s="138"/>
      <c r="V93" s="138"/>
      <c r="W93" s="166"/>
      <c r="X93" s="138"/>
      <c r="Y93" s="166"/>
      <c r="AA93" s="138"/>
      <c r="AB93" s="138"/>
      <c r="AC93" s="168"/>
      <c r="AD93" s="160"/>
      <c r="AE93" s="160"/>
      <c r="AF93" s="160"/>
      <c r="AG93" s="160"/>
      <c r="AH93" s="160"/>
      <c r="AI93" s="166"/>
      <c r="AJ93" s="169"/>
      <c r="AK93" s="169"/>
      <c r="AL93" s="169"/>
      <c r="AM93" s="169"/>
      <c r="AN93" s="138"/>
      <c r="AO93" s="138"/>
      <c r="AP93" s="160"/>
      <c r="AQ93" s="160"/>
      <c r="AR93" s="160"/>
      <c r="AS93" s="160"/>
    </row>
    <row r="94" spans="1:45" x14ac:dyDescent="0.3">
      <c r="A94" s="138"/>
      <c r="B94" s="138"/>
      <c r="C94" s="138"/>
      <c r="D94" s="138"/>
      <c r="E94" s="138"/>
      <c r="F94" s="160"/>
      <c r="G94" s="138"/>
      <c r="H94" s="160"/>
      <c r="I94" s="138"/>
      <c r="J94" s="138"/>
      <c r="K94" s="138"/>
      <c r="L94" s="165"/>
      <c r="M94" s="165"/>
      <c r="N94" s="138"/>
      <c r="O94" s="138"/>
      <c r="R94" s="138"/>
      <c r="S94" s="138"/>
      <c r="T94" s="138"/>
      <c r="V94" s="138"/>
      <c r="W94" s="166"/>
      <c r="X94" s="138"/>
      <c r="Y94" s="166"/>
      <c r="AA94" s="138"/>
      <c r="AB94" s="138"/>
      <c r="AC94" s="168"/>
      <c r="AD94" s="160"/>
      <c r="AE94" s="160"/>
      <c r="AF94" s="160"/>
      <c r="AG94" s="160"/>
      <c r="AH94" s="160"/>
      <c r="AI94" s="166"/>
      <c r="AJ94" s="169"/>
      <c r="AK94" s="169"/>
      <c r="AL94" s="169"/>
      <c r="AM94" s="169"/>
      <c r="AN94" s="138"/>
      <c r="AO94" s="138"/>
      <c r="AP94" s="160"/>
      <c r="AQ94" s="160"/>
      <c r="AR94" s="160"/>
      <c r="AS94" s="160"/>
    </row>
    <row r="95" spans="1:45" x14ac:dyDescent="0.3">
      <c r="A95" s="138"/>
      <c r="B95" s="138"/>
      <c r="C95" s="138"/>
      <c r="D95" s="138"/>
      <c r="E95" s="138"/>
      <c r="F95" s="160"/>
      <c r="G95" s="138"/>
      <c r="H95" s="160"/>
      <c r="I95" s="138"/>
      <c r="J95" s="138"/>
      <c r="K95" s="138"/>
      <c r="L95" s="165"/>
      <c r="M95" s="165"/>
      <c r="N95" s="138"/>
      <c r="O95" s="138"/>
      <c r="R95" s="138"/>
      <c r="S95" s="138"/>
      <c r="T95" s="138"/>
      <c r="V95" s="138"/>
      <c r="W95" s="166"/>
      <c r="X95" s="138"/>
      <c r="Y95" s="166"/>
      <c r="AA95" s="138"/>
      <c r="AB95" s="138"/>
      <c r="AC95" s="168"/>
      <c r="AD95" s="160"/>
      <c r="AE95" s="160"/>
      <c r="AF95" s="160"/>
      <c r="AG95" s="160"/>
      <c r="AH95" s="160"/>
      <c r="AI95" s="166"/>
      <c r="AJ95" s="169"/>
      <c r="AK95" s="169"/>
      <c r="AL95" s="169"/>
      <c r="AM95" s="169"/>
      <c r="AN95" s="138"/>
      <c r="AO95" s="138"/>
      <c r="AP95" s="160"/>
      <c r="AQ95" s="160"/>
      <c r="AR95" s="160"/>
      <c r="AS95" s="160"/>
    </row>
    <row r="96" spans="1:45" x14ac:dyDescent="0.3">
      <c r="A96" s="138"/>
      <c r="B96" s="138"/>
      <c r="C96" s="138"/>
      <c r="D96" s="138"/>
      <c r="E96" s="138"/>
      <c r="F96" s="160"/>
      <c r="G96" s="138"/>
      <c r="H96" s="160"/>
      <c r="I96" s="138"/>
      <c r="J96" s="138"/>
      <c r="K96" s="138"/>
      <c r="L96" s="165"/>
      <c r="M96" s="165"/>
      <c r="N96" s="138"/>
      <c r="O96" s="138"/>
      <c r="R96" s="138"/>
      <c r="S96" s="138"/>
      <c r="T96" s="138"/>
      <c r="V96" s="138"/>
      <c r="W96" s="166"/>
      <c r="X96" s="138"/>
      <c r="Y96" s="166"/>
      <c r="AA96" s="138"/>
      <c r="AB96" s="138"/>
      <c r="AC96" s="168"/>
      <c r="AD96" s="160"/>
      <c r="AE96" s="160"/>
      <c r="AF96" s="160"/>
      <c r="AG96" s="160"/>
      <c r="AH96" s="160"/>
      <c r="AI96" s="166"/>
      <c r="AJ96" s="169"/>
      <c r="AK96" s="169"/>
      <c r="AL96" s="169"/>
      <c r="AM96" s="169"/>
      <c r="AN96" s="138"/>
      <c r="AO96" s="138"/>
      <c r="AP96" s="160"/>
      <c r="AQ96" s="160"/>
      <c r="AR96" s="160"/>
      <c r="AS96" s="160"/>
    </row>
    <row r="97" spans="1:45" x14ac:dyDescent="0.3">
      <c r="A97" s="138"/>
      <c r="B97" s="138"/>
      <c r="C97" s="138"/>
      <c r="D97" s="138"/>
      <c r="E97" s="138"/>
      <c r="F97" s="160"/>
      <c r="G97" s="138"/>
      <c r="H97" s="160"/>
      <c r="I97" s="138"/>
      <c r="J97" s="138"/>
      <c r="K97" s="138"/>
      <c r="L97" s="165"/>
      <c r="M97" s="165"/>
      <c r="N97" s="138"/>
      <c r="O97" s="138"/>
      <c r="R97" s="138"/>
      <c r="S97" s="138"/>
      <c r="T97" s="138"/>
      <c r="V97" s="138"/>
      <c r="W97" s="166"/>
      <c r="X97" s="138"/>
      <c r="Y97" s="166"/>
      <c r="AA97" s="138"/>
      <c r="AB97" s="138"/>
      <c r="AC97" s="168"/>
      <c r="AD97" s="160"/>
      <c r="AE97" s="160"/>
      <c r="AF97" s="160"/>
      <c r="AG97" s="160"/>
      <c r="AH97" s="160"/>
      <c r="AI97" s="166"/>
      <c r="AJ97" s="169"/>
      <c r="AK97" s="169"/>
      <c r="AL97" s="169"/>
      <c r="AM97" s="169"/>
      <c r="AN97" s="138"/>
      <c r="AO97" s="138"/>
      <c r="AP97" s="160"/>
      <c r="AQ97" s="160"/>
      <c r="AR97" s="160"/>
      <c r="AS97" s="160"/>
    </row>
    <row r="98" spans="1:45" x14ac:dyDescent="0.3">
      <c r="A98" s="138"/>
      <c r="B98" s="138"/>
      <c r="C98" s="138"/>
      <c r="D98" s="138"/>
      <c r="E98" s="138"/>
      <c r="F98" s="160"/>
      <c r="G98" s="138"/>
      <c r="H98" s="160"/>
      <c r="I98" s="138"/>
      <c r="J98" s="138"/>
      <c r="K98" s="138"/>
      <c r="L98" s="165"/>
      <c r="M98" s="165"/>
      <c r="N98" s="138"/>
      <c r="O98" s="138"/>
      <c r="R98" s="138"/>
      <c r="S98" s="138"/>
      <c r="T98" s="138"/>
      <c r="V98" s="138"/>
      <c r="W98" s="166"/>
      <c r="X98" s="138"/>
      <c r="Y98" s="166"/>
      <c r="AA98" s="138"/>
      <c r="AB98" s="138"/>
      <c r="AC98" s="168"/>
      <c r="AD98" s="160"/>
      <c r="AE98" s="160"/>
      <c r="AF98" s="160"/>
      <c r="AG98" s="160"/>
      <c r="AH98" s="160"/>
      <c r="AI98" s="166"/>
      <c r="AJ98" s="169"/>
      <c r="AK98" s="169"/>
      <c r="AL98" s="169"/>
      <c r="AM98" s="169"/>
      <c r="AN98" s="138"/>
      <c r="AO98" s="138"/>
      <c r="AP98" s="160"/>
      <c r="AQ98" s="160"/>
      <c r="AR98" s="160"/>
      <c r="AS98" s="160"/>
    </row>
    <row r="99" spans="1:45" x14ac:dyDescent="0.3">
      <c r="A99" s="138"/>
      <c r="B99" s="138"/>
      <c r="C99" s="138"/>
      <c r="D99" s="138"/>
      <c r="E99" s="138"/>
      <c r="F99" s="160"/>
      <c r="G99" s="138"/>
      <c r="H99" s="160"/>
      <c r="I99" s="138"/>
      <c r="J99" s="138"/>
      <c r="K99" s="138"/>
      <c r="L99" s="165"/>
      <c r="M99" s="165"/>
      <c r="N99" s="138"/>
      <c r="O99" s="138"/>
      <c r="R99" s="138"/>
      <c r="S99" s="138"/>
      <c r="T99" s="138"/>
      <c r="V99" s="138"/>
      <c r="W99" s="166"/>
      <c r="X99" s="138"/>
      <c r="Y99" s="166"/>
      <c r="AA99" s="138"/>
      <c r="AB99" s="138"/>
      <c r="AC99" s="168"/>
      <c r="AD99" s="160"/>
      <c r="AE99" s="160"/>
      <c r="AF99" s="160"/>
      <c r="AG99" s="160"/>
      <c r="AH99" s="160"/>
      <c r="AI99" s="166"/>
      <c r="AJ99" s="169"/>
      <c r="AK99" s="169"/>
      <c r="AL99" s="169"/>
      <c r="AM99" s="169"/>
      <c r="AN99" s="138"/>
      <c r="AO99" s="138"/>
      <c r="AP99" s="160"/>
      <c r="AQ99" s="160"/>
      <c r="AR99" s="160"/>
      <c r="AS99" s="160"/>
    </row>
    <row r="100" spans="1:45" x14ac:dyDescent="0.3">
      <c r="A100" s="138"/>
      <c r="B100" s="138"/>
      <c r="C100" s="138"/>
      <c r="D100" s="138"/>
      <c r="E100" s="138"/>
      <c r="F100" s="160"/>
      <c r="G100" s="138"/>
      <c r="H100" s="160"/>
      <c r="I100" s="138"/>
      <c r="J100" s="138"/>
      <c r="K100" s="138"/>
      <c r="L100" s="165"/>
      <c r="M100" s="165"/>
      <c r="N100" s="138"/>
      <c r="O100" s="138"/>
      <c r="R100" s="138"/>
      <c r="S100" s="138"/>
      <c r="T100" s="138"/>
      <c r="V100" s="138"/>
      <c r="W100" s="166"/>
      <c r="X100" s="138"/>
      <c r="Y100" s="166"/>
      <c r="AA100" s="138"/>
      <c r="AB100" s="138"/>
      <c r="AC100" s="168"/>
      <c r="AD100" s="160"/>
      <c r="AE100" s="160"/>
      <c r="AF100" s="160"/>
      <c r="AG100" s="160"/>
      <c r="AH100" s="160"/>
      <c r="AI100" s="166"/>
      <c r="AJ100" s="169"/>
      <c r="AK100" s="169"/>
      <c r="AL100" s="169"/>
      <c r="AM100" s="169"/>
      <c r="AN100" s="138"/>
      <c r="AO100" s="138"/>
      <c r="AP100" s="160"/>
      <c r="AQ100" s="160"/>
      <c r="AR100" s="160"/>
      <c r="AS100" s="160"/>
    </row>
    <row r="101" spans="1:45" x14ac:dyDescent="0.3">
      <c r="A101" s="138"/>
      <c r="B101" s="138"/>
      <c r="C101" s="138"/>
      <c r="D101" s="138"/>
      <c r="E101" s="138"/>
      <c r="F101" s="160"/>
      <c r="G101" s="138"/>
      <c r="H101" s="160"/>
      <c r="I101" s="138"/>
      <c r="J101" s="138"/>
      <c r="K101" s="138"/>
      <c r="L101" s="165"/>
      <c r="M101" s="165"/>
      <c r="N101" s="138"/>
      <c r="O101" s="138"/>
      <c r="R101" s="138"/>
      <c r="S101" s="138"/>
      <c r="T101" s="138"/>
      <c r="V101" s="138"/>
      <c r="W101" s="166"/>
      <c r="X101" s="138"/>
      <c r="Y101" s="166"/>
      <c r="AA101" s="138"/>
      <c r="AB101" s="138"/>
      <c r="AC101" s="168"/>
      <c r="AD101" s="160"/>
      <c r="AE101" s="160"/>
      <c r="AF101" s="160"/>
      <c r="AG101" s="160"/>
      <c r="AH101" s="160"/>
      <c r="AI101" s="166"/>
      <c r="AJ101" s="169"/>
      <c r="AK101" s="169"/>
      <c r="AL101" s="169"/>
      <c r="AM101" s="169"/>
      <c r="AN101" s="138"/>
      <c r="AO101" s="138"/>
      <c r="AP101" s="160"/>
      <c r="AQ101" s="160"/>
      <c r="AR101" s="160"/>
      <c r="AS101" s="160"/>
    </row>
    <row r="102" spans="1:45" x14ac:dyDescent="0.3">
      <c r="A102" s="138"/>
      <c r="B102" s="138"/>
      <c r="C102" s="138"/>
      <c r="D102" s="138"/>
      <c r="E102" s="138"/>
      <c r="F102" s="160"/>
      <c r="G102" s="138"/>
      <c r="H102" s="160"/>
      <c r="I102" s="138"/>
      <c r="J102" s="138"/>
      <c r="K102" s="138"/>
      <c r="L102" s="165"/>
      <c r="M102" s="165"/>
      <c r="N102" s="138"/>
      <c r="O102" s="138"/>
      <c r="R102" s="138"/>
      <c r="S102" s="138"/>
      <c r="T102" s="138"/>
      <c r="V102" s="138"/>
      <c r="W102" s="166"/>
      <c r="X102" s="138"/>
      <c r="Y102" s="166"/>
      <c r="AA102" s="138"/>
      <c r="AB102" s="138"/>
      <c r="AC102" s="168"/>
      <c r="AD102" s="160"/>
      <c r="AE102" s="160"/>
      <c r="AF102" s="160"/>
      <c r="AG102" s="160"/>
      <c r="AH102" s="160"/>
      <c r="AI102" s="166"/>
      <c r="AJ102" s="169"/>
      <c r="AK102" s="169"/>
      <c r="AL102" s="169"/>
      <c r="AM102" s="169"/>
      <c r="AN102" s="138"/>
      <c r="AO102" s="138"/>
      <c r="AP102" s="160"/>
      <c r="AQ102" s="160"/>
      <c r="AR102" s="160"/>
      <c r="AS102" s="160"/>
    </row>
    <row r="103" spans="1:45" x14ac:dyDescent="0.3">
      <c r="A103" s="138"/>
      <c r="B103" s="138"/>
      <c r="C103" s="138"/>
      <c r="D103" s="138"/>
      <c r="E103" s="138"/>
      <c r="F103" s="160"/>
      <c r="G103" s="138"/>
      <c r="H103" s="160"/>
      <c r="I103" s="138"/>
      <c r="J103" s="138"/>
      <c r="K103" s="138"/>
      <c r="L103" s="165"/>
      <c r="M103" s="165"/>
      <c r="N103" s="138"/>
      <c r="O103" s="138"/>
      <c r="R103" s="138"/>
      <c r="S103" s="138"/>
      <c r="T103" s="138"/>
      <c r="V103" s="138"/>
      <c r="W103" s="166"/>
      <c r="X103" s="138"/>
      <c r="Y103" s="166"/>
      <c r="AA103" s="138"/>
      <c r="AB103" s="138"/>
      <c r="AC103" s="168"/>
      <c r="AD103" s="160"/>
      <c r="AE103" s="160"/>
      <c r="AF103" s="160"/>
      <c r="AG103" s="160"/>
      <c r="AH103" s="160"/>
      <c r="AI103" s="166"/>
      <c r="AJ103" s="169"/>
      <c r="AK103" s="169"/>
      <c r="AL103" s="169"/>
      <c r="AM103" s="169"/>
      <c r="AN103" s="138"/>
      <c r="AO103" s="138"/>
      <c r="AP103" s="160"/>
      <c r="AQ103" s="160"/>
      <c r="AR103" s="160"/>
      <c r="AS103" s="160"/>
    </row>
    <row r="104" spans="1:45" x14ac:dyDescent="0.3">
      <c r="A104" s="138"/>
      <c r="B104" s="138"/>
      <c r="C104" s="138"/>
      <c r="D104" s="138"/>
      <c r="E104" s="138"/>
      <c r="F104" s="160"/>
      <c r="G104" s="138"/>
      <c r="H104" s="160"/>
      <c r="I104" s="138"/>
      <c r="J104" s="138"/>
      <c r="K104" s="138"/>
      <c r="L104" s="165"/>
      <c r="M104" s="165"/>
      <c r="N104" s="138"/>
      <c r="O104" s="138"/>
      <c r="R104" s="138"/>
      <c r="S104" s="138"/>
      <c r="T104" s="138"/>
      <c r="V104" s="138"/>
      <c r="W104" s="166"/>
      <c r="X104" s="138"/>
      <c r="Y104" s="166"/>
      <c r="AA104" s="138"/>
      <c r="AB104" s="138"/>
      <c r="AC104" s="168"/>
      <c r="AD104" s="160"/>
      <c r="AE104" s="160"/>
      <c r="AF104" s="160"/>
      <c r="AG104" s="160"/>
      <c r="AH104" s="160"/>
      <c r="AI104" s="166"/>
      <c r="AJ104" s="169"/>
      <c r="AK104" s="169"/>
      <c r="AL104" s="169"/>
      <c r="AM104" s="169"/>
      <c r="AN104" s="138"/>
      <c r="AO104" s="138"/>
      <c r="AP104" s="160"/>
      <c r="AQ104" s="160"/>
      <c r="AR104" s="160"/>
      <c r="AS104" s="160"/>
    </row>
    <row r="105" spans="1:45" x14ac:dyDescent="0.3">
      <c r="A105" s="138"/>
      <c r="B105" s="138"/>
      <c r="C105" s="138"/>
      <c r="D105" s="138"/>
      <c r="E105" s="138"/>
      <c r="F105" s="160"/>
      <c r="G105" s="138"/>
      <c r="H105" s="160"/>
      <c r="I105" s="138"/>
      <c r="J105" s="138"/>
      <c r="K105" s="138"/>
      <c r="L105" s="165"/>
      <c r="M105" s="165"/>
      <c r="N105" s="138"/>
      <c r="O105" s="138"/>
      <c r="R105" s="138"/>
      <c r="S105" s="138"/>
      <c r="T105" s="138"/>
      <c r="V105" s="138"/>
      <c r="W105" s="166"/>
      <c r="X105" s="138"/>
      <c r="Y105" s="166"/>
      <c r="AA105" s="138"/>
      <c r="AB105" s="138"/>
      <c r="AC105" s="168"/>
      <c r="AD105" s="160"/>
      <c r="AE105" s="160"/>
      <c r="AF105" s="160"/>
      <c r="AG105" s="160"/>
      <c r="AH105" s="160"/>
      <c r="AI105" s="166"/>
      <c r="AJ105" s="169"/>
      <c r="AK105" s="169"/>
      <c r="AL105" s="169"/>
      <c r="AM105" s="169"/>
      <c r="AN105" s="138"/>
      <c r="AO105" s="138"/>
      <c r="AP105" s="160"/>
      <c r="AQ105" s="160"/>
      <c r="AR105" s="160"/>
      <c r="AS105" s="160"/>
    </row>
    <row r="106" spans="1:45" x14ac:dyDescent="0.3">
      <c r="A106" s="138"/>
      <c r="B106" s="138"/>
      <c r="C106" s="138"/>
      <c r="D106" s="138"/>
      <c r="E106" s="138"/>
      <c r="F106" s="160"/>
      <c r="G106" s="138"/>
      <c r="H106" s="160"/>
      <c r="I106" s="138"/>
      <c r="J106" s="138"/>
      <c r="K106" s="138"/>
      <c r="L106" s="165"/>
      <c r="M106" s="165"/>
      <c r="N106" s="138"/>
      <c r="O106" s="138"/>
      <c r="R106" s="138"/>
      <c r="S106" s="138"/>
      <c r="T106" s="138"/>
      <c r="V106" s="138"/>
      <c r="W106" s="166"/>
      <c r="X106" s="138"/>
      <c r="Y106" s="166"/>
      <c r="AA106" s="138"/>
      <c r="AB106" s="138"/>
      <c r="AC106" s="168"/>
      <c r="AD106" s="160"/>
      <c r="AE106" s="160"/>
      <c r="AF106" s="160"/>
      <c r="AG106" s="160"/>
      <c r="AH106" s="160"/>
      <c r="AI106" s="166"/>
      <c r="AJ106" s="169"/>
      <c r="AK106" s="169"/>
      <c r="AL106" s="169"/>
      <c r="AM106" s="169"/>
      <c r="AN106" s="138"/>
      <c r="AO106" s="138"/>
      <c r="AP106" s="160"/>
      <c r="AQ106" s="160"/>
      <c r="AR106" s="160"/>
      <c r="AS106" s="160"/>
    </row>
    <row r="107" spans="1:45" x14ac:dyDescent="0.3">
      <c r="A107" s="138"/>
      <c r="B107" s="138"/>
      <c r="C107" s="138"/>
      <c r="D107" s="138"/>
      <c r="E107" s="138"/>
      <c r="F107" s="160"/>
      <c r="G107" s="138"/>
      <c r="H107" s="160"/>
      <c r="I107" s="138"/>
      <c r="J107" s="138"/>
      <c r="K107" s="138"/>
      <c r="L107" s="165"/>
      <c r="M107" s="165"/>
      <c r="N107" s="138"/>
      <c r="O107" s="138"/>
      <c r="R107" s="138"/>
      <c r="S107" s="138"/>
      <c r="T107" s="138"/>
      <c r="V107" s="138"/>
      <c r="W107" s="166"/>
      <c r="X107" s="138"/>
      <c r="Y107" s="166"/>
      <c r="AA107" s="138"/>
      <c r="AB107" s="138"/>
      <c r="AC107" s="168"/>
      <c r="AD107" s="160"/>
      <c r="AE107" s="160"/>
      <c r="AF107" s="160"/>
      <c r="AG107" s="160"/>
      <c r="AH107" s="160"/>
      <c r="AI107" s="166"/>
      <c r="AJ107" s="169"/>
      <c r="AK107" s="169"/>
      <c r="AL107" s="169"/>
      <c r="AM107" s="169"/>
      <c r="AN107" s="138"/>
      <c r="AO107" s="138"/>
      <c r="AP107" s="160"/>
      <c r="AQ107" s="160"/>
      <c r="AR107" s="160"/>
      <c r="AS107" s="160"/>
    </row>
    <row r="108" spans="1:45" x14ac:dyDescent="0.3">
      <c r="A108" s="138"/>
      <c r="B108" s="138"/>
      <c r="C108" s="138"/>
      <c r="D108" s="138"/>
      <c r="E108" s="138"/>
      <c r="F108" s="160"/>
      <c r="G108" s="138"/>
      <c r="H108" s="160"/>
      <c r="I108" s="138"/>
      <c r="J108" s="138"/>
      <c r="K108" s="138"/>
      <c r="L108" s="165"/>
      <c r="M108" s="165"/>
      <c r="N108" s="138"/>
      <c r="O108" s="138"/>
      <c r="R108" s="138"/>
      <c r="S108" s="138"/>
      <c r="T108" s="138"/>
      <c r="V108" s="138"/>
      <c r="W108" s="166"/>
      <c r="X108" s="138"/>
      <c r="Y108" s="166"/>
      <c r="AA108" s="138"/>
      <c r="AB108" s="138"/>
      <c r="AC108" s="168"/>
      <c r="AD108" s="160"/>
      <c r="AE108" s="160"/>
      <c r="AF108" s="160"/>
      <c r="AG108" s="160"/>
      <c r="AH108" s="160"/>
      <c r="AI108" s="166"/>
      <c r="AJ108" s="169"/>
      <c r="AK108" s="169"/>
      <c r="AL108" s="169"/>
      <c r="AM108" s="169"/>
      <c r="AN108" s="138"/>
      <c r="AO108" s="138"/>
      <c r="AP108" s="160"/>
      <c r="AQ108" s="160"/>
      <c r="AR108" s="160"/>
      <c r="AS108" s="160"/>
    </row>
    <row r="109" spans="1:45" x14ac:dyDescent="0.3">
      <c r="A109" s="138"/>
      <c r="B109" s="138"/>
      <c r="C109" s="138"/>
      <c r="D109" s="138"/>
      <c r="E109" s="138"/>
      <c r="F109" s="160"/>
      <c r="G109" s="138"/>
      <c r="H109" s="160"/>
      <c r="I109" s="138"/>
      <c r="J109" s="138"/>
      <c r="K109" s="138"/>
      <c r="L109" s="165"/>
      <c r="M109" s="165"/>
      <c r="N109" s="138"/>
      <c r="O109" s="138"/>
      <c r="R109" s="138"/>
      <c r="S109" s="138"/>
      <c r="T109" s="138"/>
      <c r="V109" s="138"/>
      <c r="W109" s="166"/>
      <c r="X109" s="138"/>
      <c r="Y109" s="166"/>
      <c r="AA109" s="138"/>
      <c r="AB109" s="138"/>
      <c r="AC109" s="168"/>
      <c r="AD109" s="160"/>
      <c r="AE109" s="160"/>
      <c r="AF109" s="160"/>
      <c r="AG109" s="160"/>
      <c r="AH109" s="160"/>
      <c r="AI109" s="166"/>
      <c r="AJ109" s="169"/>
      <c r="AK109" s="169"/>
      <c r="AL109" s="169"/>
      <c r="AM109" s="169"/>
      <c r="AN109" s="138"/>
      <c r="AO109" s="138"/>
      <c r="AP109" s="160"/>
      <c r="AQ109" s="160"/>
      <c r="AR109" s="160"/>
      <c r="AS109" s="160"/>
    </row>
    <row r="110" spans="1:45" x14ac:dyDescent="0.3">
      <c r="A110" s="138"/>
      <c r="B110" s="138"/>
      <c r="C110" s="138"/>
      <c r="D110" s="138"/>
      <c r="E110" s="138"/>
      <c r="F110" s="160"/>
      <c r="G110" s="138"/>
      <c r="H110" s="160"/>
      <c r="I110" s="138"/>
      <c r="J110" s="138"/>
      <c r="K110" s="138"/>
      <c r="L110" s="165"/>
      <c r="M110" s="165"/>
      <c r="N110" s="138"/>
      <c r="O110" s="138"/>
      <c r="R110" s="138"/>
      <c r="S110" s="138"/>
      <c r="T110" s="138"/>
      <c r="V110" s="138"/>
      <c r="W110" s="166"/>
      <c r="X110" s="138"/>
      <c r="Y110" s="166"/>
      <c r="AA110" s="138"/>
      <c r="AB110" s="138"/>
      <c r="AC110" s="168"/>
      <c r="AD110" s="160"/>
      <c r="AE110" s="160"/>
      <c r="AF110" s="160"/>
      <c r="AG110" s="160"/>
      <c r="AH110" s="160"/>
      <c r="AI110" s="166"/>
      <c r="AJ110" s="169"/>
      <c r="AK110" s="169"/>
      <c r="AL110" s="169"/>
      <c r="AM110" s="169"/>
      <c r="AN110" s="138"/>
      <c r="AO110" s="138"/>
      <c r="AP110" s="160"/>
      <c r="AQ110" s="160"/>
      <c r="AR110" s="160"/>
      <c r="AS110" s="160"/>
    </row>
    <row r="111" spans="1:45" x14ac:dyDescent="0.3">
      <c r="A111" s="138"/>
      <c r="B111" s="138"/>
      <c r="C111" s="138"/>
      <c r="D111" s="138"/>
      <c r="E111" s="138"/>
      <c r="F111" s="160"/>
      <c r="G111" s="138"/>
      <c r="H111" s="160"/>
      <c r="I111" s="138"/>
      <c r="J111" s="138"/>
      <c r="K111" s="138"/>
      <c r="L111" s="165"/>
      <c r="M111" s="165"/>
      <c r="N111" s="138"/>
      <c r="O111" s="138"/>
      <c r="R111" s="138"/>
      <c r="S111" s="138"/>
      <c r="T111" s="138"/>
      <c r="V111" s="138"/>
      <c r="W111" s="166"/>
      <c r="X111" s="138"/>
      <c r="Y111" s="166"/>
      <c r="AA111" s="138"/>
      <c r="AB111" s="138"/>
      <c r="AC111" s="168"/>
      <c r="AD111" s="160"/>
      <c r="AE111" s="160"/>
      <c r="AF111" s="160"/>
      <c r="AG111" s="160"/>
      <c r="AH111" s="160"/>
      <c r="AI111" s="166"/>
      <c r="AJ111" s="169"/>
      <c r="AK111" s="169"/>
      <c r="AL111" s="169"/>
      <c r="AM111" s="169"/>
      <c r="AN111" s="138"/>
      <c r="AO111" s="138"/>
      <c r="AP111" s="160"/>
      <c r="AQ111" s="160"/>
      <c r="AR111" s="160"/>
      <c r="AS111" s="160"/>
    </row>
    <row r="112" spans="1:45" x14ac:dyDescent="0.3">
      <c r="A112" s="138"/>
      <c r="B112" s="138"/>
      <c r="C112" s="138"/>
      <c r="D112" s="138"/>
      <c r="E112" s="138"/>
      <c r="F112" s="160"/>
      <c r="G112" s="138"/>
      <c r="H112" s="160"/>
      <c r="I112" s="138"/>
      <c r="J112" s="138"/>
      <c r="K112" s="138"/>
      <c r="L112" s="165"/>
      <c r="M112" s="165"/>
      <c r="N112" s="138"/>
      <c r="O112" s="138"/>
      <c r="R112" s="138"/>
      <c r="S112" s="138"/>
      <c r="T112" s="138"/>
      <c r="V112" s="138"/>
      <c r="W112" s="166"/>
      <c r="X112" s="138"/>
      <c r="Y112" s="166"/>
      <c r="AA112" s="138"/>
      <c r="AB112" s="138"/>
      <c r="AC112" s="168"/>
      <c r="AD112" s="160"/>
      <c r="AE112" s="160"/>
      <c r="AF112" s="160"/>
      <c r="AG112" s="160"/>
      <c r="AH112" s="160"/>
      <c r="AI112" s="166"/>
      <c r="AJ112" s="169"/>
      <c r="AK112" s="169"/>
      <c r="AL112" s="169"/>
      <c r="AM112" s="169"/>
      <c r="AN112" s="138"/>
      <c r="AO112" s="138"/>
      <c r="AP112" s="160"/>
      <c r="AQ112" s="160"/>
      <c r="AR112" s="160"/>
      <c r="AS112" s="160"/>
    </row>
    <row r="113" spans="1:45" x14ac:dyDescent="0.3">
      <c r="A113" s="138"/>
      <c r="B113" s="138"/>
      <c r="C113" s="138"/>
      <c r="D113" s="138"/>
      <c r="E113" s="138"/>
      <c r="F113" s="160"/>
      <c r="G113" s="138"/>
      <c r="H113" s="160"/>
      <c r="I113" s="138"/>
      <c r="J113" s="138"/>
      <c r="K113" s="138"/>
      <c r="L113" s="165"/>
      <c r="M113" s="165"/>
      <c r="N113" s="138"/>
      <c r="O113" s="138"/>
      <c r="R113" s="138"/>
      <c r="S113" s="138"/>
      <c r="T113" s="138"/>
      <c r="V113" s="138"/>
      <c r="W113" s="166"/>
      <c r="X113" s="138"/>
      <c r="Y113" s="166"/>
      <c r="AA113" s="138"/>
      <c r="AB113" s="138"/>
      <c r="AC113" s="168"/>
      <c r="AD113" s="160"/>
      <c r="AE113" s="160"/>
      <c r="AF113" s="160"/>
      <c r="AG113" s="160"/>
      <c r="AH113" s="160"/>
      <c r="AI113" s="166"/>
      <c r="AJ113" s="169"/>
      <c r="AK113" s="169"/>
      <c r="AL113" s="169"/>
      <c r="AM113" s="169"/>
      <c r="AN113" s="138"/>
      <c r="AO113" s="138"/>
      <c r="AP113" s="160"/>
      <c r="AQ113" s="160"/>
      <c r="AR113" s="160"/>
      <c r="AS113" s="160"/>
    </row>
    <row r="114" spans="1:45" x14ac:dyDescent="0.3">
      <c r="A114" s="138"/>
      <c r="B114" s="138"/>
      <c r="C114" s="138"/>
      <c r="D114" s="138"/>
      <c r="E114" s="138"/>
      <c r="F114" s="160"/>
      <c r="G114" s="138"/>
      <c r="H114" s="160"/>
      <c r="I114" s="138"/>
      <c r="J114" s="138"/>
      <c r="K114" s="138"/>
      <c r="L114" s="165"/>
      <c r="M114" s="165"/>
      <c r="N114" s="138"/>
      <c r="O114" s="138"/>
      <c r="R114" s="138"/>
      <c r="S114" s="138"/>
      <c r="T114" s="138"/>
      <c r="V114" s="138"/>
      <c r="W114" s="166"/>
      <c r="X114" s="138"/>
      <c r="Y114" s="166"/>
      <c r="AA114" s="138"/>
      <c r="AB114" s="138"/>
      <c r="AC114" s="168"/>
      <c r="AD114" s="160"/>
      <c r="AE114" s="160"/>
      <c r="AF114" s="160"/>
      <c r="AG114" s="160"/>
      <c r="AH114" s="160"/>
      <c r="AI114" s="166"/>
      <c r="AJ114" s="169"/>
      <c r="AK114" s="169"/>
      <c r="AL114" s="169"/>
      <c r="AM114" s="169"/>
      <c r="AN114" s="138"/>
      <c r="AO114" s="138"/>
      <c r="AP114" s="160"/>
      <c r="AQ114" s="160"/>
      <c r="AR114" s="160"/>
      <c r="AS114" s="160"/>
    </row>
    <row r="115" spans="1:45" x14ac:dyDescent="0.3">
      <c r="A115" s="138"/>
      <c r="B115" s="138"/>
      <c r="C115" s="138"/>
      <c r="D115" s="138"/>
      <c r="E115" s="138"/>
      <c r="F115" s="160"/>
      <c r="G115" s="138"/>
      <c r="H115" s="160"/>
      <c r="I115" s="138"/>
      <c r="J115" s="138"/>
      <c r="K115" s="138"/>
      <c r="L115" s="165"/>
      <c r="M115" s="165"/>
      <c r="N115" s="138"/>
      <c r="O115" s="138"/>
      <c r="R115" s="138"/>
      <c r="S115" s="138"/>
      <c r="T115" s="138"/>
      <c r="V115" s="138"/>
      <c r="W115" s="166"/>
      <c r="X115" s="138"/>
      <c r="Y115" s="166"/>
      <c r="AA115" s="138"/>
      <c r="AB115" s="138"/>
      <c r="AC115" s="168"/>
      <c r="AD115" s="160"/>
      <c r="AE115" s="160"/>
      <c r="AF115" s="160"/>
      <c r="AG115" s="160"/>
      <c r="AH115" s="160"/>
      <c r="AI115" s="166"/>
      <c r="AJ115" s="169"/>
      <c r="AK115" s="169"/>
      <c r="AL115" s="169"/>
      <c r="AM115" s="169"/>
      <c r="AN115" s="138"/>
      <c r="AO115" s="138"/>
      <c r="AP115" s="160"/>
      <c r="AQ115" s="160"/>
      <c r="AR115" s="160"/>
      <c r="AS115" s="160"/>
    </row>
    <row r="116" spans="1:45" x14ac:dyDescent="0.3">
      <c r="A116" s="138"/>
      <c r="B116" s="138"/>
      <c r="C116" s="138"/>
      <c r="D116" s="138"/>
      <c r="E116" s="138"/>
      <c r="F116" s="160"/>
      <c r="G116" s="138"/>
      <c r="H116" s="160"/>
      <c r="I116" s="138"/>
      <c r="J116" s="138"/>
      <c r="K116" s="138"/>
      <c r="L116" s="165"/>
      <c r="M116" s="165"/>
      <c r="N116" s="138"/>
      <c r="O116" s="138"/>
      <c r="R116" s="138"/>
      <c r="S116" s="138"/>
      <c r="T116" s="138"/>
      <c r="V116" s="138"/>
      <c r="W116" s="166"/>
      <c r="X116" s="138"/>
      <c r="Y116" s="166"/>
      <c r="AA116" s="138"/>
      <c r="AB116" s="138"/>
      <c r="AC116" s="168"/>
      <c r="AD116" s="160"/>
      <c r="AE116" s="160"/>
      <c r="AF116" s="160"/>
      <c r="AG116" s="160"/>
      <c r="AH116" s="160"/>
      <c r="AI116" s="166"/>
      <c r="AJ116" s="169"/>
      <c r="AK116" s="169"/>
      <c r="AL116" s="169"/>
      <c r="AM116" s="169"/>
      <c r="AN116" s="138"/>
      <c r="AO116" s="138"/>
      <c r="AP116" s="160"/>
      <c r="AQ116" s="160"/>
      <c r="AR116" s="160"/>
      <c r="AS116" s="160"/>
    </row>
    <row r="117" spans="1:45" x14ac:dyDescent="0.3">
      <c r="A117" s="138"/>
      <c r="B117" s="138"/>
      <c r="C117" s="138"/>
      <c r="D117" s="138"/>
      <c r="E117" s="138"/>
      <c r="F117" s="160"/>
      <c r="G117" s="138"/>
      <c r="H117" s="160"/>
      <c r="I117" s="138"/>
      <c r="J117" s="138"/>
      <c r="K117" s="138"/>
      <c r="L117" s="165"/>
      <c r="M117" s="165"/>
      <c r="N117" s="138"/>
      <c r="O117" s="138"/>
      <c r="R117" s="138"/>
      <c r="S117" s="138"/>
      <c r="T117" s="138"/>
      <c r="V117" s="138"/>
      <c r="W117" s="166"/>
      <c r="X117" s="138"/>
      <c r="Y117" s="166"/>
      <c r="AA117" s="138"/>
      <c r="AB117" s="138"/>
      <c r="AC117" s="168"/>
      <c r="AD117" s="160"/>
      <c r="AE117" s="160"/>
      <c r="AF117" s="160"/>
      <c r="AG117" s="160"/>
      <c r="AH117" s="160"/>
      <c r="AI117" s="166"/>
      <c r="AJ117" s="169"/>
      <c r="AK117" s="169"/>
      <c r="AL117" s="169"/>
      <c r="AM117" s="169"/>
      <c r="AN117" s="138"/>
      <c r="AO117" s="138"/>
      <c r="AP117" s="160"/>
      <c r="AQ117" s="160"/>
      <c r="AR117" s="160"/>
      <c r="AS117" s="160"/>
    </row>
    <row r="118" spans="1:45" x14ac:dyDescent="0.3">
      <c r="A118" s="138"/>
      <c r="B118" s="138"/>
      <c r="C118" s="138"/>
      <c r="D118" s="138"/>
      <c r="E118" s="138"/>
      <c r="F118" s="160"/>
      <c r="G118" s="138"/>
      <c r="H118" s="160"/>
      <c r="I118" s="138"/>
      <c r="J118" s="138"/>
      <c r="K118" s="138"/>
      <c r="L118" s="165"/>
      <c r="M118" s="165"/>
      <c r="N118" s="138"/>
      <c r="O118" s="138"/>
      <c r="R118" s="138"/>
      <c r="S118" s="138"/>
      <c r="T118" s="138"/>
      <c r="V118" s="138"/>
      <c r="W118" s="166"/>
      <c r="X118" s="138"/>
      <c r="Y118" s="166"/>
      <c r="AA118" s="138"/>
      <c r="AB118" s="138"/>
      <c r="AC118" s="168"/>
      <c r="AD118" s="160"/>
      <c r="AE118" s="160"/>
      <c r="AF118" s="160"/>
      <c r="AG118" s="160"/>
      <c r="AH118" s="160"/>
      <c r="AI118" s="166"/>
      <c r="AJ118" s="169"/>
      <c r="AK118" s="169"/>
      <c r="AL118" s="169"/>
      <c r="AM118" s="169"/>
      <c r="AN118" s="138"/>
      <c r="AO118" s="138"/>
      <c r="AP118" s="160"/>
      <c r="AQ118" s="160"/>
      <c r="AR118" s="160"/>
      <c r="AS118" s="160"/>
    </row>
    <row r="119" spans="1:45" x14ac:dyDescent="0.3">
      <c r="A119" s="138"/>
      <c r="B119" s="138"/>
      <c r="C119" s="138"/>
      <c r="D119" s="138"/>
      <c r="E119" s="138"/>
      <c r="F119" s="160"/>
      <c r="G119" s="138"/>
      <c r="H119" s="160"/>
      <c r="I119" s="138"/>
      <c r="J119" s="138"/>
      <c r="K119" s="138"/>
      <c r="L119" s="165"/>
      <c r="M119" s="165"/>
      <c r="N119" s="138"/>
      <c r="O119" s="138"/>
      <c r="R119" s="138"/>
      <c r="S119" s="138"/>
      <c r="T119" s="138"/>
      <c r="V119" s="138"/>
      <c r="W119" s="166"/>
      <c r="X119" s="138"/>
      <c r="Y119" s="166"/>
      <c r="AA119" s="138"/>
      <c r="AB119" s="138"/>
      <c r="AC119" s="168"/>
      <c r="AD119" s="160"/>
      <c r="AE119" s="160"/>
      <c r="AF119" s="160"/>
      <c r="AG119" s="160"/>
      <c r="AH119" s="160"/>
      <c r="AI119" s="166"/>
      <c r="AJ119" s="169"/>
      <c r="AK119" s="169"/>
      <c r="AL119" s="169"/>
      <c r="AM119" s="169"/>
      <c r="AN119" s="138"/>
      <c r="AO119" s="138"/>
      <c r="AP119" s="160"/>
      <c r="AQ119" s="160"/>
      <c r="AR119" s="160"/>
      <c r="AS119" s="160"/>
    </row>
    <row r="120" spans="1:45" x14ac:dyDescent="0.3">
      <c r="A120" s="138"/>
      <c r="B120" s="138"/>
      <c r="C120" s="138"/>
      <c r="D120" s="138"/>
      <c r="E120" s="138"/>
      <c r="F120" s="160"/>
      <c r="G120" s="138"/>
      <c r="H120" s="160"/>
      <c r="I120" s="138"/>
      <c r="J120" s="138"/>
      <c r="K120" s="138"/>
      <c r="L120" s="165"/>
      <c r="M120" s="165"/>
      <c r="N120" s="138"/>
      <c r="O120" s="138"/>
      <c r="R120" s="138"/>
      <c r="S120" s="138"/>
      <c r="T120" s="138"/>
      <c r="V120" s="138"/>
      <c r="W120" s="166"/>
      <c r="X120" s="138"/>
      <c r="Y120" s="166"/>
      <c r="AA120" s="138"/>
      <c r="AB120" s="138"/>
      <c r="AC120" s="168"/>
      <c r="AD120" s="160"/>
      <c r="AE120" s="160"/>
      <c r="AF120" s="160"/>
      <c r="AG120" s="160"/>
      <c r="AH120" s="160"/>
      <c r="AI120" s="166"/>
      <c r="AJ120" s="169"/>
      <c r="AK120" s="169"/>
      <c r="AL120" s="169"/>
      <c r="AM120" s="169"/>
      <c r="AN120" s="138"/>
      <c r="AO120" s="138"/>
      <c r="AP120" s="160"/>
      <c r="AQ120" s="160"/>
      <c r="AR120" s="160"/>
      <c r="AS120" s="160"/>
    </row>
    <row r="121" spans="1:45" x14ac:dyDescent="0.3">
      <c r="A121" s="138"/>
      <c r="B121" s="138"/>
      <c r="C121" s="138"/>
      <c r="D121" s="138"/>
      <c r="E121" s="138"/>
      <c r="F121" s="160"/>
      <c r="G121" s="138"/>
      <c r="H121" s="160"/>
      <c r="I121" s="138"/>
      <c r="J121" s="138"/>
      <c r="K121" s="138"/>
      <c r="L121" s="165"/>
      <c r="M121" s="165"/>
      <c r="N121" s="138"/>
      <c r="O121" s="138"/>
      <c r="R121" s="138"/>
      <c r="S121" s="138"/>
      <c r="T121" s="138"/>
      <c r="V121" s="138"/>
      <c r="W121" s="166"/>
      <c r="X121" s="138"/>
      <c r="Y121" s="166"/>
      <c r="AA121" s="138"/>
      <c r="AB121" s="138"/>
      <c r="AC121" s="168"/>
      <c r="AD121" s="160"/>
      <c r="AE121" s="160"/>
      <c r="AF121" s="160"/>
      <c r="AG121" s="160"/>
      <c r="AH121" s="160"/>
      <c r="AI121" s="166"/>
      <c r="AJ121" s="169"/>
      <c r="AK121" s="169"/>
      <c r="AL121" s="169"/>
      <c r="AM121" s="169"/>
      <c r="AN121" s="138"/>
      <c r="AO121" s="138"/>
      <c r="AP121" s="160"/>
      <c r="AQ121" s="160"/>
      <c r="AR121" s="160"/>
      <c r="AS121" s="160"/>
    </row>
    <row r="122" spans="1:45" x14ac:dyDescent="0.3">
      <c r="A122" s="138"/>
      <c r="B122" s="138"/>
      <c r="C122" s="138"/>
      <c r="D122" s="138"/>
      <c r="E122" s="138"/>
      <c r="F122" s="160"/>
      <c r="G122" s="138"/>
      <c r="H122" s="160"/>
      <c r="I122" s="138"/>
      <c r="J122" s="138"/>
      <c r="K122" s="138"/>
      <c r="L122" s="165"/>
      <c r="M122" s="165"/>
      <c r="N122" s="138"/>
      <c r="O122" s="138"/>
      <c r="R122" s="138"/>
      <c r="S122" s="138"/>
      <c r="T122" s="138"/>
      <c r="V122" s="138"/>
      <c r="W122" s="166"/>
      <c r="X122" s="138"/>
      <c r="Y122" s="166"/>
      <c r="AA122" s="138"/>
      <c r="AB122" s="138"/>
      <c r="AC122" s="168"/>
      <c r="AD122" s="160"/>
      <c r="AE122" s="160"/>
      <c r="AF122" s="160"/>
      <c r="AG122" s="160"/>
      <c r="AH122" s="160"/>
      <c r="AI122" s="166"/>
      <c r="AJ122" s="169"/>
      <c r="AK122" s="169"/>
      <c r="AL122" s="169"/>
      <c r="AM122" s="169"/>
      <c r="AN122" s="138"/>
      <c r="AO122" s="138"/>
      <c r="AP122" s="160"/>
      <c r="AQ122" s="160"/>
      <c r="AR122" s="160"/>
      <c r="AS122" s="160"/>
    </row>
    <row r="123" spans="1:45" x14ac:dyDescent="0.3">
      <c r="A123" s="138"/>
      <c r="B123" s="138"/>
      <c r="C123" s="138"/>
      <c r="D123" s="138"/>
      <c r="E123" s="138"/>
      <c r="F123" s="160"/>
      <c r="G123" s="138"/>
      <c r="H123" s="160"/>
      <c r="I123" s="138"/>
      <c r="J123" s="138"/>
      <c r="K123" s="138"/>
      <c r="L123" s="165"/>
      <c r="M123" s="165"/>
      <c r="N123" s="138"/>
      <c r="O123" s="138"/>
      <c r="R123" s="138"/>
      <c r="S123" s="138"/>
      <c r="T123" s="138"/>
      <c r="V123" s="138"/>
      <c r="W123" s="166"/>
      <c r="X123" s="138"/>
      <c r="Y123" s="166"/>
      <c r="AA123" s="138"/>
      <c r="AB123" s="138"/>
      <c r="AC123" s="168"/>
      <c r="AD123" s="160"/>
      <c r="AE123" s="160"/>
      <c r="AF123" s="160"/>
      <c r="AG123" s="160"/>
      <c r="AH123" s="160"/>
      <c r="AI123" s="166"/>
      <c r="AJ123" s="169"/>
      <c r="AK123" s="169"/>
      <c r="AL123" s="169"/>
      <c r="AM123" s="169"/>
      <c r="AN123" s="138"/>
      <c r="AO123" s="138"/>
      <c r="AP123" s="160"/>
      <c r="AQ123" s="160"/>
      <c r="AR123" s="160"/>
      <c r="AS123" s="160"/>
    </row>
    <row r="124" spans="1:45" x14ac:dyDescent="0.3">
      <c r="A124" s="138"/>
      <c r="B124" s="138"/>
      <c r="C124" s="138"/>
      <c r="D124" s="138"/>
      <c r="E124" s="138"/>
      <c r="F124" s="160"/>
      <c r="G124" s="138"/>
      <c r="H124" s="160"/>
      <c r="I124" s="138"/>
      <c r="J124" s="138"/>
      <c r="K124" s="138"/>
      <c r="L124" s="165"/>
      <c r="M124" s="165"/>
      <c r="N124" s="138"/>
      <c r="O124" s="138"/>
      <c r="R124" s="138"/>
      <c r="S124" s="138"/>
      <c r="T124" s="138"/>
      <c r="V124" s="138"/>
      <c r="W124" s="166"/>
      <c r="X124" s="138"/>
      <c r="Y124" s="166"/>
      <c r="AA124" s="138"/>
      <c r="AB124" s="138"/>
      <c r="AC124" s="168"/>
      <c r="AD124" s="160"/>
      <c r="AE124" s="160"/>
      <c r="AF124" s="160"/>
      <c r="AG124" s="160"/>
      <c r="AH124" s="160"/>
      <c r="AI124" s="166"/>
      <c r="AJ124" s="169"/>
      <c r="AK124" s="169"/>
      <c r="AL124" s="169"/>
      <c r="AM124" s="169"/>
      <c r="AN124" s="138"/>
      <c r="AO124" s="138"/>
      <c r="AP124" s="160"/>
      <c r="AQ124" s="160"/>
      <c r="AR124" s="160"/>
      <c r="AS124" s="160"/>
    </row>
    <row r="125" spans="1:45" x14ac:dyDescent="0.3">
      <c r="A125" s="138"/>
      <c r="B125" s="138"/>
      <c r="C125" s="138"/>
      <c r="D125" s="138"/>
      <c r="E125" s="138"/>
      <c r="F125" s="160"/>
      <c r="G125" s="138"/>
      <c r="H125" s="160"/>
      <c r="I125" s="138"/>
      <c r="J125" s="138"/>
      <c r="K125" s="138"/>
      <c r="L125" s="165"/>
      <c r="M125" s="165"/>
      <c r="N125" s="138"/>
      <c r="O125" s="138"/>
      <c r="R125" s="138"/>
      <c r="S125" s="138"/>
      <c r="T125" s="138"/>
      <c r="V125" s="138"/>
      <c r="W125" s="166"/>
      <c r="X125" s="138"/>
      <c r="Y125" s="166"/>
      <c r="AA125" s="138"/>
      <c r="AB125" s="138"/>
      <c r="AC125" s="168"/>
      <c r="AD125" s="160"/>
      <c r="AE125" s="160"/>
      <c r="AF125" s="160"/>
      <c r="AG125" s="160"/>
      <c r="AH125" s="160"/>
      <c r="AI125" s="166"/>
      <c r="AJ125" s="169"/>
      <c r="AK125" s="169"/>
      <c r="AL125" s="169"/>
      <c r="AM125" s="169"/>
      <c r="AN125" s="138"/>
      <c r="AO125" s="138"/>
      <c r="AP125" s="160"/>
      <c r="AQ125" s="160"/>
      <c r="AR125" s="160"/>
      <c r="AS125" s="160"/>
    </row>
    <row r="126" spans="1:45" x14ac:dyDescent="0.3">
      <c r="A126" s="138"/>
      <c r="B126" s="138"/>
      <c r="C126" s="138"/>
      <c r="D126" s="138"/>
      <c r="E126" s="138"/>
      <c r="F126" s="160"/>
      <c r="G126" s="138"/>
      <c r="H126" s="160"/>
      <c r="I126" s="138"/>
      <c r="J126" s="138"/>
      <c r="K126" s="138"/>
      <c r="L126" s="165"/>
      <c r="M126" s="165"/>
      <c r="N126" s="138"/>
      <c r="O126" s="138"/>
      <c r="R126" s="138"/>
      <c r="S126" s="138"/>
      <c r="T126" s="138"/>
      <c r="V126" s="138"/>
      <c r="W126" s="166"/>
      <c r="X126" s="138"/>
      <c r="Y126" s="166"/>
      <c r="AA126" s="138"/>
      <c r="AB126" s="138"/>
      <c r="AC126" s="168"/>
      <c r="AD126" s="160"/>
      <c r="AE126" s="160"/>
      <c r="AF126" s="160"/>
      <c r="AG126" s="160"/>
      <c r="AH126" s="160"/>
      <c r="AI126" s="166"/>
      <c r="AJ126" s="169"/>
      <c r="AK126" s="169"/>
      <c r="AL126" s="169"/>
      <c r="AM126" s="169"/>
      <c r="AN126" s="138"/>
      <c r="AO126" s="138"/>
      <c r="AP126" s="160"/>
      <c r="AQ126" s="160"/>
      <c r="AR126" s="160"/>
      <c r="AS126" s="160"/>
    </row>
    <row r="127" spans="1:45" x14ac:dyDescent="0.3">
      <c r="A127" s="138"/>
      <c r="B127" s="138"/>
      <c r="C127" s="138"/>
      <c r="D127" s="138"/>
      <c r="E127" s="138"/>
      <c r="F127" s="160"/>
      <c r="G127" s="138"/>
      <c r="H127" s="160"/>
      <c r="I127" s="138"/>
      <c r="J127" s="138"/>
      <c r="K127" s="138"/>
      <c r="L127" s="165"/>
      <c r="M127" s="165"/>
      <c r="N127" s="138"/>
      <c r="O127" s="138"/>
      <c r="R127" s="138"/>
      <c r="S127" s="138"/>
      <c r="T127" s="138"/>
      <c r="V127" s="138"/>
      <c r="W127" s="166"/>
      <c r="X127" s="138"/>
      <c r="Y127" s="166"/>
      <c r="AA127" s="138"/>
      <c r="AB127" s="138"/>
      <c r="AC127" s="168"/>
      <c r="AD127" s="160"/>
      <c r="AE127" s="160"/>
      <c r="AF127" s="160"/>
      <c r="AG127" s="160"/>
      <c r="AH127" s="160"/>
      <c r="AI127" s="166"/>
      <c r="AJ127" s="169"/>
      <c r="AK127" s="169"/>
      <c r="AL127" s="169"/>
      <c r="AM127" s="169"/>
      <c r="AN127" s="138"/>
      <c r="AO127" s="138"/>
      <c r="AP127" s="160"/>
      <c r="AQ127" s="160"/>
      <c r="AR127" s="160"/>
      <c r="AS127" s="160"/>
    </row>
    <row r="128" spans="1:45" x14ac:dyDescent="0.3">
      <c r="A128" s="138"/>
      <c r="B128" s="138"/>
      <c r="C128" s="138"/>
      <c r="D128" s="138"/>
      <c r="E128" s="138"/>
      <c r="F128" s="160"/>
      <c r="G128" s="138"/>
      <c r="H128" s="160"/>
      <c r="I128" s="138"/>
      <c r="J128" s="138"/>
      <c r="K128" s="138"/>
      <c r="L128" s="165"/>
      <c r="M128" s="165"/>
      <c r="N128" s="138"/>
      <c r="O128" s="138"/>
      <c r="R128" s="138"/>
      <c r="S128" s="138"/>
      <c r="T128" s="138"/>
      <c r="V128" s="138"/>
      <c r="W128" s="166"/>
      <c r="X128" s="138"/>
      <c r="Y128" s="166"/>
      <c r="AA128" s="138"/>
      <c r="AB128" s="138"/>
      <c r="AC128" s="168"/>
      <c r="AD128" s="160"/>
      <c r="AE128" s="160"/>
      <c r="AF128" s="160"/>
      <c r="AG128" s="160"/>
      <c r="AH128" s="160"/>
      <c r="AI128" s="166"/>
      <c r="AJ128" s="169"/>
      <c r="AK128" s="169"/>
      <c r="AL128" s="169"/>
      <c r="AM128" s="169"/>
      <c r="AN128" s="138"/>
      <c r="AO128" s="138"/>
      <c r="AP128" s="160"/>
      <c r="AQ128" s="160"/>
      <c r="AR128" s="160"/>
      <c r="AS128" s="160"/>
    </row>
    <row r="129" spans="1:45" x14ac:dyDescent="0.3">
      <c r="A129" s="138"/>
      <c r="B129" s="138"/>
      <c r="C129" s="138"/>
      <c r="D129" s="138"/>
      <c r="E129" s="138"/>
      <c r="F129" s="160"/>
      <c r="G129" s="138"/>
      <c r="H129" s="160"/>
      <c r="I129" s="138"/>
      <c r="J129" s="138"/>
      <c r="K129" s="138"/>
      <c r="L129" s="165"/>
      <c r="M129" s="165"/>
      <c r="N129" s="138"/>
      <c r="O129" s="138"/>
      <c r="R129" s="138"/>
      <c r="S129" s="138"/>
      <c r="T129" s="138"/>
      <c r="V129" s="138"/>
      <c r="W129" s="166"/>
      <c r="X129" s="138"/>
      <c r="Y129" s="166"/>
      <c r="AA129" s="138"/>
      <c r="AB129" s="138"/>
      <c r="AC129" s="168"/>
      <c r="AD129" s="160"/>
      <c r="AE129" s="160"/>
      <c r="AF129" s="160"/>
      <c r="AG129" s="160"/>
      <c r="AH129" s="160"/>
      <c r="AI129" s="166"/>
      <c r="AJ129" s="169"/>
      <c r="AK129" s="169"/>
      <c r="AL129" s="169"/>
      <c r="AM129" s="169"/>
      <c r="AN129" s="138"/>
      <c r="AO129" s="138"/>
      <c r="AP129" s="160"/>
      <c r="AQ129" s="160"/>
      <c r="AR129" s="160"/>
      <c r="AS129" s="160"/>
    </row>
    <row r="130" spans="1:45" x14ac:dyDescent="0.3">
      <c r="A130" s="138"/>
      <c r="B130" s="138"/>
      <c r="C130" s="138"/>
      <c r="D130" s="138"/>
      <c r="E130" s="138"/>
      <c r="F130" s="160"/>
      <c r="G130" s="138"/>
      <c r="H130" s="160"/>
      <c r="I130" s="138"/>
      <c r="J130" s="138"/>
      <c r="K130" s="138"/>
      <c r="L130" s="165"/>
      <c r="M130" s="165"/>
      <c r="N130" s="138"/>
      <c r="O130" s="138"/>
      <c r="R130" s="138"/>
      <c r="S130" s="138"/>
      <c r="T130" s="138"/>
      <c r="V130" s="138"/>
      <c r="W130" s="166"/>
      <c r="X130" s="138"/>
      <c r="Y130" s="166"/>
      <c r="AA130" s="138"/>
      <c r="AB130" s="138"/>
      <c r="AC130" s="168"/>
      <c r="AD130" s="160"/>
      <c r="AE130" s="160"/>
      <c r="AF130" s="160"/>
      <c r="AG130" s="160"/>
      <c r="AH130" s="160"/>
      <c r="AI130" s="166"/>
      <c r="AJ130" s="169"/>
      <c r="AK130" s="169"/>
      <c r="AL130" s="169"/>
      <c r="AM130" s="169"/>
      <c r="AN130" s="138"/>
      <c r="AO130" s="138"/>
      <c r="AP130" s="160"/>
      <c r="AQ130" s="160"/>
      <c r="AR130" s="160"/>
      <c r="AS130" s="160"/>
    </row>
    <row r="131" spans="1:45" x14ac:dyDescent="0.3">
      <c r="A131" s="138"/>
      <c r="B131" s="138"/>
      <c r="C131" s="138"/>
      <c r="D131" s="138"/>
      <c r="E131" s="138"/>
      <c r="F131" s="160"/>
      <c r="G131" s="138"/>
      <c r="H131" s="160"/>
      <c r="I131" s="138"/>
      <c r="J131" s="138"/>
      <c r="K131" s="138"/>
      <c r="L131" s="165"/>
      <c r="M131" s="165"/>
      <c r="N131" s="138"/>
      <c r="O131" s="138"/>
      <c r="R131" s="138"/>
      <c r="S131" s="138"/>
      <c r="T131" s="138"/>
      <c r="V131" s="138"/>
      <c r="W131" s="166"/>
      <c r="X131" s="138"/>
      <c r="Y131" s="166"/>
      <c r="AA131" s="138"/>
      <c r="AB131" s="138"/>
      <c r="AC131" s="168"/>
      <c r="AD131" s="160"/>
      <c r="AE131" s="160"/>
      <c r="AF131" s="160"/>
      <c r="AG131" s="160"/>
      <c r="AH131" s="160"/>
      <c r="AI131" s="166"/>
      <c r="AJ131" s="169"/>
      <c r="AK131" s="169"/>
      <c r="AL131" s="169"/>
      <c r="AM131" s="169"/>
      <c r="AN131" s="138"/>
      <c r="AO131" s="138"/>
      <c r="AP131" s="160"/>
      <c r="AQ131" s="160"/>
      <c r="AR131" s="160"/>
      <c r="AS131" s="160"/>
    </row>
    <row r="132" spans="1:45" x14ac:dyDescent="0.3">
      <c r="A132" s="138"/>
      <c r="B132" s="138"/>
      <c r="C132" s="138"/>
      <c r="D132" s="138"/>
      <c r="E132" s="138"/>
      <c r="F132" s="160"/>
      <c r="G132" s="138"/>
      <c r="H132" s="160"/>
      <c r="I132" s="138"/>
      <c r="J132" s="138"/>
      <c r="K132" s="138"/>
      <c r="L132" s="165"/>
      <c r="M132" s="165"/>
      <c r="N132" s="138"/>
      <c r="O132" s="138"/>
      <c r="R132" s="138"/>
      <c r="S132" s="138"/>
      <c r="T132" s="138"/>
      <c r="V132" s="138"/>
      <c r="W132" s="166"/>
      <c r="X132" s="138"/>
      <c r="Y132" s="166"/>
      <c r="AA132" s="138"/>
      <c r="AB132" s="138"/>
      <c r="AC132" s="168"/>
      <c r="AD132" s="160"/>
      <c r="AE132" s="160"/>
      <c r="AF132" s="160"/>
      <c r="AG132" s="160"/>
      <c r="AH132" s="160"/>
      <c r="AI132" s="166"/>
      <c r="AJ132" s="169"/>
      <c r="AK132" s="169"/>
      <c r="AL132" s="169"/>
      <c r="AM132" s="169"/>
      <c r="AN132" s="138"/>
      <c r="AO132" s="138"/>
      <c r="AP132" s="160"/>
      <c r="AQ132" s="160"/>
      <c r="AR132" s="160"/>
      <c r="AS132" s="160"/>
    </row>
    <row r="133" spans="1:45" x14ac:dyDescent="0.3">
      <c r="A133" s="138"/>
      <c r="B133" s="138"/>
      <c r="C133" s="138"/>
      <c r="D133" s="138"/>
      <c r="E133" s="138"/>
      <c r="F133" s="160"/>
      <c r="G133" s="138"/>
      <c r="H133" s="160"/>
      <c r="I133" s="138"/>
      <c r="J133" s="138"/>
      <c r="K133" s="138"/>
      <c r="L133" s="165"/>
      <c r="M133" s="165"/>
      <c r="N133" s="138"/>
      <c r="O133" s="138"/>
      <c r="R133" s="138"/>
      <c r="S133" s="138"/>
      <c r="T133" s="138"/>
      <c r="V133" s="138"/>
      <c r="W133" s="166"/>
      <c r="X133" s="138"/>
      <c r="Y133" s="166"/>
      <c r="AA133" s="138"/>
      <c r="AB133" s="138"/>
      <c r="AC133" s="168"/>
      <c r="AD133" s="160"/>
      <c r="AE133" s="160"/>
      <c r="AF133" s="160"/>
      <c r="AG133" s="160"/>
      <c r="AH133" s="160"/>
      <c r="AI133" s="166"/>
      <c r="AJ133" s="169"/>
      <c r="AK133" s="169"/>
      <c r="AL133" s="169"/>
      <c r="AM133" s="169"/>
      <c r="AN133" s="138"/>
      <c r="AO133" s="138"/>
      <c r="AP133" s="160"/>
      <c r="AQ133" s="160"/>
      <c r="AR133" s="160"/>
      <c r="AS133" s="160"/>
    </row>
    <row r="134" spans="1:45" x14ac:dyDescent="0.3">
      <c r="A134" s="138"/>
      <c r="B134" s="138"/>
      <c r="C134" s="138"/>
      <c r="D134" s="138"/>
      <c r="E134" s="138"/>
      <c r="F134" s="160"/>
      <c r="G134" s="138"/>
      <c r="H134" s="160"/>
      <c r="I134" s="138"/>
      <c r="J134" s="138"/>
      <c r="K134" s="138"/>
      <c r="L134" s="165"/>
      <c r="M134" s="165"/>
      <c r="N134" s="138"/>
      <c r="O134" s="138"/>
      <c r="R134" s="138"/>
      <c r="S134" s="138"/>
      <c r="T134" s="138"/>
      <c r="V134" s="138"/>
      <c r="W134" s="166"/>
      <c r="X134" s="138"/>
      <c r="Y134" s="166"/>
      <c r="AA134" s="138"/>
      <c r="AB134" s="138"/>
      <c r="AC134" s="168"/>
      <c r="AD134" s="160"/>
      <c r="AE134" s="160"/>
      <c r="AF134" s="160"/>
      <c r="AG134" s="160"/>
      <c r="AH134" s="160"/>
      <c r="AI134" s="166"/>
      <c r="AJ134" s="169"/>
      <c r="AK134" s="169"/>
      <c r="AL134" s="169"/>
      <c r="AM134" s="169"/>
      <c r="AN134" s="138"/>
      <c r="AO134" s="138"/>
      <c r="AP134" s="160"/>
      <c r="AQ134" s="160"/>
      <c r="AR134" s="160"/>
      <c r="AS134" s="160"/>
    </row>
    <row r="135" spans="1:45" x14ac:dyDescent="0.3">
      <c r="A135" s="138"/>
      <c r="B135" s="138"/>
      <c r="C135" s="138"/>
      <c r="D135" s="138"/>
      <c r="E135" s="138"/>
      <c r="F135" s="160"/>
      <c r="G135" s="138"/>
      <c r="H135" s="160"/>
      <c r="I135" s="138"/>
      <c r="J135" s="138"/>
      <c r="K135" s="138"/>
      <c r="L135" s="165"/>
      <c r="M135" s="165"/>
      <c r="N135" s="138"/>
      <c r="O135" s="138"/>
      <c r="R135" s="138"/>
      <c r="S135" s="138"/>
      <c r="T135" s="138"/>
      <c r="V135" s="138"/>
      <c r="W135" s="166"/>
      <c r="X135" s="138"/>
      <c r="Y135" s="166"/>
      <c r="AA135" s="138"/>
      <c r="AB135" s="138"/>
      <c r="AC135" s="168"/>
      <c r="AD135" s="160"/>
      <c r="AE135" s="160"/>
      <c r="AF135" s="160"/>
      <c r="AG135" s="160"/>
      <c r="AH135" s="160"/>
      <c r="AI135" s="166"/>
      <c r="AJ135" s="169"/>
      <c r="AK135" s="169"/>
      <c r="AL135" s="169"/>
      <c r="AM135" s="169"/>
      <c r="AN135" s="138"/>
      <c r="AO135" s="138"/>
      <c r="AP135" s="160"/>
      <c r="AQ135" s="160"/>
      <c r="AR135" s="160"/>
      <c r="AS135" s="160"/>
    </row>
    <row r="136" spans="1:45" x14ac:dyDescent="0.3">
      <c r="A136" s="138"/>
      <c r="B136" s="138"/>
      <c r="C136" s="138"/>
      <c r="D136" s="138"/>
      <c r="E136" s="138"/>
      <c r="F136" s="160"/>
      <c r="G136" s="138"/>
      <c r="H136" s="160"/>
      <c r="I136" s="138"/>
      <c r="J136" s="138"/>
      <c r="K136" s="138"/>
      <c r="L136" s="165"/>
      <c r="M136" s="165"/>
      <c r="N136" s="138"/>
      <c r="O136" s="138"/>
      <c r="R136" s="138"/>
      <c r="S136" s="138"/>
      <c r="T136" s="138"/>
      <c r="V136" s="138"/>
      <c r="W136" s="166"/>
      <c r="X136" s="138"/>
      <c r="Y136" s="166"/>
      <c r="AA136" s="138"/>
      <c r="AB136" s="138"/>
      <c r="AC136" s="168"/>
      <c r="AD136" s="160"/>
      <c r="AE136" s="160"/>
      <c r="AF136" s="160"/>
      <c r="AG136" s="160"/>
      <c r="AH136" s="160"/>
      <c r="AI136" s="166"/>
      <c r="AJ136" s="169"/>
      <c r="AK136" s="169"/>
      <c r="AL136" s="169"/>
      <c r="AM136" s="169"/>
      <c r="AN136" s="138"/>
      <c r="AO136" s="138"/>
      <c r="AP136" s="160"/>
      <c r="AQ136" s="160"/>
      <c r="AR136" s="160"/>
      <c r="AS136" s="160"/>
    </row>
  </sheetData>
  <phoneticPr fontId="13" type="noConversion"/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/>
  <dimension ref="A1:AB20"/>
  <sheetViews>
    <sheetView showRowColHeaders="0" zoomScale="85" zoomScaleNormal="85" workbookViewId="0">
      <selection activeCell="E32" sqref="E32"/>
    </sheetView>
  </sheetViews>
  <sheetFormatPr defaultRowHeight="14.4" x14ac:dyDescent="0.3"/>
  <cols>
    <col min="1" max="1" width="10.6640625" bestFit="1" customWidth="1"/>
    <col min="2" max="2" width="19.44140625" customWidth="1"/>
    <col min="3" max="3" width="16.44140625" bestFit="1" customWidth="1"/>
    <col min="4" max="4" width="13.88671875" bestFit="1" customWidth="1"/>
    <col min="5" max="5" width="13.5546875" bestFit="1" customWidth="1"/>
    <col min="6" max="6" width="11.5546875" bestFit="1" customWidth="1"/>
    <col min="7" max="7" width="28" bestFit="1" customWidth="1"/>
    <col min="11" max="11" width="15.6640625" bestFit="1" customWidth="1"/>
  </cols>
  <sheetData>
    <row r="1" spans="1:28" ht="15" thickBot="1" x14ac:dyDescent="0.35">
      <c r="A1" s="6" t="s">
        <v>7</v>
      </c>
      <c r="B1" s="7" t="s">
        <v>151</v>
      </c>
      <c r="C1" s="7" t="s">
        <v>1</v>
      </c>
      <c r="D1" s="7" t="s">
        <v>67</v>
      </c>
      <c r="E1" s="7" t="s">
        <v>159</v>
      </c>
      <c r="F1" s="7" t="s">
        <v>21</v>
      </c>
      <c r="G1" s="7" t="s">
        <v>53</v>
      </c>
      <c r="H1" s="8" t="s">
        <v>45</v>
      </c>
      <c r="AB1" t="s">
        <v>160</v>
      </c>
    </row>
    <row r="2" spans="1:28" ht="15" thickBot="1" x14ac:dyDescent="0.35">
      <c r="A2" s="144"/>
      <c r="B2" s="145"/>
      <c r="C2" s="145"/>
      <c r="D2" s="136"/>
      <c r="E2" s="136"/>
      <c r="F2" s="145"/>
      <c r="G2" s="159"/>
      <c r="H2" s="146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8"/>
      <c r="AB2" s="138"/>
    </row>
    <row r="3" spans="1:28" x14ac:dyDescent="0.3">
      <c r="A3" s="138"/>
      <c r="B3" s="138"/>
      <c r="C3" s="138"/>
      <c r="D3" s="170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</row>
    <row r="4" spans="1:28" x14ac:dyDescent="0.3">
      <c r="A4" s="171"/>
      <c r="B4" s="171"/>
      <c r="C4" s="138"/>
      <c r="D4" s="172"/>
      <c r="E4" s="171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</row>
    <row r="5" spans="1:28" x14ac:dyDescent="0.3">
      <c r="A5" s="138"/>
      <c r="B5" s="138"/>
      <c r="C5" s="138"/>
      <c r="D5" s="172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</row>
    <row r="6" spans="1:28" x14ac:dyDescent="0.3">
      <c r="D6" s="1"/>
    </row>
    <row r="7" spans="1:28" x14ac:dyDescent="0.3">
      <c r="D7" s="1"/>
    </row>
    <row r="8" spans="1:28" x14ac:dyDescent="0.3">
      <c r="D8" s="1"/>
    </row>
    <row r="9" spans="1:28" x14ac:dyDescent="0.3">
      <c r="D9" s="1"/>
    </row>
    <row r="13" spans="1:28" x14ac:dyDescent="0.3">
      <c r="A13" s="1"/>
      <c r="B13" s="1"/>
    </row>
    <row r="14" spans="1:28" x14ac:dyDescent="0.3">
      <c r="A14" s="1"/>
      <c r="B14" s="1"/>
    </row>
    <row r="15" spans="1:28" x14ac:dyDescent="0.3">
      <c r="A15" s="1"/>
      <c r="B15" s="1"/>
    </row>
    <row r="16" spans="1:28" x14ac:dyDescent="0.3">
      <c r="A16" s="1"/>
      <c r="B16" s="1"/>
    </row>
    <row r="17" spans="1:2" x14ac:dyDescent="0.3">
      <c r="A17" s="1"/>
      <c r="B17" s="1"/>
    </row>
    <row r="18" spans="1:2" x14ac:dyDescent="0.3">
      <c r="A18" s="1"/>
      <c r="B18" s="1"/>
    </row>
    <row r="19" spans="1:2" x14ac:dyDescent="0.3">
      <c r="A19" s="1"/>
      <c r="B19" s="1"/>
    </row>
    <row r="20" spans="1:2" x14ac:dyDescent="0.3">
      <c r="A20" s="1"/>
      <c r="B20" s="1"/>
    </row>
  </sheetData>
  <dataValidations count="1">
    <dataValidation type="list" allowBlank="1" showInputMessage="1" showErrorMessage="1" sqref="B2" xr:uid="{00000000-0002-0000-0600-000000000000}">
      <formula1>$AB$1:$AB$2</formula1>
    </dataValidation>
  </dataValidation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InputBoundPortfolio.BoundPortfolio">
                <anchor moveWithCells="1" sizeWithCells="1">
                  <from>
                    <xdr:col>8</xdr:col>
                    <xdr:colOff>388620</xdr:colOff>
                    <xdr:row>1</xdr:row>
                    <xdr:rowOff>83820</xdr:rowOff>
                  </from>
                  <to>
                    <xdr:col>10</xdr:col>
                    <xdr:colOff>883920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M2"/>
  <sheetViews>
    <sheetView workbookViewId="0">
      <selection activeCell="A2" sqref="A2:XFD2"/>
    </sheetView>
  </sheetViews>
  <sheetFormatPr defaultRowHeight="14.4" x14ac:dyDescent="0.3"/>
  <cols>
    <col min="1" max="1" width="16.6640625" bestFit="1" customWidth="1"/>
    <col min="2" max="2" width="5.5546875" bestFit="1" customWidth="1"/>
    <col min="3" max="3" width="13.109375" bestFit="1" customWidth="1"/>
    <col min="4" max="4" width="12.109375" bestFit="1" customWidth="1"/>
    <col min="5" max="5" width="19.109375" bestFit="1" customWidth="1"/>
    <col min="6" max="6" width="6.109375" bestFit="1" customWidth="1"/>
    <col min="7" max="7" width="14.33203125" bestFit="1" customWidth="1"/>
    <col min="8" max="8" width="16.44140625" bestFit="1" customWidth="1"/>
    <col min="9" max="9" width="11.33203125" bestFit="1" customWidth="1"/>
    <col min="10" max="10" width="13.5546875" bestFit="1" customWidth="1"/>
    <col min="11" max="11" width="24" bestFit="1" customWidth="1"/>
    <col min="12" max="12" width="26.44140625" bestFit="1" customWidth="1"/>
    <col min="13" max="13" width="21.88671875" bestFit="1" customWidth="1"/>
  </cols>
  <sheetData>
    <row r="1" spans="1:13" ht="15" thickBot="1" x14ac:dyDescent="0.35">
      <c r="A1" s="22" t="s">
        <v>8</v>
      </c>
      <c r="B1" s="23" t="s">
        <v>9</v>
      </c>
      <c r="C1" s="23" t="s">
        <v>10</v>
      </c>
      <c r="D1" s="23" t="s">
        <v>6</v>
      </c>
      <c r="E1" s="23" t="s">
        <v>11</v>
      </c>
      <c r="F1" s="23" t="s">
        <v>12</v>
      </c>
      <c r="G1" s="23" t="s">
        <v>13</v>
      </c>
      <c r="H1" s="23" t="s">
        <v>14</v>
      </c>
      <c r="I1" s="24" t="s">
        <v>87</v>
      </c>
      <c r="J1" s="23" t="s">
        <v>164</v>
      </c>
      <c r="K1" s="23" t="s">
        <v>168</v>
      </c>
      <c r="L1" s="23" t="s">
        <v>166</v>
      </c>
      <c r="M1" s="24" t="s">
        <v>167</v>
      </c>
    </row>
    <row r="2" spans="1:13" ht="15" thickBot="1" x14ac:dyDescent="0.35">
      <c r="A2" s="135"/>
      <c r="B2" s="155"/>
      <c r="C2" s="155"/>
      <c r="D2" s="156"/>
      <c r="E2" s="21"/>
      <c r="F2" s="157"/>
      <c r="G2" s="157"/>
      <c r="H2" s="62"/>
      <c r="I2" s="146"/>
      <c r="J2" s="157"/>
      <c r="K2" s="157"/>
      <c r="L2" s="157"/>
      <c r="M2" s="158"/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F11"/>
  <sheetViews>
    <sheetView zoomScaleNormal="100" workbookViewId="0">
      <selection activeCell="C1" sqref="C1"/>
    </sheetView>
  </sheetViews>
  <sheetFormatPr defaultColWidth="24.6640625" defaultRowHeight="14.4" x14ac:dyDescent="0.3"/>
  <cols>
    <col min="1" max="1" width="10" bestFit="1" customWidth="1"/>
    <col min="2" max="2" width="29.109375" bestFit="1" customWidth="1"/>
    <col min="3" max="3" width="57.5546875" bestFit="1" customWidth="1"/>
    <col min="4" max="4" width="21.44140625" customWidth="1"/>
    <col min="5" max="5" width="35.109375" customWidth="1"/>
  </cols>
  <sheetData>
    <row r="1" spans="1:6" x14ac:dyDescent="0.3">
      <c r="A1" s="1" t="s">
        <v>15</v>
      </c>
      <c r="B1" s="1" t="s">
        <v>80</v>
      </c>
      <c r="C1" s="1" t="s">
        <v>78</v>
      </c>
      <c r="D1" s="1" t="s">
        <v>79</v>
      </c>
      <c r="E1" s="1" t="s">
        <v>51</v>
      </c>
      <c r="F1" s="1"/>
    </row>
    <row r="2" spans="1:6" x14ac:dyDescent="0.3">
      <c r="A2" s="19"/>
      <c r="D2" s="39"/>
    </row>
    <row r="3" spans="1:6" x14ac:dyDescent="0.3">
      <c r="A3" s="19"/>
      <c r="D3" s="39"/>
    </row>
    <row r="4" spans="1:6" x14ac:dyDescent="0.3">
      <c r="A4" s="19"/>
      <c r="D4" s="39"/>
    </row>
    <row r="5" spans="1:6" x14ac:dyDescent="0.3">
      <c r="A5" s="19"/>
      <c r="D5" s="39"/>
    </row>
    <row r="6" spans="1:6" x14ac:dyDescent="0.3">
      <c r="A6" s="19"/>
      <c r="D6" s="39"/>
    </row>
    <row r="7" spans="1:6" x14ac:dyDescent="0.3">
      <c r="A7" s="19"/>
      <c r="D7" s="39"/>
    </row>
    <row r="8" spans="1:6" x14ac:dyDescent="0.3">
      <c r="A8" s="19"/>
      <c r="D8" s="39"/>
    </row>
    <row r="9" spans="1:6" x14ac:dyDescent="0.3">
      <c r="A9" s="19"/>
      <c r="D9" s="39"/>
    </row>
    <row r="10" spans="1:6" x14ac:dyDescent="0.3">
      <c r="A10" s="19"/>
      <c r="D10" s="39"/>
    </row>
    <row r="11" spans="1:6" x14ac:dyDescent="0.3">
      <c r="A11" s="19"/>
      <c r="D11" s="39"/>
    </row>
  </sheetData>
  <dataValidations count="1">
    <dataValidation type="list" allowBlank="1" showInputMessage="1" showErrorMessage="1" sqref="A2:A1048576" xr:uid="{00000000-0002-0000-0800-000000000000}">
      <formula1>#REF!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T89"/>
  <sheetViews>
    <sheetView workbookViewId="0">
      <selection activeCell="A2" sqref="A2:F27"/>
    </sheetView>
  </sheetViews>
  <sheetFormatPr defaultColWidth="9.109375" defaultRowHeight="14.4" x14ac:dyDescent="0.3"/>
  <cols>
    <col min="1" max="1" width="14.5546875" bestFit="1" customWidth="1"/>
    <col min="2" max="2" width="61.44140625" bestFit="1" customWidth="1"/>
    <col min="3" max="3" width="10.88671875" bestFit="1" customWidth="1"/>
    <col min="5" max="5" width="9" bestFit="1" customWidth="1"/>
    <col min="6" max="6" width="12.88671875" bestFit="1" customWidth="1"/>
    <col min="11" max="11" width="29.44140625" customWidth="1"/>
  </cols>
  <sheetData>
    <row r="1" spans="1:20" ht="15" thickBot="1" x14ac:dyDescent="0.35">
      <c r="A1" s="131" t="s">
        <v>58</v>
      </c>
      <c r="B1" s="131" t="s">
        <v>62</v>
      </c>
      <c r="C1" s="131" t="s">
        <v>63</v>
      </c>
      <c r="D1" s="131" t="s">
        <v>61</v>
      </c>
      <c r="E1" s="131" t="s">
        <v>59</v>
      </c>
      <c r="F1" s="131" t="s">
        <v>60</v>
      </c>
      <c r="J1" s="33" t="s">
        <v>153</v>
      </c>
      <c r="K1" s="34"/>
      <c r="L1" s="28" t="s">
        <v>154</v>
      </c>
      <c r="M1" s="35" t="s">
        <v>155</v>
      </c>
      <c r="N1" s="36" t="s">
        <v>156</v>
      </c>
      <c r="P1" s="33" t="s">
        <v>157</v>
      </c>
      <c r="Q1" s="34" t="s">
        <v>158</v>
      </c>
      <c r="R1" s="37" t="s">
        <v>154</v>
      </c>
      <c r="S1" s="37" t="s">
        <v>155</v>
      </c>
      <c r="T1" s="38" t="s">
        <v>156</v>
      </c>
    </row>
    <row r="2" spans="1:20" x14ac:dyDescent="0.3">
      <c r="A2" s="137"/>
      <c r="B2" s="137"/>
      <c r="C2" s="137"/>
      <c r="D2" s="137"/>
      <c r="E2" s="137"/>
      <c r="F2" s="137"/>
      <c r="G2" s="138"/>
      <c r="H2" s="138"/>
      <c r="I2" s="138"/>
      <c r="J2" s="138"/>
      <c r="K2" s="139"/>
      <c r="L2" s="140"/>
      <c r="M2" s="40"/>
      <c r="N2" s="41"/>
      <c r="O2" s="138"/>
      <c r="P2" s="138"/>
      <c r="Q2" s="139"/>
      <c r="R2" s="42"/>
      <c r="S2" s="42"/>
      <c r="T2" s="43"/>
    </row>
    <row r="3" spans="1:20" x14ac:dyDescent="0.3">
      <c r="A3" s="137"/>
      <c r="B3" s="137"/>
      <c r="C3" s="137"/>
      <c r="D3" s="137"/>
      <c r="E3" s="137"/>
      <c r="F3" s="137"/>
      <c r="G3" s="138"/>
      <c r="H3" s="138"/>
      <c r="I3" s="138"/>
      <c r="J3" s="138"/>
      <c r="K3" s="139"/>
      <c r="L3" s="141"/>
      <c r="M3" s="40"/>
      <c r="N3" s="41"/>
      <c r="O3" s="138"/>
      <c r="P3" s="138"/>
      <c r="Q3" s="139"/>
      <c r="R3" s="42"/>
      <c r="S3" s="42"/>
      <c r="T3" s="43"/>
    </row>
    <row r="4" spans="1:20" x14ac:dyDescent="0.3">
      <c r="A4" s="137"/>
      <c r="B4" s="137"/>
      <c r="C4" s="137"/>
      <c r="D4" s="137"/>
      <c r="E4" s="137"/>
      <c r="F4" s="137"/>
      <c r="G4" s="138"/>
      <c r="H4" s="138"/>
      <c r="I4" s="138"/>
      <c r="J4" s="138"/>
      <c r="K4" s="139"/>
      <c r="L4" s="140"/>
      <c r="M4" s="40"/>
      <c r="N4" s="41"/>
      <c r="O4" s="138"/>
      <c r="P4" s="138"/>
      <c r="Q4" s="139"/>
      <c r="R4" s="42"/>
      <c r="S4" s="42"/>
      <c r="T4" s="43"/>
    </row>
    <row r="5" spans="1:20" x14ac:dyDescent="0.3">
      <c r="A5" s="137"/>
      <c r="B5" s="137"/>
      <c r="C5" s="137"/>
      <c r="D5" s="137"/>
      <c r="E5" s="137"/>
      <c r="F5" s="137"/>
      <c r="G5" s="138"/>
      <c r="H5" s="138"/>
      <c r="I5" s="138"/>
      <c r="J5" s="138"/>
      <c r="K5" s="139"/>
      <c r="L5" s="140"/>
      <c r="M5" s="40"/>
      <c r="N5" s="41"/>
      <c r="O5" s="138"/>
      <c r="P5" s="138"/>
      <c r="Q5" s="139"/>
      <c r="R5" s="42"/>
      <c r="S5" s="42"/>
      <c r="T5" s="43"/>
    </row>
    <row r="6" spans="1:20" x14ac:dyDescent="0.3">
      <c r="A6" s="137"/>
      <c r="B6" s="137"/>
      <c r="C6" s="137"/>
      <c r="D6" s="137"/>
      <c r="E6" s="137"/>
      <c r="F6" s="137"/>
      <c r="G6" s="138"/>
      <c r="H6" s="138"/>
      <c r="I6" s="138"/>
      <c r="J6" s="138"/>
      <c r="K6" s="139"/>
      <c r="L6" s="140"/>
      <c r="M6" s="40"/>
      <c r="N6" s="41"/>
      <c r="O6" s="138"/>
      <c r="P6" s="138"/>
      <c r="Q6" s="139"/>
      <c r="R6" s="42"/>
      <c r="S6" s="42"/>
      <c r="T6" s="43"/>
    </row>
    <row r="7" spans="1:20" x14ac:dyDescent="0.3">
      <c r="A7" s="137"/>
      <c r="B7" s="137"/>
      <c r="C7" s="137"/>
      <c r="D7" s="137"/>
      <c r="E7" s="137"/>
      <c r="F7" s="137"/>
      <c r="G7" s="138"/>
      <c r="H7" s="138"/>
      <c r="I7" s="138"/>
      <c r="J7" s="138"/>
      <c r="K7" s="139"/>
      <c r="L7" s="140"/>
      <c r="M7" s="40"/>
      <c r="N7" s="142"/>
      <c r="O7" s="138"/>
      <c r="P7" s="138"/>
      <c r="Q7" s="139"/>
      <c r="R7" s="42"/>
      <c r="S7" s="42"/>
      <c r="T7" s="43"/>
    </row>
    <row r="8" spans="1:20" x14ac:dyDescent="0.3">
      <c r="A8" s="137"/>
      <c r="B8" s="137"/>
      <c r="C8" s="137"/>
      <c r="D8" s="137"/>
      <c r="E8" s="137"/>
      <c r="F8" s="137"/>
      <c r="G8" s="138"/>
      <c r="H8" s="138"/>
      <c r="I8" s="138"/>
      <c r="J8" s="138"/>
      <c r="K8" s="139"/>
      <c r="L8" s="140"/>
      <c r="M8" s="40"/>
      <c r="N8" s="143"/>
      <c r="O8" s="138"/>
      <c r="P8" s="138"/>
      <c r="Q8" s="139"/>
      <c r="R8" s="42"/>
      <c r="S8" s="42"/>
      <c r="T8" s="43"/>
    </row>
    <row r="9" spans="1:20" ht="15" thickBot="1" x14ac:dyDescent="0.35">
      <c r="A9" s="137"/>
      <c r="B9" s="137"/>
      <c r="C9" s="137"/>
      <c r="D9" s="137"/>
      <c r="E9" s="137"/>
      <c r="F9" s="137"/>
      <c r="G9" s="138"/>
      <c r="H9" s="138"/>
      <c r="I9" s="138"/>
      <c r="J9" s="138"/>
      <c r="K9" s="144"/>
      <c r="L9" s="145"/>
      <c r="M9" s="44"/>
      <c r="N9" s="146"/>
      <c r="O9" s="138"/>
      <c r="P9" s="138"/>
      <c r="Q9" s="144"/>
      <c r="R9" s="44"/>
      <c r="S9" s="44"/>
      <c r="T9" s="45"/>
    </row>
    <row r="10" spans="1:20" x14ac:dyDescent="0.3">
      <c r="A10" s="137"/>
      <c r="B10" s="137"/>
      <c r="C10" s="137"/>
      <c r="D10" s="137"/>
      <c r="E10" s="137"/>
      <c r="F10" s="137"/>
      <c r="G10" s="138"/>
      <c r="H10" s="138"/>
      <c r="I10" s="138"/>
      <c r="J10" s="138"/>
      <c r="K10" s="138"/>
      <c r="L10" s="40"/>
      <c r="M10" s="40"/>
      <c r="N10" s="40"/>
      <c r="O10" s="138"/>
      <c r="P10" s="138"/>
      <c r="Q10" s="138"/>
      <c r="R10" s="40"/>
      <c r="S10" s="40"/>
      <c r="T10" s="40"/>
    </row>
    <row r="11" spans="1:20" ht="15" thickBot="1" x14ac:dyDescent="0.35">
      <c r="A11" s="137"/>
      <c r="B11" s="137"/>
      <c r="C11" s="137"/>
      <c r="D11" s="137"/>
      <c r="E11" s="137"/>
      <c r="F11" s="137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40"/>
      <c r="S11" s="40"/>
      <c r="T11" s="40"/>
    </row>
    <row r="12" spans="1:20" x14ac:dyDescent="0.3">
      <c r="A12" s="137"/>
      <c r="B12" s="137"/>
      <c r="C12" s="137"/>
      <c r="D12" s="137"/>
      <c r="E12" s="137"/>
      <c r="F12" s="137"/>
      <c r="G12" s="138"/>
      <c r="H12" s="138"/>
      <c r="I12" s="138"/>
      <c r="J12" s="138"/>
      <c r="K12" s="147"/>
      <c r="L12" s="148"/>
      <c r="M12" s="138"/>
      <c r="N12" s="138"/>
      <c r="O12" s="138"/>
      <c r="P12" s="138"/>
      <c r="Q12" s="147"/>
      <c r="R12" s="46"/>
      <c r="S12" s="40"/>
      <c r="T12" s="40"/>
    </row>
    <row r="13" spans="1:20" ht="15" thickBot="1" x14ac:dyDescent="0.35">
      <c r="A13" s="137"/>
      <c r="B13" s="137"/>
      <c r="C13" s="137"/>
      <c r="D13" s="137"/>
      <c r="E13" s="137"/>
      <c r="F13" s="137"/>
      <c r="G13" s="138"/>
      <c r="H13" s="138"/>
      <c r="I13" s="138"/>
      <c r="J13" s="138"/>
      <c r="K13" s="144"/>
      <c r="L13" s="149"/>
      <c r="M13" s="138"/>
      <c r="N13" s="138"/>
      <c r="O13" s="138"/>
      <c r="P13" s="138"/>
      <c r="Q13" s="144"/>
      <c r="R13" s="45"/>
      <c r="S13" s="40"/>
      <c r="T13" s="40"/>
    </row>
    <row r="14" spans="1:20" ht="15" thickBot="1" x14ac:dyDescent="0.35">
      <c r="A14" s="137"/>
      <c r="B14" s="137"/>
      <c r="C14" s="137"/>
      <c r="D14" s="137"/>
      <c r="E14" s="137"/>
      <c r="F14" s="137"/>
      <c r="G14" s="138"/>
      <c r="H14" s="138"/>
      <c r="I14" s="138"/>
      <c r="J14" s="138"/>
      <c r="K14" s="138"/>
      <c r="L14" s="140"/>
      <c r="M14" s="138"/>
      <c r="N14" s="138"/>
      <c r="O14" s="138"/>
      <c r="P14" s="138"/>
      <c r="Q14" s="138"/>
      <c r="R14" s="40"/>
      <c r="S14" s="40"/>
      <c r="T14" s="40"/>
    </row>
    <row r="15" spans="1:20" x14ac:dyDescent="0.3">
      <c r="A15" s="137"/>
      <c r="B15" s="137"/>
      <c r="C15" s="137"/>
      <c r="D15" s="137"/>
      <c r="E15" s="137"/>
      <c r="F15" s="137"/>
      <c r="G15" s="138"/>
      <c r="H15" s="138"/>
      <c r="I15" s="138"/>
      <c r="J15" s="138"/>
      <c r="K15" s="150"/>
      <c r="L15" s="148"/>
      <c r="M15" s="138"/>
      <c r="N15" s="138"/>
      <c r="O15" s="138"/>
      <c r="P15" s="138"/>
      <c r="Q15" s="150"/>
      <c r="R15" s="38"/>
      <c r="S15" s="40"/>
      <c r="T15" s="40"/>
    </row>
    <row r="16" spans="1:20" x14ac:dyDescent="0.3">
      <c r="A16" s="137"/>
      <c r="B16" s="137"/>
      <c r="C16" s="137"/>
      <c r="D16" s="137"/>
      <c r="E16" s="137"/>
      <c r="F16" s="137"/>
      <c r="G16" s="138"/>
      <c r="H16" s="138"/>
      <c r="I16" s="138"/>
      <c r="J16" s="138"/>
      <c r="K16" s="139"/>
      <c r="L16" s="142"/>
      <c r="M16" s="138"/>
      <c r="N16" s="138"/>
      <c r="O16" s="138"/>
      <c r="P16" s="138"/>
      <c r="Q16" s="139"/>
      <c r="R16" s="43"/>
      <c r="S16" s="40"/>
      <c r="T16" s="40"/>
    </row>
    <row r="17" spans="1:20" x14ac:dyDescent="0.3">
      <c r="A17" s="137"/>
      <c r="B17" s="137"/>
      <c r="C17" s="137"/>
      <c r="D17" s="137"/>
      <c r="E17" s="137"/>
      <c r="F17" s="137"/>
      <c r="G17" s="138"/>
      <c r="H17" s="138"/>
      <c r="I17" s="138"/>
      <c r="J17" s="138"/>
      <c r="K17" s="139"/>
      <c r="L17" s="142"/>
      <c r="M17" s="138"/>
      <c r="N17" s="138"/>
      <c r="O17" s="138"/>
      <c r="P17" s="138"/>
      <c r="Q17" s="139"/>
      <c r="R17" s="43"/>
      <c r="S17" s="40"/>
      <c r="T17" s="40"/>
    </row>
    <row r="18" spans="1:20" x14ac:dyDescent="0.3">
      <c r="A18" s="137"/>
      <c r="B18" s="137"/>
      <c r="C18" s="137"/>
      <c r="D18" s="137"/>
      <c r="E18" s="137"/>
      <c r="F18" s="137"/>
      <c r="G18" s="138"/>
      <c r="H18" s="138"/>
      <c r="I18" s="138"/>
      <c r="J18" s="138"/>
      <c r="K18" s="139"/>
      <c r="L18" s="142"/>
      <c r="M18" s="138"/>
      <c r="N18" s="138"/>
      <c r="O18" s="138"/>
      <c r="P18" s="138"/>
      <c r="Q18" s="139"/>
      <c r="R18" s="43"/>
      <c r="S18" s="40"/>
      <c r="T18" s="40"/>
    </row>
    <row r="19" spans="1:20" x14ac:dyDescent="0.3">
      <c r="A19" s="137"/>
      <c r="B19" s="137"/>
      <c r="C19" s="137"/>
      <c r="D19" s="137"/>
      <c r="E19" s="137"/>
      <c r="F19" s="137"/>
      <c r="G19" s="138"/>
      <c r="H19" s="138"/>
      <c r="I19" s="138"/>
      <c r="J19" s="138"/>
      <c r="K19" s="139"/>
      <c r="L19" s="142"/>
      <c r="M19" s="138"/>
      <c r="N19" s="138"/>
      <c r="O19" s="138"/>
      <c r="P19" s="138"/>
      <c r="Q19" s="139"/>
      <c r="R19" s="43"/>
      <c r="S19" s="40"/>
      <c r="T19" s="40"/>
    </row>
    <row r="20" spans="1:20" x14ac:dyDescent="0.3">
      <c r="A20" s="137"/>
      <c r="B20" s="137"/>
      <c r="C20" s="137"/>
      <c r="D20" s="137"/>
      <c r="E20" s="137"/>
      <c r="F20" s="137"/>
      <c r="G20" s="138"/>
      <c r="H20" s="138"/>
      <c r="I20" s="138"/>
      <c r="J20" s="138"/>
      <c r="K20" s="139"/>
      <c r="L20" s="142"/>
      <c r="M20" s="138"/>
      <c r="N20" s="138"/>
      <c r="O20" s="138"/>
      <c r="P20" s="138"/>
      <c r="Q20" s="139"/>
      <c r="R20" s="43"/>
      <c r="S20" s="40"/>
      <c r="T20" s="40"/>
    </row>
    <row r="21" spans="1:20" x14ac:dyDescent="0.3">
      <c r="A21" s="137"/>
      <c r="B21" s="137"/>
      <c r="C21" s="137"/>
      <c r="D21" s="137"/>
      <c r="E21" s="137"/>
      <c r="F21" s="137"/>
      <c r="G21" s="138"/>
      <c r="H21" s="138"/>
      <c r="I21" s="138"/>
      <c r="J21" s="138"/>
      <c r="K21" s="139"/>
      <c r="L21" s="142"/>
      <c r="M21" s="138"/>
      <c r="N21" s="138"/>
      <c r="O21" s="138"/>
      <c r="P21" s="138"/>
      <c r="Q21" s="139"/>
      <c r="R21" s="43"/>
      <c r="S21" s="40"/>
      <c r="T21" s="40"/>
    </row>
    <row r="22" spans="1:20" x14ac:dyDescent="0.3">
      <c r="A22" s="137"/>
      <c r="B22" s="137"/>
      <c r="C22" s="137"/>
      <c r="D22" s="137"/>
      <c r="E22" s="137"/>
      <c r="F22" s="137"/>
      <c r="G22" s="138"/>
      <c r="H22" s="138"/>
      <c r="I22" s="138"/>
      <c r="J22" s="138"/>
      <c r="K22" s="139"/>
      <c r="L22" s="142"/>
      <c r="M22" s="138"/>
      <c r="N22" s="138"/>
      <c r="O22" s="138"/>
      <c r="P22" s="138"/>
      <c r="Q22" s="139"/>
      <c r="R22" s="43"/>
      <c r="S22" s="40"/>
      <c r="T22" s="40"/>
    </row>
    <row r="23" spans="1:20" ht="15" thickBot="1" x14ac:dyDescent="0.35">
      <c r="A23" s="137"/>
      <c r="B23" s="137"/>
      <c r="C23" s="137"/>
      <c r="D23" s="137"/>
      <c r="E23" s="137"/>
      <c r="F23" s="137"/>
      <c r="G23" s="138"/>
      <c r="H23" s="138"/>
      <c r="I23" s="138"/>
      <c r="J23" s="138"/>
      <c r="K23" s="144"/>
      <c r="L23" s="47"/>
      <c r="M23" s="40"/>
      <c r="N23" s="40"/>
      <c r="O23" s="138"/>
      <c r="P23" s="138"/>
      <c r="Q23" s="144"/>
      <c r="R23" s="45"/>
      <c r="S23" s="40"/>
      <c r="T23" s="48"/>
    </row>
    <row r="24" spans="1:20" ht="15" thickBot="1" x14ac:dyDescent="0.35">
      <c r="A24" s="137"/>
      <c r="B24" s="137"/>
      <c r="C24" s="137"/>
      <c r="D24" s="137"/>
      <c r="E24" s="137"/>
      <c r="F24" s="137"/>
      <c r="G24" s="138"/>
      <c r="H24" s="138"/>
      <c r="I24" s="138"/>
      <c r="J24" s="138"/>
      <c r="K24" s="138"/>
      <c r="L24" s="40"/>
      <c r="M24" s="40"/>
      <c r="N24" s="40"/>
      <c r="O24" s="138"/>
      <c r="P24" s="138"/>
      <c r="Q24" s="138"/>
      <c r="R24" s="40"/>
      <c r="S24" s="40"/>
      <c r="T24" s="40"/>
    </row>
    <row r="25" spans="1:20" x14ac:dyDescent="0.3">
      <c r="A25" s="137"/>
      <c r="B25" s="137"/>
      <c r="C25" s="137"/>
      <c r="D25" s="137"/>
      <c r="E25" s="137"/>
      <c r="F25" s="137"/>
      <c r="G25" s="138"/>
      <c r="H25" s="138"/>
      <c r="I25" s="138"/>
      <c r="J25" s="138"/>
      <c r="K25" s="147"/>
      <c r="L25" s="37"/>
      <c r="M25" s="38"/>
      <c r="N25" s="48"/>
      <c r="O25" s="138"/>
      <c r="P25" s="138"/>
      <c r="Q25" s="147"/>
      <c r="R25" s="37"/>
      <c r="S25" s="38"/>
      <c r="T25" s="40"/>
    </row>
    <row r="26" spans="1:20" ht="15" thickBot="1" x14ac:dyDescent="0.35">
      <c r="A26" s="137"/>
      <c r="B26" s="137"/>
      <c r="C26" s="137"/>
      <c r="D26" s="137"/>
      <c r="E26" s="137"/>
      <c r="F26" s="137"/>
      <c r="G26" s="138"/>
      <c r="H26" s="138"/>
      <c r="I26" s="138"/>
      <c r="J26" s="138"/>
      <c r="K26" s="139"/>
      <c r="L26" s="48"/>
      <c r="M26" s="49"/>
      <c r="N26" s="48"/>
      <c r="O26" s="138"/>
      <c r="P26" s="138"/>
      <c r="Q26" s="151"/>
      <c r="R26" s="48"/>
      <c r="S26" s="49"/>
      <c r="T26" s="48"/>
    </row>
    <row r="27" spans="1:20" x14ac:dyDescent="0.3">
      <c r="A27" s="137"/>
      <c r="B27" s="137"/>
      <c r="C27" s="137"/>
      <c r="D27" s="137"/>
      <c r="E27" s="137"/>
      <c r="F27" s="137"/>
      <c r="G27" s="138"/>
      <c r="H27" s="138"/>
      <c r="I27" s="138"/>
      <c r="J27" s="138"/>
      <c r="K27" s="152"/>
      <c r="L27" s="50"/>
      <c r="M27" s="51"/>
      <c r="N27" s="52"/>
      <c r="O27" s="138"/>
      <c r="P27" s="138"/>
      <c r="Q27" s="152"/>
      <c r="R27" s="50"/>
      <c r="S27" s="51"/>
      <c r="T27" s="52"/>
    </row>
    <row r="28" spans="1:20" x14ac:dyDescent="0.3">
      <c r="A28" s="137"/>
      <c r="B28" s="137"/>
      <c r="C28" s="137"/>
      <c r="D28" s="137"/>
      <c r="E28" s="137"/>
      <c r="F28" s="137"/>
      <c r="G28" s="138"/>
      <c r="H28" s="138"/>
      <c r="I28" s="138"/>
      <c r="J28" s="138"/>
      <c r="K28" s="153"/>
      <c r="L28" s="54"/>
      <c r="M28" s="55"/>
      <c r="N28" s="52"/>
      <c r="O28" s="138"/>
      <c r="P28" s="138"/>
      <c r="Q28" s="153"/>
      <c r="R28" s="54"/>
      <c r="S28" s="55"/>
      <c r="T28" s="52"/>
    </row>
    <row r="29" spans="1:20" x14ac:dyDescent="0.3">
      <c r="A29" s="137"/>
      <c r="B29" s="137"/>
      <c r="C29" s="137"/>
      <c r="D29" s="137"/>
      <c r="E29" s="137"/>
      <c r="F29" s="137"/>
      <c r="G29" s="138"/>
      <c r="H29" s="138"/>
      <c r="I29" s="138"/>
      <c r="J29" s="138"/>
      <c r="K29" s="153"/>
      <c r="L29" s="54"/>
      <c r="M29" s="55"/>
      <c r="N29" s="52"/>
      <c r="O29" s="138"/>
      <c r="P29" s="138"/>
      <c r="Q29" s="153"/>
      <c r="R29" s="54"/>
      <c r="S29" s="55"/>
      <c r="T29" s="52"/>
    </row>
    <row r="30" spans="1:20" x14ac:dyDescent="0.3">
      <c r="A30" s="139"/>
      <c r="B30" s="138"/>
      <c r="C30" s="138"/>
      <c r="D30" s="138"/>
      <c r="E30" s="138"/>
      <c r="F30" s="154"/>
      <c r="G30" s="138"/>
      <c r="H30" s="138"/>
      <c r="I30" s="138"/>
      <c r="J30" s="138"/>
      <c r="K30" s="153"/>
      <c r="L30" s="54"/>
      <c r="M30" s="55"/>
      <c r="N30" s="52"/>
      <c r="O30" s="138"/>
      <c r="P30" s="138"/>
      <c r="Q30" s="153"/>
      <c r="R30" s="54"/>
      <c r="S30" s="55"/>
      <c r="T30" s="52"/>
    </row>
    <row r="31" spans="1:20" x14ac:dyDescent="0.3">
      <c r="A31" s="139"/>
      <c r="B31" s="138"/>
      <c r="C31" s="138"/>
      <c r="D31" s="138"/>
      <c r="E31" s="138"/>
      <c r="F31" s="154"/>
      <c r="G31" s="138"/>
      <c r="H31" s="138"/>
      <c r="I31" s="138"/>
      <c r="J31" s="138"/>
      <c r="K31" s="153"/>
      <c r="L31" s="54"/>
      <c r="M31" s="55"/>
      <c r="N31" s="52"/>
      <c r="O31" s="138"/>
      <c r="P31" s="138"/>
      <c r="Q31" s="153"/>
      <c r="R31" s="54"/>
      <c r="S31" s="55"/>
      <c r="T31" s="52"/>
    </row>
    <row r="32" spans="1:20" ht="15" thickBot="1" x14ac:dyDescent="0.35">
      <c r="A32" s="139"/>
      <c r="B32" s="138"/>
      <c r="C32" s="138"/>
      <c r="D32" s="138"/>
      <c r="E32" s="138"/>
      <c r="F32" s="154"/>
      <c r="G32" s="138"/>
      <c r="H32" s="138"/>
      <c r="I32" s="138"/>
      <c r="J32" s="138"/>
      <c r="K32" s="153"/>
      <c r="L32" s="54"/>
      <c r="M32" s="55"/>
      <c r="N32" s="52"/>
      <c r="O32" s="138"/>
      <c r="P32" s="138"/>
      <c r="Q32" s="153"/>
      <c r="R32" s="54"/>
      <c r="S32" s="55"/>
      <c r="T32" s="52"/>
    </row>
    <row r="33" spans="1:20" x14ac:dyDescent="0.3">
      <c r="A33" s="139"/>
      <c r="B33" s="138"/>
      <c r="C33" s="138"/>
      <c r="D33" s="138"/>
      <c r="E33" s="138"/>
      <c r="F33" s="154"/>
      <c r="G33" s="138"/>
      <c r="H33" s="138"/>
      <c r="I33" s="138"/>
      <c r="J33" s="138"/>
      <c r="K33" s="152"/>
      <c r="L33" s="54"/>
      <c r="M33" s="55"/>
      <c r="N33" s="52"/>
      <c r="O33" s="138"/>
      <c r="P33" s="138"/>
      <c r="Q33" s="152"/>
      <c r="R33" s="54"/>
      <c r="S33" s="55"/>
      <c r="T33" s="52"/>
    </row>
    <row r="34" spans="1:20" x14ac:dyDescent="0.3">
      <c r="A34" s="139"/>
      <c r="B34" s="138"/>
      <c r="C34" s="138"/>
      <c r="D34" s="138"/>
      <c r="E34" s="138"/>
      <c r="F34" s="154"/>
      <c r="G34" s="138"/>
      <c r="H34" s="138"/>
      <c r="I34" s="138"/>
      <c r="J34" s="138"/>
      <c r="K34" s="153"/>
      <c r="L34" s="54"/>
      <c r="M34" s="55"/>
      <c r="N34" s="52"/>
      <c r="O34" s="138"/>
      <c r="P34" s="138"/>
      <c r="Q34" s="153"/>
      <c r="R34" s="54"/>
      <c r="S34" s="55"/>
      <c r="T34" s="52"/>
    </row>
    <row r="35" spans="1:20" x14ac:dyDescent="0.3">
      <c r="A35" s="139"/>
      <c r="B35" s="138"/>
      <c r="C35" s="138"/>
      <c r="D35" s="138"/>
      <c r="E35" s="138"/>
      <c r="F35" s="154"/>
      <c r="G35" s="138"/>
      <c r="H35" s="138"/>
      <c r="I35" s="138"/>
      <c r="J35" s="138"/>
      <c r="K35" s="139"/>
      <c r="L35" s="54"/>
      <c r="M35" s="55"/>
      <c r="N35" s="52"/>
      <c r="O35" s="138"/>
      <c r="P35" s="138"/>
      <c r="Q35" s="139"/>
      <c r="R35" s="54"/>
      <c r="S35" s="55"/>
      <c r="T35" s="52"/>
    </row>
    <row r="36" spans="1:20" x14ac:dyDescent="0.3">
      <c r="A36" s="139"/>
      <c r="B36" s="138"/>
      <c r="C36" s="138"/>
      <c r="D36" s="138"/>
      <c r="E36" s="138"/>
      <c r="F36" s="154"/>
      <c r="G36" s="138"/>
      <c r="H36" s="138"/>
      <c r="I36" s="138"/>
      <c r="J36" s="138"/>
      <c r="K36" s="139"/>
      <c r="L36" s="54"/>
      <c r="M36" s="55"/>
      <c r="N36" s="52"/>
      <c r="O36" s="138"/>
      <c r="P36" s="138"/>
      <c r="Q36" s="139"/>
      <c r="R36" s="54"/>
      <c r="S36" s="55"/>
      <c r="T36" s="52"/>
    </row>
    <row r="37" spans="1:20" x14ac:dyDescent="0.3">
      <c r="A37" s="139"/>
      <c r="B37" s="138"/>
      <c r="C37" s="138"/>
      <c r="D37" s="138"/>
      <c r="E37" s="138"/>
      <c r="F37" s="154"/>
      <c r="G37" s="138"/>
      <c r="H37" s="138"/>
      <c r="I37" s="138"/>
      <c r="J37" s="138"/>
      <c r="K37" s="153"/>
      <c r="L37" s="54"/>
      <c r="M37" s="55"/>
      <c r="N37" s="52"/>
      <c r="O37" s="138"/>
      <c r="P37" s="138"/>
      <c r="Q37" s="153"/>
      <c r="R37" s="54"/>
      <c r="S37" s="55"/>
      <c r="T37" s="52"/>
    </row>
    <row r="38" spans="1:20" x14ac:dyDescent="0.3">
      <c r="A38" s="139"/>
      <c r="B38" s="138"/>
      <c r="C38" s="138"/>
      <c r="D38" s="138"/>
      <c r="E38" s="138"/>
      <c r="F38" s="154"/>
      <c r="G38" s="138"/>
      <c r="H38" s="138"/>
      <c r="I38" s="138"/>
      <c r="J38" s="138"/>
      <c r="K38" s="153"/>
      <c r="L38" s="54"/>
      <c r="M38" s="55"/>
      <c r="N38" s="52"/>
      <c r="O38" s="138"/>
      <c r="P38" s="138"/>
      <c r="Q38" s="153"/>
      <c r="R38" s="54"/>
      <c r="S38" s="55"/>
      <c r="T38" s="52"/>
    </row>
    <row r="39" spans="1:20" x14ac:dyDescent="0.3">
      <c r="A39" s="139"/>
      <c r="B39" s="138"/>
      <c r="C39" s="138"/>
      <c r="D39" s="138"/>
      <c r="E39" s="138"/>
      <c r="F39" s="154"/>
      <c r="G39" s="138"/>
      <c r="H39" s="138"/>
      <c r="I39" s="138"/>
      <c r="J39" s="138"/>
      <c r="K39" s="153"/>
      <c r="L39" s="54"/>
      <c r="M39" s="55"/>
      <c r="N39" s="52"/>
      <c r="O39" s="138"/>
      <c r="P39" s="138"/>
      <c r="Q39" s="153"/>
      <c r="R39" s="54"/>
      <c r="S39" s="55"/>
      <c r="T39" s="52"/>
    </row>
    <row r="40" spans="1:20" ht="15" thickBot="1" x14ac:dyDescent="0.35">
      <c r="A40" s="139"/>
      <c r="B40" s="138"/>
      <c r="C40" s="138"/>
      <c r="D40" s="138"/>
      <c r="E40" s="138"/>
      <c r="F40" s="154"/>
      <c r="G40" s="138"/>
      <c r="H40" s="138"/>
      <c r="I40" s="138"/>
      <c r="J40" s="138"/>
      <c r="K40" s="144"/>
      <c r="L40" s="56"/>
      <c r="M40" s="57"/>
      <c r="N40" s="52"/>
      <c r="O40" s="138"/>
      <c r="P40" s="138"/>
      <c r="Q40" s="144"/>
      <c r="R40" s="56"/>
      <c r="S40" s="57"/>
      <c r="T40" s="52"/>
    </row>
    <row r="41" spans="1:20" x14ac:dyDescent="0.3">
      <c r="A41" s="139"/>
      <c r="B41" s="138"/>
      <c r="C41" s="138"/>
      <c r="D41" s="138"/>
      <c r="E41" s="138"/>
      <c r="F41" s="154"/>
      <c r="G41" s="138"/>
      <c r="H41" s="138"/>
      <c r="I41" s="138"/>
      <c r="J41" s="138"/>
      <c r="K41" s="138"/>
      <c r="L41" s="138"/>
      <c r="M41" s="138"/>
      <c r="N41" s="138"/>
      <c r="O41" s="138"/>
      <c r="P41" s="138"/>
      <c r="Q41" s="138"/>
      <c r="R41" s="138"/>
      <c r="S41" s="138"/>
      <c r="T41" s="138"/>
    </row>
    <row r="42" spans="1:20" x14ac:dyDescent="0.3">
      <c r="A42" s="139"/>
      <c r="B42" s="138"/>
      <c r="C42" s="138"/>
      <c r="D42" s="138"/>
      <c r="E42" s="138"/>
      <c r="F42" s="154"/>
      <c r="G42" s="138"/>
      <c r="H42" s="138"/>
      <c r="I42" s="138"/>
      <c r="J42" s="138"/>
      <c r="K42" s="138"/>
      <c r="L42" s="138"/>
      <c r="M42" s="138"/>
      <c r="N42" s="138"/>
      <c r="O42" s="138"/>
      <c r="P42" s="138"/>
      <c r="Q42" s="138"/>
      <c r="R42" s="138"/>
      <c r="S42" s="138"/>
      <c r="T42" s="138"/>
    </row>
    <row r="43" spans="1:20" x14ac:dyDescent="0.3">
      <c r="A43" s="139"/>
      <c r="B43" s="138"/>
      <c r="C43" s="138"/>
      <c r="D43" s="138"/>
      <c r="E43" s="138"/>
      <c r="F43" s="154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</row>
    <row r="44" spans="1:20" x14ac:dyDescent="0.3">
      <c r="A44" s="139"/>
      <c r="B44" s="138"/>
      <c r="C44" s="138"/>
      <c r="D44" s="138"/>
      <c r="E44" s="138"/>
      <c r="F44" s="154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</row>
    <row r="45" spans="1:20" x14ac:dyDescent="0.3">
      <c r="A45" s="139"/>
      <c r="B45" s="138"/>
      <c r="C45" s="138"/>
      <c r="D45" s="138"/>
      <c r="E45" s="138"/>
      <c r="F45" s="154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</row>
    <row r="46" spans="1:20" x14ac:dyDescent="0.3">
      <c r="A46" s="139"/>
      <c r="B46" s="138"/>
      <c r="C46" s="138"/>
      <c r="D46" s="138"/>
      <c r="E46" s="138"/>
      <c r="F46" s="154"/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</row>
    <row r="47" spans="1:20" x14ac:dyDescent="0.3">
      <c r="A47" s="139"/>
      <c r="B47" s="138"/>
      <c r="C47" s="138"/>
      <c r="D47" s="138"/>
      <c r="E47" s="138"/>
      <c r="F47" s="154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</row>
    <row r="48" spans="1:20" x14ac:dyDescent="0.3">
      <c r="A48" s="139"/>
      <c r="B48" s="138"/>
      <c r="C48" s="138"/>
      <c r="D48" s="138"/>
      <c r="E48" s="138"/>
      <c r="F48" s="154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</row>
    <row r="49" spans="1:20" x14ac:dyDescent="0.3">
      <c r="A49" s="139"/>
      <c r="B49" s="138"/>
      <c r="C49" s="138"/>
      <c r="D49" s="138"/>
      <c r="E49" s="138"/>
      <c r="F49" s="154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</row>
    <row r="50" spans="1:20" x14ac:dyDescent="0.3">
      <c r="A50" s="139"/>
      <c r="B50" s="138"/>
      <c r="C50" s="138"/>
      <c r="D50" s="138"/>
      <c r="E50" s="138"/>
      <c r="F50" s="154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</row>
    <row r="51" spans="1:20" x14ac:dyDescent="0.3">
      <c r="A51" s="139"/>
      <c r="B51" s="138"/>
      <c r="C51" s="138"/>
      <c r="D51" s="138"/>
      <c r="E51" s="138"/>
      <c r="F51" s="154"/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</row>
    <row r="52" spans="1:20" x14ac:dyDescent="0.3">
      <c r="A52" s="139"/>
      <c r="B52" s="138"/>
      <c r="C52" s="138"/>
      <c r="D52" s="138"/>
      <c r="E52" s="138"/>
      <c r="F52" s="154"/>
      <c r="G52" s="138"/>
      <c r="H52" s="138"/>
      <c r="I52" s="138"/>
      <c r="J52" s="138"/>
      <c r="K52" s="138"/>
      <c r="L52" s="138"/>
      <c r="M52" s="138"/>
      <c r="N52" s="138"/>
      <c r="O52" s="138"/>
      <c r="P52" s="138"/>
      <c r="Q52" s="138"/>
      <c r="R52" s="138"/>
      <c r="S52" s="138"/>
      <c r="T52" s="138"/>
    </row>
    <row r="53" spans="1:20" x14ac:dyDescent="0.3">
      <c r="A53" s="139"/>
      <c r="B53" s="138"/>
      <c r="C53" s="138"/>
      <c r="D53" s="138"/>
      <c r="E53" s="138"/>
      <c r="F53" s="154"/>
      <c r="G53" s="138"/>
      <c r="H53" s="138"/>
      <c r="I53" s="138"/>
      <c r="J53" s="138"/>
      <c r="K53" s="138"/>
      <c r="L53" s="138"/>
      <c r="M53" s="138"/>
      <c r="N53" s="138"/>
      <c r="O53" s="138"/>
      <c r="P53" s="138"/>
      <c r="Q53" s="138"/>
      <c r="R53" s="138"/>
      <c r="S53" s="138"/>
      <c r="T53" s="138"/>
    </row>
    <row r="54" spans="1:20" x14ac:dyDescent="0.3">
      <c r="A54" s="139"/>
      <c r="B54" s="138"/>
      <c r="C54" s="138"/>
      <c r="D54" s="138"/>
      <c r="E54" s="138"/>
      <c r="F54" s="154"/>
      <c r="G54" s="138"/>
      <c r="H54" s="138"/>
      <c r="I54" s="138"/>
      <c r="J54" s="138"/>
      <c r="K54" s="138"/>
      <c r="L54" s="138"/>
      <c r="M54" s="138"/>
      <c r="N54" s="138"/>
      <c r="O54" s="138"/>
      <c r="P54" s="138"/>
      <c r="Q54" s="138"/>
      <c r="R54" s="138"/>
      <c r="S54" s="138"/>
      <c r="T54" s="138"/>
    </row>
    <row r="55" spans="1:20" x14ac:dyDescent="0.3">
      <c r="A55" s="139"/>
      <c r="B55" s="138"/>
      <c r="C55" s="138"/>
      <c r="D55" s="138"/>
      <c r="E55" s="138"/>
      <c r="F55" s="154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</row>
    <row r="56" spans="1:20" x14ac:dyDescent="0.3">
      <c r="A56" s="139"/>
      <c r="B56" s="138"/>
      <c r="C56" s="138"/>
      <c r="D56" s="138"/>
      <c r="E56" s="138"/>
      <c r="F56" s="154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8"/>
      <c r="S56" s="138"/>
      <c r="T56" s="138"/>
    </row>
    <row r="57" spans="1:20" x14ac:dyDescent="0.3">
      <c r="A57" s="139"/>
      <c r="B57" s="138"/>
      <c r="C57" s="138"/>
      <c r="D57" s="138"/>
      <c r="E57" s="138"/>
      <c r="F57" s="154"/>
      <c r="G57" s="138"/>
      <c r="H57" s="138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</row>
    <row r="58" spans="1:20" x14ac:dyDescent="0.3">
      <c r="A58" s="139"/>
      <c r="B58" s="138"/>
      <c r="C58" s="138"/>
      <c r="D58" s="138"/>
      <c r="E58" s="138"/>
      <c r="F58" s="154"/>
      <c r="G58" s="138"/>
      <c r="H58" s="138"/>
      <c r="I58" s="138"/>
      <c r="J58" s="138"/>
      <c r="K58" s="138"/>
      <c r="L58" s="138"/>
      <c r="M58" s="138"/>
      <c r="N58" s="138"/>
      <c r="O58" s="138"/>
      <c r="P58" s="138"/>
      <c r="Q58" s="138"/>
      <c r="R58" s="138"/>
      <c r="S58" s="138"/>
      <c r="T58" s="138"/>
    </row>
    <row r="59" spans="1:20" x14ac:dyDescent="0.3">
      <c r="A59" s="139"/>
      <c r="B59" s="138"/>
      <c r="C59" s="138"/>
      <c r="D59" s="138"/>
      <c r="E59" s="138"/>
      <c r="F59" s="154"/>
      <c r="G59" s="138"/>
      <c r="H59" s="138"/>
      <c r="I59" s="138"/>
      <c r="J59" s="138"/>
      <c r="K59" s="138"/>
      <c r="L59" s="138"/>
      <c r="M59" s="138"/>
      <c r="N59" s="138"/>
      <c r="O59" s="138"/>
      <c r="P59" s="138"/>
      <c r="Q59" s="138"/>
      <c r="R59" s="138"/>
      <c r="S59" s="138"/>
      <c r="T59" s="138"/>
    </row>
    <row r="60" spans="1:20" x14ac:dyDescent="0.3">
      <c r="A60" s="139"/>
      <c r="B60" s="138"/>
      <c r="C60" s="138"/>
      <c r="D60" s="138"/>
      <c r="E60" s="138"/>
      <c r="F60" s="154"/>
      <c r="G60" s="138"/>
      <c r="H60" s="138"/>
      <c r="I60" s="138"/>
      <c r="J60" s="138"/>
      <c r="K60" s="138"/>
      <c r="L60" s="138"/>
      <c r="M60" s="138"/>
      <c r="N60" s="138"/>
      <c r="O60" s="138"/>
      <c r="P60" s="138"/>
      <c r="Q60" s="138"/>
      <c r="R60" s="138"/>
      <c r="S60" s="138"/>
      <c r="T60" s="138"/>
    </row>
    <row r="61" spans="1:20" x14ac:dyDescent="0.3">
      <c r="A61" s="139"/>
      <c r="B61" s="138"/>
      <c r="C61" s="138"/>
      <c r="D61" s="138"/>
      <c r="E61" s="138"/>
      <c r="F61" s="154"/>
      <c r="G61" s="138"/>
      <c r="H61" s="138"/>
      <c r="I61" s="138"/>
      <c r="J61" s="138"/>
      <c r="K61" s="138"/>
      <c r="L61" s="138"/>
      <c r="M61" s="138"/>
      <c r="N61" s="138"/>
      <c r="O61" s="138"/>
      <c r="P61" s="138"/>
      <c r="Q61" s="138"/>
      <c r="R61" s="138"/>
      <c r="S61" s="138"/>
      <c r="T61" s="138"/>
    </row>
    <row r="62" spans="1:20" x14ac:dyDescent="0.3">
      <c r="A62" s="4"/>
      <c r="F62" s="10"/>
    </row>
    <row r="63" spans="1:20" x14ac:dyDescent="0.3">
      <c r="A63" s="4"/>
      <c r="F63" s="10"/>
    </row>
    <row r="64" spans="1:20" x14ac:dyDescent="0.3">
      <c r="A64" s="4"/>
      <c r="F64" s="10"/>
    </row>
    <row r="65" spans="1:6" x14ac:dyDescent="0.3">
      <c r="A65" s="4"/>
      <c r="F65" s="10"/>
    </row>
    <row r="66" spans="1:6" x14ac:dyDescent="0.3">
      <c r="A66" s="4"/>
      <c r="F66" s="10"/>
    </row>
    <row r="67" spans="1:6" x14ac:dyDescent="0.3">
      <c r="A67" s="4"/>
      <c r="F67" s="10"/>
    </row>
    <row r="68" spans="1:6" x14ac:dyDescent="0.3">
      <c r="A68" s="4"/>
      <c r="F68" s="10"/>
    </row>
    <row r="69" spans="1:6" x14ac:dyDescent="0.3">
      <c r="A69" s="4"/>
      <c r="F69" s="10"/>
    </row>
    <row r="70" spans="1:6" x14ac:dyDescent="0.3">
      <c r="A70" s="4"/>
      <c r="F70" s="10"/>
    </row>
    <row r="71" spans="1:6" x14ac:dyDescent="0.3">
      <c r="A71" s="4"/>
      <c r="F71" s="10"/>
    </row>
    <row r="72" spans="1:6" x14ac:dyDescent="0.3">
      <c r="A72" s="4"/>
      <c r="F72" s="10"/>
    </row>
    <row r="73" spans="1:6" x14ac:dyDescent="0.3">
      <c r="A73" s="4"/>
      <c r="F73" s="10"/>
    </row>
    <row r="74" spans="1:6" x14ac:dyDescent="0.3">
      <c r="A74" s="4"/>
      <c r="F74" s="10"/>
    </row>
    <row r="75" spans="1:6" x14ac:dyDescent="0.3">
      <c r="A75" s="4"/>
      <c r="F75" s="10"/>
    </row>
    <row r="76" spans="1:6" x14ac:dyDescent="0.3">
      <c r="A76" s="4"/>
      <c r="F76" s="10"/>
    </row>
    <row r="77" spans="1:6" x14ac:dyDescent="0.3">
      <c r="A77" s="4"/>
      <c r="F77" s="10"/>
    </row>
    <row r="78" spans="1:6" x14ac:dyDescent="0.3">
      <c r="A78" s="4"/>
      <c r="F78" s="10"/>
    </row>
    <row r="79" spans="1:6" x14ac:dyDescent="0.3">
      <c r="A79" s="4"/>
      <c r="F79" s="10"/>
    </row>
    <row r="80" spans="1:6" x14ac:dyDescent="0.3">
      <c r="A80" s="4"/>
      <c r="F80" s="10"/>
    </row>
    <row r="81" spans="1:6" x14ac:dyDescent="0.3">
      <c r="A81" s="4"/>
      <c r="F81" s="10"/>
    </row>
    <row r="82" spans="1:6" x14ac:dyDescent="0.3">
      <c r="A82" s="4"/>
      <c r="F82" s="10"/>
    </row>
    <row r="83" spans="1:6" x14ac:dyDescent="0.3">
      <c r="A83" s="4"/>
      <c r="F83" s="10"/>
    </row>
    <row r="84" spans="1:6" x14ac:dyDescent="0.3">
      <c r="A84" s="4"/>
      <c r="F84" s="10"/>
    </row>
    <row r="85" spans="1:6" x14ac:dyDescent="0.3">
      <c r="A85" s="4"/>
      <c r="F85" s="10"/>
    </row>
    <row r="86" spans="1:6" x14ac:dyDescent="0.3">
      <c r="A86" s="4"/>
      <c r="F86" s="10"/>
    </row>
    <row r="87" spans="1:6" x14ac:dyDescent="0.3">
      <c r="A87" s="4"/>
      <c r="F87" s="10"/>
    </row>
    <row r="88" spans="1:6" x14ac:dyDescent="0.3">
      <c r="A88" s="4"/>
      <c r="F88" s="10"/>
    </row>
    <row r="89" spans="1:6" ht="15" thickBot="1" x14ac:dyDescent="0.35">
      <c r="A89" s="5"/>
      <c r="B89" s="11"/>
      <c r="C89" s="11"/>
      <c r="D89" s="11"/>
      <c r="E89" s="11"/>
      <c r="F89" s="12"/>
    </row>
  </sheetData>
  <conditionalFormatting sqref="K27">
    <cfRule type="duplicateValues" dxfId="22" priority="22"/>
  </conditionalFormatting>
  <conditionalFormatting sqref="K28">
    <cfRule type="duplicateValues" dxfId="21" priority="21"/>
  </conditionalFormatting>
  <conditionalFormatting sqref="K29">
    <cfRule type="duplicateValues" dxfId="20" priority="20"/>
  </conditionalFormatting>
  <conditionalFormatting sqref="K30">
    <cfRule type="duplicateValues" dxfId="19" priority="19"/>
  </conditionalFormatting>
  <conditionalFormatting sqref="K31">
    <cfRule type="duplicateValues" dxfId="18" priority="18"/>
  </conditionalFormatting>
  <conditionalFormatting sqref="K32">
    <cfRule type="duplicateValues" dxfId="17" priority="17"/>
  </conditionalFormatting>
  <conditionalFormatting sqref="K33">
    <cfRule type="duplicateValues" dxfId="16" priority="16"/>
  </conditionalFormatting>
  <conditionalFormatting sqref="K34">
    <cfRule type="duplicateValues" dxfId="15" priority="15"/>
  </conditionalFormatting>
  <conditionalFormatting sqref="K38">
    <cfRule type="duplicateValues" dxfId="14" priority="14"/>
  </conditionalFormatting>
  <conditionalFormatting sqref="K37">
    <cfRule type="duplicateValues" dxfId="13" priority="13"/>
  </conditionalFormatting>
  <conditionalFormatting sqref="K39">
    <cfRule type="duplicateValues" dxfId="12" priority="12"/>
  </conditionalFormatting>
  <conditionalFormatting sqref="Q27">
    <cfRule type="duplicateValues" dxfId="11" priority="11"/>
  </conditionalFormatting>
  <conditionalFormatting sqref="Q28">
    <cfRule type="duplicateValues" dxfId="10" priority="10"/>
  </conditionalFormatting>
  <conditionalFormatting sqref="Q29">
    <cfRule type="duplicateValues" dxfId="9" priority="9"/>
  </conditionalFormatting>
  <conditionalFormatting sqref="Q30">
    <cfRule type="duplicateValues" dxfId="8" priority="8"/>
  </conditionalFormatting>
  <conditionalFormatting sqref="Q31">
    <cfRule type="duplicateValues" dxfId="7" priority="7"/>
  </conditionalFormatting>
  <conditionalFormatting sqref="Q32">
    <cfRule type="duplicateValues" dxfId="6" priority="6"/>
  </conditionalFormatting>
  <conditionalFormatting sqref="Q33">
    <cfRule type="duplicateValues" dxfId="5" priority="5"/>
  </conditionalFormatting>
  <conditionalFormatting sqref="Q34">
    <cfRule type="duplicateValues" dxfId="4" priority="4"/>
  </conditionalFormatting>
  <conditionalFormatting sqref="Q38">
    <cfRule type="duplicateValues" dxfId="3" priority="3"/>
  </conditionalFormatting>
  <conditionalFormatting sqref="Q37">
    <cfRule type="duplicateValues" dxfId="2" priority="2"/>
  </conditionalFormatting>
  <conditionalFormatting sqref="Q39">
    <cfRule type="duplicateValues" dxfId="1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G92"/>
  <sheetViews>
    <sheetView topLeftCell="B48" workbookViewId="0">
      <selection activeCell="G58" sqref="G58"/>
    </sheetView>
  </sheetViews>
  <sheetFormatPr defaultColWidth="9.109375" defaultRowHeight="14.4" x14ac:dyDescent="0.3"/>
  <cols>
    <col min="1" max="1" width="22" bestFit="1" customWidth="1"/>
    <col min="2" max="2" width="35.88671875" bestFit="1" customWidth="1"/>
    <col min="3" max="3" width="14" bestFit="1" customWidth="1"/>
    <col min="5" max="5" width="25.88671875" bestFit="1" customWidth="1"/>
    <col min="6" max="6" width="25.88671875" customWidth="1"/>
    <col min="7" max="7" width="121.88671875" bestFit="1" customWidth="1"/>
  </cols>
  <sheetData>
    <row r="1" spans="1:7" ht="15" thickBot="1" x14ac:dyDescent="0.35">
      <c r="A1" s="3" t="s">
        <v>18</v>
      </c>
      <c r="B1" s="6" t="s">
        <v>56</v>
      </c>
      <c r="C1" s="7" t="s">
        <v>30</v>
      </c>
      <c r="D1" s="7" t="s">
        <v>31</v>
      </c>
      <c r="E1" s="7" t="s">
        <v>57</v>
      </c>
      <c r="F1" s="8" t="s">
        <v>32</v>
      </c>
    </row>
    <row r="2" spans="1:7" x14ac:dyDescent="0.3">
      <c r="B2" s="4" t="s">
        <v>33</v>
      </c>
      <c r="C2" t="s">
        <v>34</v>
      </c>
      <c r="D2">
        <v>255</v>
      </c>
      <c r="E2" t="s">
        <v>33</v>
      </c>
      <c r="F2" s="13">
        <v>1</v>
      </c>
    </row>
    <row r="3" spans="1:7" x14ac:dyDescent="0.3">
      <c r="B3" s="4" t="s">
        <v>0</v>
      </c>
      <c r="C3" t="s">
        <v>34</v>
      </c>
      <c r="D3">
        <v>255</v>
      </c>
      <c r="E3" t="s">
        <v>0</v>
      </c>
      <c r="F3" s="13">
        <v>2</v>
      </c>
    </row>
    <row r="4" spans="1:7" x14ac:dyDescent="0.3">
      <c r="B4" s="4" t="s">
        <v>35</v>
      </c>
      <c r="C4" t="s">
        <v>34</v>
      </c>
      <c r="D4">
        <v>255</v>
      </c>
      <c r="E4" t="s">
        <v>35</v>
      </c>
      <c r="F4" s="13">
        <v>3</v>
      </c>
      <c r="G4" s="61" t="s">
        <v>133</v>
      </c>
    </row>
    <row r="5" spans="1:7" x14ac:dyDescent="0.3">
      <c r="B5" s="4" t="s">
        <v>92</v>
      </c>
      <c r="C5" t="s">
        <v>100</v>
      </c>
      <c r="D5">
        <v>255</v>
      </c>
      <c r="E5" s="20" t="s">
        <v>92</v>
      </c>
      <c r="F5" s="13">
        <v>4</v>
      </c>
    </row>
    <row r="6" spans="1:7" x14ac:dyDescent="0.3">
      <c r="B6" s="4" t="s">
        <v>93</v>
      </c>
      <c r="C6" t="s">
        <v>100</v>
      </c>
      <c r="D6">
        <v>255</v>
      </c>
      <c r="E6" s="20" t="s">
        <v>93</v>
      </c>
      <c r="F6" s="13">
        <v>5</v>
      </c>
    </row>
    <row r="7" spans="1:7" x14ac:dyDescent="0.3">
      <c r="B7" s="4" t="s">
        <v>94</v>
      </c>
      <c r="C7" t="s">
        <v>100</v>
      </c>
      <c r="D7">
        <v>255</v>
      </c>
      <c r="E7" s="20" t="s">
        <v>94</v>
      </c>
      <c r="F7" s="13">
        <v>6</v>
      </c>
    </row>
    <row r="8" spans="1:7" x14ac:dyDescent="0.3">
      <c r="B8" s="4" t="s">
        <v>95</v>
      </c>
      <c r="C8" t="s">
        <v>100</v>
      </c>
      <c r="D8">
        <v>255</v>
      </c>
      <c r="E8" s="20" t="s">
        <v>95</v>
      </c>
      <c r="F8" s="13">
        <v>7</v>
      </c>
    </row>
    <row r="9" spans="1:7" x14ac:dyDescent="0.3">
      <c r="B9" s="4" t="s">
        <v>98</v>
      </c>
      <c r="C9" t="s">
        <v>34</v>
      </c>
      <c r="D9">
        <v>255</v>
      </c>
      <c r="E9" s="20" t="s">
        <v>96</v>
      </c>
      <c r="F9" s="13">
        <v>8</v>
      </c>
      <c r="G9" t="s">
        <v>112</v>
      </c>
    </row>
    <row r="10" spans="1:7" x14ac:dyDescent="0.3">
      <c r="B10" s="4" t="s">
        <v>2</v>
      </c>
      <c r="C10" t="s">
        <v>34</v>
      </c>
      <c r="D10">
        <v>255</v>
      </c>
      <c r="E10" t="s">
        <v>2</v>
      </c>
      <c r="F10" s="13">
        <v>9</v>
      </c>
      <c r="G10" t="s">
        <v>113</v>
      </c>
    </row>
    <row r="11" spans="1:7" x14ac:dyDescent="0.3">
      <c r="B11" s="4" t="s">
        <v>3</v>
      </c>
      <c r="C11" t="s">
        <v>34</v>
      </c>
      <c r="D11">
        <v>255</v>
      </c>
      <c r="E11" t="s">
        <v>3</v>
      </c>
      <c r="F11" s="13">
        <v>10</v>
      </c>
      <c r="G11" t="s">
        <v>114</v>
      </c>
    </row>
    <row r="12" spans="1:7" x14ac:dyDescent="0.3">
      <c r="B12" s="4" t="s">
        <v>37</v>
      </c>
      <c r="C12" t="s">
        <v>100</v>
      </c>
      <c r="D12">
        <v>255</v>
      </c>
      <c r="E12" t="s">
        <v>37</v>
      </c>
      <c r="F12" s="13">
        <v>11</v>
      </c>
      <c r="G12" t="s">
        <v>115</v>
      </c>
    </row>
    <row r="13" spans="1:7" x14ac:dyDescent="0.3">
      <c r="B13" s="4" t="s">
        <v>38</v>
      </c>
      <c r="C13" t="s">
        <v>34</v>
      </c>
      <c r="E13" s="15" t="s">
        <v>38</v>
      </c>
      <c r="F13" s="13">
        <v>12</v>
      </c>
      <c r="G13" t="s">
        <v>116</v>
      </c>
    </row>
    <row r="14" spans="1:7" x14ac:dyDescent="0.3">
      <c r="B14" s="4" t="s">
        <v>40</v>
      </c>
      <c r="C14" t="s">
        <v>34</v>
      </c>
      <c r="E14" s="15" t="s">
        <v>40</v>
      </c>
      <c r="F14" s="13">
        <v>13</v>
      </c>
      <c r="G14" t="s">
        <v>117</v>
      </c>
    </row>
    <row r="15" spans="1:7" x14ac:dyDescent="0.3">
      <c r="B15" s="4" t="s">
        <v>4</v>
      </c>
      <c r="C15" t="s">
        <v>34</v>
      </c>
      <c r="D15">
        <v>255</v>
      </c>
      <c r="E15" t="s">
        <v>4</v>
      </c>
      <c r="F15" s="13">
        <v>14</v>
      </c>
    </row>
    <row r="16" spans="1:7" x14ac:dyDescent="0.3">
      <c r="B16" s="4" t="s">
        <v>41</v>
      </c>
      <c r="C16" t="s">
        <v>34</v>
      </c>
      <c r="D16">
        <v>255</v>
      </c>
      <c r="E16" t="s">
        <v>41</v>
      </c>
      <c r="F16" s="13">
        <v>15</v>
      </c>
      <c r="G16" t="s">
        <v>118</v>
      </c>
    </row>
    <row r="17" spans="2:7" x14ac:dyDescent="0.3">
      <c r="B17" s="4" t="s">
        <v>43</v>
      </c>
      <c r="C17" t="s">
        <v>44</v>
      </c>
      <c r="E17" t="s">
        <v>43</v>
      </c>
      <c r="F17" s="13">
        <v>16</v>
      </c>
      <c r="G17" t="s">
        <v>119</v>
      </c>
    </row>
    <row r="18" spans="2:7" x14ac:dyDescent="0.3">
      <c r="B18" s="4" t="s">
        <v>46</v>
      </c>
      <c r="C18" t="s">
        <v>44</v>
      </c>
      <c r="E18" t="s">
        <v>46</v>
      </c>
      <c r="F18" s="13">
        <v>17</v>
      </c>
      <c r="G18" t="s">
        <v>120</v>
      </c>
    </row>
    <row r="19" spans="2:7" x14ac:dyDescent="0.3">
      <c r="B19" s="4" t="s">
        <v>142</v>
      </c>
      <c r="C19" t="s">
        <v>44</v>
      </c>
      <c r="E19" s="30" t="s">
        <v>142</v>
      </c>
      <c r="F19" s="13">
        <v>18</v>
      </c>
      <c r="G19" t="s">
        <v>121</v>
      </c>
    </row>
    <row r="20" spans="2:7" x14ac:dyDescent="0.3">
      <c r="B20" s="4" t="s">
        <v>97</v>
      </c>
      <c r="C20" t="s">
        <v>34</v>
      </c>
      <c r="D20">
        <v>10</v>
      </c>
      <c r="E20" t="s">
        <v>97</v>
      </c>
      <c r="F20" s="13">
        <v>19</v>
      </c>
      <c r="G20" t="s">
        <v>122</v>
      </c>
    </row>
    <row r="21" spans="2:7" x14ac:dyDescent="0.3">
      <c r="B21" s="4" t="s">
        <v>47</v>
      </c>
      <c r="C21" t="s">
        <v>44</v>
      </c>
      <c r="E21" s="29" t="s">
        <v>47</v>
      </c>
      <c r="F21" s="13">
        <v>20</v>
      </c>
      <c r="G21" t="s">
        <v>123</v>
      </c>
    </row>
    <row r="22" spans="2:7" x14ac:dyDescent="0.3">
      <c r="B22" s="4" t="s">
        <v>143</v>
      </c>
      <c r="C22" t="s">
        <v>44</v>
      </c>
      <c r="E22" s="31" t="s">
        <v>136</v>
      </c>
      <c r="F22" s="13">
        <v>21</v>
      </c>
      <c r="G22" s="26"/>
    </row>
    <row r="23" spans="2:7" x14ac:dyDescent="0.3">
      <c r="B23" s="4" t="s">
        <v>144</v>
      </c>
      <c r="C23" t="s">
        <v>34</v>
      </c>
      <c r="D23">
        <v>255</v>
      </c>
      <c r="E23" s="31" t="s">
        <v>137</v>
      </c>
      <c r="F23" s="13">
        <v>22</v>
      </c>
    </row>
    <row r="24" spans="2:7" x14ac:dyDescent="0.3">
      <c r="B24" s="4" t="s">
        <v>145</v>
      </c>
      <c r="C24" t="s">
        <v>34</v>
      </c>
      <c r="E24" s="31" t="s">
        <v>138</v>
      </c>
      <c r="F24" s="13">
        <v>23</v>
      </c>
    </row>
    <row r="25" spans="2:7" x14ac:dyDescent="0.3">
      <c r="B25" s="4" t="s">
        <v>146</v>
      </c>
      <c r="C25" t="s">
        <v>44</v>
      </c>
      <c r="E25" s="31" t="s">
        <v>139</v>
      </c>
      <c r="F25" s="13">
        <v>24</v>
      </c>
    </row>
    <row r="26" spans="2:7" ht="15" thickBot="1" x14ac:dyDescent="0.35">
      <c r="B26" s="4" t="s">
        <v>147</v>
      </c>
      <c r="C26" t="s">
        <v>34</v>
      </c>
      <c r="E26" s="30" t="s">
        <v>140</v>
      </c>
      <c r="F26" s="13">
        <v>25</v>
      </c>
    </row>
    <row r="27" spans="2:7" ht="15" thickBot="1" x14ac:dyDescent="0.35">
      <c r="B27" s="27" t="s">
        <v>171</v>
      </c>
      <c r="C27" t="s">
        <v>44</v>
      </c>
      <c r="E27" s="27" t="s">
        <v>171</v>
      </c>
      <c r="F27" s="13">
        <v>26</v>
      </c>
      <c r="G27" t="s">
        <v>124</v>
      </c>
    </row>
    <row r="28" spans="2:7" x14ac:dyDescent="0.3">
      <c r="B28" s="4" t="s">
        <v>101</v>
      </c>
      <c r="C28" t="s">
        <v>44</v>
      </c>
      <c r="E28" t="s">
        <v>101</v>
      </c>
      <c r="F28" s="13">
        <v>27</v>
      </c>
    </row>
    <row r="29" spans="2:7" x14ac:dyDescent="0.3">
      <c r="B29" s="4" t="s">
        <v>134</v>
      </c>
      <c r="C29" t="s">
        <v>44</v>
      </c>
      <c r="E29" t="s">
        <v>102</v>
      </c>
      <c r="F29" s="13">
        <v>28</v>
      </c>
    </row>
    <row r="30" spans="2:7" x14ac:dyDescent="0.3">
      <c r="B30" s="4" t="s">
        <v>5</v>
      </c>
      <c r="C30" t="s">
        <v>44</v>
      </c>
      <c r="E30" t="s">
        <v>5</v>
      </c>
      <c r="F30" s="13">
        <v>29</v>
      </c>
    </row>
    <row r="31" spans="2:7" x14ac:dyDescent="0.3">
      <c r="B31" s="4" t="s">
        <v>48</v>
      </c>
      <c r="C31" t="s">
        <v>44</v>
      </c>
      <c r="E31" s="20" t="s">
        <v>48</v>
      </c>
      <c r="F31" s="13">
        <v>30</v>
      </c>
    </row>
    <row r="32" spans="2:7" x14ac:dyDescent="0.3">
      <c r="B32" s="4" t="s">
        <v>49</v>
      </c>
      <c r="C32" t="s">
        <v>34</v>
      </c>
      <c r="D32">
        <v>255</v>
      </c>
      <c r="E32" s="20" t="s">
        <v>49</v>
      </c>
      <c r="F32" s="13">
        <v>31</v>
      </c>
    </row>
    <row r="33" spans="2:7" x14ac:dyDescent="0.3">
      <c r="B33" s="4" t="s">
        <v>50</v>
      </c>
      <c r="C33" t="s">
        <v>44</v>
      </c>
      <c r="E33" s="20" t="s">
        <v>50</v>
      </c>
      <c r="F33" s="13">
        <v>32</v>
      </c>
    </row>
    <row r="34" spans="2:7" x14ac:dyDescent="0.3">
      <c r="B34" s="4" t="s">
        <v>51</v>
      </c>
      <c r="C34" t="s">
        <v>34</v>
      </c>
      <c r="D34">
        <v>2048</v>
      </c>
      <c r="E34" s="20" t="s">
        <v>51</v>
      </c>
      <c r="F34" s="13">
        <v>33</v>
      </c>
    </row>
    <row r="35" spans="2:7" x14ac:dyDescent="0.3">
      <c r="B35" s="4" t="s">
        <v>99</v>
      </c>
      <c r="C35" t="s">
        <v>52</v>
      </c>
      <c r="E35" s="20" t="s">
        <v>103</v>
      </c>
      <c r="F35" s="13">
        <v>34</v>
      </c>
    </row>
    <row r="36" spans="2:7" x14ac:dyDescent="0.3">
      <c r="B36" s="4" t="s">
        <v>104</v>
      </c>
      <c r="C36" t="s">
        <v>34</v>
      </c>
      <c r="E36" s="20" t="s">
        <v>104</v>
      </c>
      <c r="F36" s="13">
        <v>35</v>
      </c>
    </row>
    <row r="37" spans="2:7" x14ac:dyDescent="0.3">
      <c r="B37" s="4" t="s">
        <v>110</v>
      </c>
      <c r="C37" t="s">
        <v>34</v>
      </c>
      <c r="E37" s="20" t="s">
        <v>105</v>
      </c>
      <c r="F37" s="13">
        <v>36</v>
      </c>
    </row>
    <row r="38" spans="2:7" x14ac:dyDescent="0.3">
      <c r="B38" s="4" t="s">
        <v>106</v>
      </c>
      <c r="C38" t="s">
        <v>34</v>
      </c>
      <c r="E38" s="20" t="s">
        <v>106</v>
      </c>
      <c r="F38" s="13">
        <v>37</v>
      </c>
    </row>
    <row r="39" spans="2:7" x14ac:dyDescent="0.3">
      <c r="B39" s="4" t="s">
        <v>111</v>
      </c>
      <c r="C39" t="s">
        <v>34</v>
      </c>
      <c r="E39" s="20" t="s">
        <v>107</v>
      </c>
      <c r="F39" s="13">
        <v>38</v>
      </c>
    </row>
    <row r="40" spans="2:7" x14ac:dyDescent="0.3">
      <c r="B40" s="4" t="s">
        <v>108</v>
      </c>
      <c r="C40" t="s">
        <v>34</v>
      </c>
      <c r="E40" s="20" t="s">
        <v>108</v>
      </c>
      <c r="F40" s="13">
        <v>39</v>
      </c>
    </row>
    <row r="41" spans="2:7" x14ac:dyDescent="0.3">
      <c r="B41" s="4" t="s">
        <v>109</v>
      </c>
      <c r="C41" t="s">
        <v>100</v>
      </c>
      <c r="D41">
        <v>255</v>
      </c>
      <c r="E41" s="20" t="s">
        <v>109</v>
      </c>
      <c r="F41" s="13">
        <v>40</v>
      </c>
    </row>
    <row r="42" spans="2:7" x14ac:dyDescent="0.3">
      <c r="B42" s="4" t="s">
        <v>135</v>
      </c>
      <c r="C42" t="s">
        <v>100</v>
      </c>
      <c r="D42">
        <v>255</v>
      </c>
      <c r="E42" s="20" t="s">
        <v>135</v>
      </c>
      <c r="F42" s="13">
        <v>41</v>
      </c>
    </row>
    <row r="43" spans="2:7" x14ac:dyDescent="0.3">
      <c r="B43" s="4" t="s">
        <v>148</v>
      </c>
      <c r="C43" t="s">
        <v>44</v>
      </c>
      <c r="E43" s="32" t="s">
        <v>141</v>
      </c>
      <c r="F43" s="13">
        <v>42</v>
      </c>
    </row>
    <row r="44" spans="2:7" x14ac:dyDescent="0.3">
      <c r="B44" s="4" t="s">
        <v>150</v>
      </c>
      <c r="C44" t="s">
        <v>44</v>
      </c>
      <c r="E44" s="32" t="s">
        <v>149</v>
      </c>
      <c r="F44" s="13">
        <v>43</v>
      </c>
    </row>
    <row r="45" spans="2:7" x14ac:dyDescent="0.3">
      <c r="B45" s="4" t="s">
        <v>161</v>
      </c>
      <c r="C45" t="s">
        <v>34</v>
      </c>
      <c r="E45" s="32"/>
      <c r="F45" s="13">
        <v>44</v>
      </c>
    </row>
    <row r="46" spans="2:7" x14ac:dyDescent="0.3">
      <c r="B46" s="4" t="s">
        <v>162</v>
      </c>
      <c r="C46" t="s">
        <v>44</v>
      </c>
      <c r="E46" t="s">
        <v>162</v>
      </c>
      <c r="F46" s="13">
        <v>45</v>
      </c>
    </row>
    <row r="47" spans="2:7" x14ac:dyDescent="0.3">
      <c r="B47" s="4" t="s">
        <v>7</v>
      </c>
      <c r="C47" t="s">
        <v>52</v>
      </c>
      <c r="F47" s="10"/>
      <c r="G47" t="s">
        <v>126</v>
      </c>
    </row>
    <row r="48" spans="2:7" ht="15" thickBot="1" x14ac:dyDescent="0.35">
      <c r="B48" s="5" t="s">
        <v>84</v>
      </c>
      <c r="C48" s="11" t="s">
        <v>52</v>
      </c>
      <c r="D48" s="11"/>
      <c r="E48" s="11"/>
      <c r="F48" s="12"/>
      <c r="G48" t="s">
        <v>125</v>
      </c>
    </row>
    <row r="49" spans="1:7" ht="15" thickBot="1" x14ac:dyDescent="0.35"/>
    <row r="50" spans="1:7" ht="15" thickBot="1" x14ac:dyDescent="0.35">
      <c r="A50" s="3" t="s">
        <v>19</v>
      </c>
      <c r="B50" s="6" t="s">
        <v>56</v>
      </c>
      <c r="C50" s="7" t="s">
        <v>30</v>
      </c>
      <c r="D50" s="7" t="s">
        <v>31</v>
      </c>
      <c r="E50" s="7" t="s">
        <v>57</v>
      </c>
      <c r="F50" s="8" t="s">
        <v>32</v>
      </c>
    </row>
    <row r="51" spans="1:7" x14ac:dyDescent="0.3">
      <c r="B51" s="9" t="s">
        <v>86</v>
      </c>
      <c r="C51" t="s">
        <v>44</v>
      </c>
      <c r="E51" s="2" t="str">
        <f>'Profit and Loss'!A$1</f>
        <v>Management Fee</v>
      </c>
      <c r="F51" s="10">
        <v>1</v>
      </c>
      <c r="G51" t="s">
        <v>127</v>
      </c>
    </row>
    <row r="52" spans="1:7" x14ac:dyDescent="0.3">
      <c r="B52" s="9" t="s">
        <v>9</v>
      </c>
      <c r="C52" t="s">
        <v>44</v>
      </c>
      <c r="E52" s="2" t="str">
        <f>'Profit and Loss'!B$1</f>
        <v>Carry</v>
      </c>
      <c r="F52" s="10">
        <v>2</v>
      </c>
    </row>
    <row r="53" spans="1:7" x14ac:dyDescent="0.3">
      <c r="B53" s="9" t="s">
        <v>87</v>
      </c>
      <c r="C53" t="s">
        <v>34</v>
      </c>
      <c r="D53">
        <v>10</v>
      </c>
      <c r="E53" s="2"/>
      <c r="F53" s="10">
        <v>9</v>
      </c>
      <c r="G53" t="s">
        <v>129</v>
      </c>
    </row>
    <row r="54" spans="1:7" x14ac:dyDescent="0.3">
      <c r="B54" s="9" t="s">
        <v>88</v>
      </c>
      <c r="C54" t="s">
        <v>44</v>
      </c>
      <c r="E54" s="2" t="str">
        <f>'Profit and Loss'!C$1</f>
        <v>Hurdle (Hard)</v>
      </c>
      <c r="F54" s="10">
        <v>3</v>
      </c>
      <c r="G54" t="s">
        <v>128</v>
      </c>
    </row>
    <row r="55" spans="1:7" x14ac:dyDescent="0.3">
      <c r="B55" s="9" t="s">
        <v>54</v>
      </c>
      <c r="C55" t="s">
        <v>44</v>
      </c>
      <c r="E55" s="2" t="str">
        <f>'Profit and Loss'!D$1</f>
        <v>Fronting Fee</v>
      </c>
      <c r="F55" s="10">
        <v>4</v>
      </c>
      <c r="G55" t="s">
        <v>6</v>
      </c>
    </row>
    <row r="56" spans="1:7" x14ac:dyDescent="0.3">
      <c r="B56" s="9" t="s">
        <v>55</v>
      </c>
      <c r="C56" t="s">
        <v>44</v>
      </c>
      <c r="E56" s="2" t="str">
        <f>'Profit and Loss'!E$1</f>
        <v>Acquisition Expense</v>
      </c>
      <c r="F56" s="10">
        <v>5</v>
      </c>
    </row>
    <row r="57" spans="1:7" x14ac:dyDescent="0.3">
      <c r="B57" s="9" t="s">
        <v>12</v>
      </c>
      <c r="C57" t="s">
        <v>44</v>
      </c>
      <c r="E57" s="2" t="str">
        <f>'Profit and Loss'!F$1</f>
        <v>FET</v>
      </c>
      <c r="F57" s="10">
        <v>6</v>
      </c>
    </row>
    <row r="58" spans="1:7" x14ac:dyDescent="0.3">
      <c r="B58" s="9" t="s">
        <v>90</v>
      </c>
      <c r="C58" t="s">
        <v>44</v>
      </c>
      <c r="E58" s="2" t="str">
        <f>'Profit and Loss'!H$1</f>
        <v>Op/Org Expenses</v>
      </c>
      <c r="F58" s="10">
        <v>8</v>
      </c>
      <c r="G58" t="s">
        <v>130</v>
      </c>
    </row>
    <row r="59" spans="1:7" x14ac:dyDescent="0.3">
      <c r="B59" s="9" t="s">
        <v>89</v>
      </c>
      <c r="C59" t="s">
        <v>44</v>
      </c>
      <c r="E59" s="2" t="str">
        <f>'Profit and Loss'!G$1</f>
        <v>Investment Inc</v>
      </c>
      <c r="F59" s="10">
        <v>7</v>
      </c>
      <c r="G59" t="s">
        <v>131</v>
      </c>
    </row>
    <row r="60" spans="1:7" x14ac:dyDescent="0.3">
      <c r="B60" s="9" t="s">
        <v>163</v>
      </c>
      <c r="C60" t="s">
        <v>44</v>
      </c>
      <c r="E60" s="2" t="s">
        <v>164</v>
      </c>
      <c r="F60" s="10">
        <v>10</v>
      </c>
    </row>
    <row r="61" spans="1:7" x14ac:dyDescent="0.3">
      <c r="B61" s="9" t="s">
        <v>169</v>
      </c>
      <c r="C61" t="s">
        <v>44</v>
      </c>
      <c r="E61" s="2" t="s">
        <v>168</v>
      </c>
      <c r="F61" s="10">
        <v>11</v>
      </c>
    </row>
    <row r="62" spans="1:7" x14ac:dyDescent="0.3">
      <c r="B62" s="9" t="s">
        <v>170</v>
      </c>
      <c r="C62" t="s">
        <v>44</v>
      </c>
      <c r="E62" s="2" t="s">
        <v>166</v>
      </c>
      <c r="F62" s="10">
        <v>12</v>
      </c>
    </row>
    <row r="63" spans="1:7" x14ac:dyDescent="0.3">
      <c r="B63" s="9" t="s">
        <v>165</v>
      </c>
      <c r="C63" t="s">
        <v>44</v>
      </c>
      <c r="E63" s="2" t="s">
        <v>167</v>
      </c>
      <c r="F63" s="10">
        <v>13</v>
      </c>
    </row>
    <row r="64" spans="1:7" x14ac:dyDescent="0.3">
      <c r="B64" s="4" t="s">
        <v>91</v>
      </c>
      <c r="C64" t="s">
        <v>52</v>
      </c>
      <c r="F64" s="10"/>
      <c r="G64" t="s">
        <v>126</v>
      </c>
    </row>
    <row r="65" spans="1:7" ht="15" thickBot="1" x14ac:dyDescent="0.35">
      <c r="B65" s="5" t="s">
        <v>84</v>
      </c>
      <c r="C65" s="11" t="s">
        <v>52</v>
      </c>
      <c r="D65" s="11"/>
      <c r="E65" s="11"/>
      <c r="F65" s="12"/>
      <c r="G65" t="s">
        <v>125</v>
      </c>
    </row>
    <row r="66" spans="1:7" ht="15" thickBot="1" x14ac:dyDescent="0.35"/>
    <row r="67" spans="1:7" ht="15" thickBot="1" x14ac:dyDescent="0.35">
      <c r="A67" s="3" t="s">
        <v>82</v>
      </c>
      <c r="B67" s="6" t="s">
        <v>56</v>
      </c>
      <c r="C67" s="7" t="s">
        <v>30</v>
      </c>
      <c r="D67" s="7" t="s">
        <v>31</v>
      </c>
      <c r="E67" s="7" t="s">
        <v>57</v>
      </c>
      <c r="F67" s="8" t="s">
        <v>32</v>
      </c>
    </row>
    <row r="68" spans="1:7" x14ac:dyDescent="0.3">
      <c r="B68" s="4" t="s">
        <v>15</v>
      </c>
      <c r="C68" t="s">
        <v>52</v>
      </c>
      <c r="E68" t="str">
        <f>'Historical Events Adjustment'!A1</f>
        <v>EventID</v>
      </c>
      <c r="F68" s="10">
        <v>1</v>
      </c>
    </row>
    <row r="69" spans="1:7" x14ac:dyDescent="0.3">
      <c r="B69" s="4" t="s">
        <v>16</v>
      </c>
      <c r="C69" t="s">
        <v>34</v>
      </c>
      <c r="D69">
        <v>100</v>
      </c>
      <c r="E69" t="str">
        <f>'Historical Events Adjustment'!B1</f>
        <v>Event Name</v>
      </c>
      <c r="F69" s="10">
        <v>2</v>
      </c>
      <c r="G69" t="s">
        <v>132</v>
      </c>
    </row>
    <row r="70" spans="1:7" x14ac:dyDescent="0.3">
      <c r="B70" s="4" t="s">
        <v>35</v>
      </c>
      <c r="C70" t="s">
        <v>34</v>
      </c>
      <c r="D70">
        <v>500</v>
      </c>
      <c r="E70" t="str">
        <f>'Historical Events Adjustment'!C1</f>
        <v>ILSName (has to be exactly same as ILS Name in Bound details)</v>
      </c>
      <c r="F70" s="10">
        <v>3</v>
      </c>
      <c r="G70" t="s">
        <v>133</v>
      </c>
    </row>
    <row r="71" spans="1:7" x14ac:dyDescent="0.3">
      <c r="B71" s="4" t="s">
        <v>85</v>
      </c>
      <c r="C71" t="s">
        <v>44</v>
      </c>
      <c r="E71" t="str">
        <f>'Historical Events Adjustment'!D1</f>
        <v>Additional Adjustment</v>
      </c>
      <c r="F71" s="10">
        <v>4</v>
      </c>
    </row>
    <row r="72" spans="1:7" x14ac:dyDescent="0.3">
      <c r="B72" s="4" t="s">
        <v>91</v>
      </c>
      <c r="C72" t="s">
        <v>52</v>
      </c>
      <c r="F72" s="10"/>
      <c r="G72" t="s">
        <v>126</v>
      </c>
    </row>
    <row r="73" spans="1:7" ht="15" thickBot="1" x14ac:dyDescent="0.35">
      <c r="B73" s="5" t="s">
        <v>84</v>
      </c>
      <c r="C73" s="11" t="s">
        <v>52</v>
      </c>
      <c r="D73" s="11"/>
      <c r="E73" s="11"/>
      <c r="F73" s="12"/>
      <c r="G73" t="s">
        <v>125</v>
      </c>
    </row>
    <row r="74" spans="1:7" ht="15" thickBot="1" x14ac:dyDescent="0.35"/>
    <row r="75" spans="1:7" ht="15" thickBot="1" x14ac:dyDescent="0.35">
      <c r="A75" s="3" t="s">
        <v>20</v>
      </c>
      <c r="B75" s="6" t="s">
        <v>56</v>
      </c>
      <c r="C75" s="7" t="s">
        <v>30</v>
      </c>
      <c r="D75" s="7" t="s">
        <v>31</v>
      </c>
      <c r="E75" s="7" t="s">
        <v>57</v>
      </c>
      <c r="F75" s="8" t="s">
        <v>32</v>
      </c>
    </row>
    <row r="76" spans="1:7" x14ac:dyDescent="0.3">
      <c r="B76" s="4" t="s">
        <v>58</v>
      </c>
      <c r="C76" t="s">
        <v>34</v>
      </c>
      <c r="D76">
        <v>255</v>
      </c>
      <c r="E76" t="str">
        <f>Guidelines!A$1</f>
        <v>ConstraintType</v>
      </c>
      <c r="F76" s="10">
        <v>1</v>
      </c>
    </row>
    <row r="77" spans="1:7" x14ac:dyDescent="0.3">
      <c r="B77" s="4" t="s">
        <v>62</v>
      </c>
      <c r="C77" t="s">
        <v>34</v>
      </c>
      <c r="D77">
        <v>255</v>
      </c>
      <c r="E77" t="str">
        <f>Guidelines!B$1</f>
        <v>ConstraintName</v>
      </c>
      <c r="F77" s="10">
        <v>2</v>
      </c>
    </row>
    <row r="78" spans="1:7" x14ac:dyDescent="0.3">
      <c r="B78" s="4" t="s">
        <v>63</v>
      </c>
      <c r="C78" t="s">
        <v>44</v>
      </c>
      <c r="E78" t="str">
        <f>Guidelines!C$1</f>
        <v>SingleLimit</v>
      </c>
      <c r="F78" s="10">
        <v>3</v>
      </c>
    </row>
    <row r="79" spans="1:7" x14ac:dyDescent="0.3">
      <c r="B79" s="14" t="s">
        <v>61</v>
      </c>
      <c r="C79" t="s">
        <v>44</v>
      </c>
      <c r="E79" t="str">
        <f>Guidelines!D$1</f>
        <v>MaxLimit</v>
      </c>
      <c r="F79" s="10">
        <v>4</v>
      </c>
    </row>
    <row r="80" spans="1:7" x14ac:dyDescent="0.3">
      <c r="B80" s="4" t="s">
        <v>59</v>
      </c>
      <c r="C80" t="s">
        <v>34</v>
      </c>
      <c r="D80">
        <v>100</v>
      </c>
      <c r="E80" t="str">
        <f>Guidelines!E$1</f>
        <v>LossType</v>
      </c>
      <c r="F80" s="10">
        <v>5</v>
      </c>
    </row>
    <row r="81" spans="1:7" x14ac:dyDescent="0.3">
      <c r="B81" s="4" t="s">
        <v>60</v>
      </c>
      <c r="C81" t="s">
        <v>52</v>
      </c>
      <c r="E81" t="str">
        <f>Guidelines!F$1</f>
        <v>ReturnPeriod</v>
      </c>
      <c r="F81" s="10">
        <v>6</v>
      </c>
    </row>
    <row r="82" spans="1:7" x14ac:dyDescent="0.3">
      <c r="B82" s="4" t="s">
        <v>7</v>
      </c>
      <c r="C82" t="s">
        <v>52</v>
      </c>
      <c r="F82" s="10"/>
      <c r="G82" t="s">
        <v>126</v>
      </c>
    </row>
    <row r="83" spans="1:7" ht="15" thickBot="1" x14ac:dyDescent="0.35">
      <c r="B83" s="5" t="s">
        <v>84</v>
      </c>
      <c r="C83" s="11" t="s">
        <v>52</v>
      </c>
      <c r="D83" s="11"/>
      <c r="E83" s="11"/>
      <c r="F83" s="12"/>
      <c r="G83" t="s">
        <v>125</v>
      </c>
    </row>
    <row r="84" spans="1:7" ht="15" thickBot="1" x14ac:dyDescent="0.35"/>
    <row r="85" spans="1:7" ht="15" thickBot="1" x14ac:dyDescent="0.35">
      <c r="A85" s="3" t="s">
        <v>81</v>
      </c>
      <c r="B85" s="6" t="s">
        <v>56</v>
      </c>
      <c r="C85" s="7" t="s">
        <v>30</v>
      </c>
      <c r="D85" s="7" t="s">
        <v>31</v>
      </c>
      <c r="E85" s="7" t="s">
        <v>57</v>
      </c>
      <c r="F85" s="8" t="s">
        <v>32</v>
      </c>
    </row>
    <row r="86" spans="1:7" x14ac:dyDescent="0.3">
      <c r="B86" s="4" t="s">
        <v>7</v>
      </c>
      <c r="C86" t="s">
        <v>44</v>
      </c>
      <c r="F86" s="10"/>
    </row>
    <row r="87" spans="1:7" x14ac:dyDescent="0.3">
      <c r="B87" s="4" t="s">
        <v>1</v>
      </c>
      <c r="C87" t="s">
        <v>34</v>
      </c>
      <c r="D87">
        <v>50</v>
      </c>
      <c r="F87" s="10"/>
    </row>
    <row r="88" spans="1:7" x14ac:dyDescent="0.3">
      <c r="B88" s="4" t="s">
        <v>36</v>
      </c>
      <c r="C88" t="s">
        <v>44</v>
      </c>
      <c r="F88" s="10"/>
    </row>
    <row r="89" spans="1:7" x14ac:dyDescent="0.3">
      <c r="B89" s="4" t="s">
        <v>21</v>
      </c>
      <c r="C89" t="s">
        <v>34</v>
      </c>
      <c r="D89">
        <v>510</v>
      </c>
      <c r="F89" s="10"/>
    </row>
    <row r="90" spans="1:7" x14ac:dyDescent="0.3">
      <c r="B90" s="4" t="s">
        <v>42</v>
      </c>
      <c r="C90" t="s">
        <v>39</v>
      </c>
      <c r="F90" s="10"/>
    </row>
    <row r="91" spans="1:7" x14ac:dyDescent="0.3">
      <c r="B91" s="4" t="s">
        <v>45</v>
      </c>
      <c r="C91" t="s">
        <v>34</v>
      </c>
      <c r="D91">
        <v>2048</v>
      </c>
      <c r="F91" s="10"/>
    </row>
    <row r="92" spans="1:7" ht="15" thickBot="1" x14ac:dyDescent="0.35">
      <c r="B92" s="5" t="s">
        <v>152</v>
      </c>
      <c r="C92" s="11" t="s">
        <v>34</v>
      </c>
      <c r="D92" s="11">
        <v>255</v>
      </c>
      <c r="E92" s="11"/>
      <c r="F92" s="12"/>
    </row>
  </sheetData>
  <conditionalFormatting sqref="F3 F6 F9 F12 F15 F18 F21 F24 F27 F30 F33 F36 F39 F42">
    <cfRule type="duplicateValues" dxfId="0" priority="1"/>
  </conditionalFormatting>
  <pageMargins left="0.7" right="0.7" top="0.75" bottom="0.75" header="0.3" footer="0.3"/>
  <pageSetup orientation="portrait" horizontalDpi="90" verticalDpi="9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G76"/>
  <sheetViews>
    <sheetView topLeftCell="A7" workbookViewId="0">
      <selection activeCell="A15" sqref="A15"/>
    </sheetView>
  </sheetViews>
  <sheetFormatPr defaultColWidth="9.109375" defaultRowHeight="14.4" x14ac:dyDescent="0.3"/>
  <cols>
    <col min="1" max="1" width="33" customWidth="1"/>
    <col min="2" max="2" width="39.109375" bestFit="1" customWidth="1"/>
    <col min="3" max="3" width="29.6640625" bestFit="1" customWidth="1"/>
    <col min="4" max="4" width="25.88671875" bestFit="1" customWidth="1"/>
    <col min="5" max="5" width="29.33203125" bestFit="1" customWidth="1"/>
    <col min="6" max="6" width="8.88671875"/>
    <col min="8" max="9" width="8.88671875" customWidth="1"/>
  </cols>
  <sheetData>
    <row r="1" spans="1:7" ht="15" thickBot="1" x14ac:dyDescent="0.35">
      <c r="A1" s="3" t="s">
        <v>70</v>
      </c>
      <c r="B1" s="6" t="s">
        <v>77</v>
      </c>
      <c r="C1" s="7" t="s">
        <v>22</v>
      </c>
      <c r="D1" s="8" t="s">
        <v>23</v>
      </c>
      <c r="G1" s="7" t="s">
        <v>30</v>
      </c>
    </row>
    <row r="2" spans="1:7" x14ac:dyDescent="0.3">
      <c r="B2" s="4" t="s">
        <v>72</v>
      </c>
      <c r="C2" t="s">
        <v>28</v>
      </c>
      <c r="D2" s="10">
        <v>2</v>
      </c>
      <c r="G2" t="s">
        <v>34</v>
      </c>
    </row>
    <row r="3" spans="1:7" x14ac:dyDescent="0.3">
      <c r="B3" s="4" t="s">
        <v>73</v>
      </c>
      <c r="C3" t="s">
        <v>28</v>
      </c>
      <c r="D3" s="10">
        <v>3</v>
      </c>
      <c r="G3" t="s">
        <v>34</v>
      </c>
    </row>
    <row r="4" spans="1:7" x14ac:dyDescent="0.3">
      <c r="B4" s="4" t="s">
        <v>74</v>
      </c>
      <c r="C4" t="s">
        <v>28</v>
      </c>
      <c r="D4" s="10">
        <v>4</v>
      </c>
      <c r="G4" t="s">
        <v>34</v>
      </c>
    </row>
    <row r="5" spans="1:7" x14ac:dyDescent="0.3">
      <c r="B5" s="4" t="s">
        <v>75</v>
      </c>
      <c r="C5" t="s">
        <v>29</v>
      </c>
      <c r="D5" s="10" t="s">
        <v>29</v>
      </c>
      <c r="G5" t="s">
        <v>100</v>
      </c>
    </row>
    <row r="6" spans="1:7" x14ac:dyDescent="0.3">
      <c r="B6" s="4" t="s">
        <v>76</v>
      </c>
      <c r="C6" t="s">
        <v>28</v>
      </c>
      <c r="D6" s="10" t="s">
        <v>28</v>
      </c>
      <c r="G6" t="s">
        <v>100</v>
      </c>
    </row>
    <row r="7" spans="1:7" x14ac:dyDescent="0.3">
      <c r="B7" s="4" t="s">
        <v>24</v>
      </c>
      <c r="D7" s="60" t="s">
        <v>188</v>
      </c>
      <c r="G7" t="s">
        <v>100</v>
      </c>
    </row>
    <row r="8" spans="1:7" x14ac:dyDescent="0.3">
      <c r="B8" s="4" t="s">
        <v>25</v>
      </c>
      <c r="D8" s="60" t="s">
        <v>189</v>
      </c>
      <c r="G8" t="s">
        <v>100</v>
      </c>
    </row>
    <row r="9" spans="1:7" x14ac:dyDescent="0.3">
      <c r="B9" s="4" t="s">
        <v>26</v>
      </c>
      <c r="D9" s="60"/>
      <c r="G9" t="s">
        <v>34</v>
      </c>
    </row>
    <row r="10" spans="1:7" x14ac:dyDescent="0.3">
      <c r="B10" s="4" t="s">
        <v>27</v>
      </c>
      <c r="D10" s="60"/>
      <c r="G10" t="s">
        <v>34</v>
      </c>
    </row>
    <row r="11" spans="1:7" x14ac:dyDescent="0.3">
      <c r="B11" s="4" t="s">
        <v>71</v>
      </c>
      <c r="C11" t="s">
        <v>69</v>
      </c>
      <c r="D11" s="10">
        <v>15</v>
      </c>
      <c r="G11" t="s">
        <v>34</v>
      </c>
    </row>
    <row r="12" spans="1:7" ht="15" thickBot="1" x14ac:dyDescent="0.35">
      <c r="B12" s="5" t="s">
        <v>68</v>
      </c>
      <c r="C12" s="11" t="s">
        <v>69</v>
      </c>
      <c r="D12" s="12">
        <v>5</v>
      </c>
      <c r="G12" t="s">
        <v>34</v>
      </c>
    </row>
    <row r="13" spans="1:7" ht="15" thickBot="1" x14ac:dyDescent="0.35">
      <c r="G13" t="s">
        <v>34</v>
      </c>
    </row>
    <row r="14" spans="1:7" ht="15" thickBot="1" x14ac:dyDescent="0.35">
      <c r="A14" s="3" t="s">
        <v>190</v>
      </c>
      <c r="B14" s="16" t="s">
        <v>83</v>
      </c>
      <c r="C14" s="17" t="s">
        <v>66</v>
      </c>
      <c r="D14" s="17" t="s">
        <v>64</v>
      </c>
      <c r="E14" s="18" t="s">
        <v>65</v>
      </c>
      <c r="G14" t="s">
        <v>34</v>
      </c>
    </row>
    <row r="15" spans="1:7" x14ac:dyDescent="0.3">
      <c r="A15" s="1"/>
      <c r="B15" s="16" t="s">
        <v>18</v>
      </c>
      <c r="C15" s="17">
        <f>ROW('Bound Portfolio Report'!A1)</f>
        <v>1</v>
      </c>
      <c r="D15" s="17">
        <f>$C15+1</f>
        <v>2</v>
      </c>
      <c r="E15" s="18">
        <f>MATCH(B15,BoundPortfolioDetails!A:A,0)+1</f>
        <v>2</v>
      </c>
      <c r="G15" t="s">
        <v>34</v>
      </c>
    </row>
    <row r="16" spans="1:7" x14ac:dyDescent="0.3">
      <c r="B16" s="4" t="s">
        <v>19</v>
      </c>
      <c r="C16">
        <f>ROW('Profit and Loss'!A1)</f>
        <v>1</v>
      </c>
      <c r="D16">
        <f>$C16+1</f>
        <v>2</v>
      </c>
      <c r="E16" s="10">
        <f>MATCH(B16,BoundPortfolioDetails!A:A,0)+1</f>
        <v>51</v>
      </c>
      <c r="G16" t="s">
        <v>34</v>
      </c>
    </row>
    <row r="17" spans="2:7" x14ac:dyDescent="0.3">
      <c r="B17" s="4" t="s">
        <v>82</v>
      </c>
      <c r="C17">
        <f>ROW('Historical Events Adjustment'!A1)</f>
        <v>1</v>
      </c>
      <c r="D17">
        <f>$C17+1</f>
        <v>2</v>
      </c>
      <c r="E17" s="10">
        <f>MATCH(B17,BoundPortfolioDetails!A:A,0)+1</f>
        <v>68</v>
      </c>
      <c r="G17" t="s">
        <v>44</v>
      </c>
    </row>
    <row r="18" spans="2:7" x14ac:dyDescent="0.3">
      <c r="B18" s="4" t="s">
        <v>20</v>
      </c>
      <c r="C18">
        <f>ROW(Guidelines!A1)</f>
        <v>1</v>
      </c>
      <c r="D18">
        <f>$C18+1</f>
        <v>2</v>
      </c>
      <c r="E18" s="10">
        <f>MATCH(B18,BoundPortfolioDetails!A:A,0)+1</f>
        <v>76</v>
      </c>
      <c r="G18" t="s">
        <v>44</v>
      </c>
    </row>
    <row r="19" spans="2:7" ht="15" thickBot="1" x14ac:dyDescent="0.35">
      <c r="B19" s="5" t="s">
        <v>81</v>
      </c>
      <c r="C19" s="11">
        <f>ROW(BoundPortfolio!A1)</f>
        <v>1</v>
      </c>
      <c r="D19" s="11">
        <f>$C19+1</f>
        <v>2</v>
      </c>
      <c r="E19" s="12">
        <f>MATCH(B19,BoundPortfolioDetails!A:A,0)+1</f>
        <v>86</v>
      </c>
      <c r="G19" t="s">
        <v>34</v>
      </c>
    </row>
    <row r="20" spans="2:7" x14ac:dyDescent="0.3">
      <c r="G20" t="s">
        <v>44</v>
      </c>
    </row>
    <row r="21" spans="2:7" x14ac:dyDescent="0.3">
      <c r="G21" t="s">
        <v>44</v>
      </c>
    </row>
    <row r="22" spans="2:7" x14ac:dyDescent="0.3">
      <c r="G22" t="s">
        <v>44</v>
      </c>
    </row>
    <row r="23" spans="2:7" x14ac:dyDescent="0.3">
      <c r="G23" t="s">
        <v>44</v>
      </c>
    </row>
    <row r="24" spans="2:7" x14ac:dyDescent="0.3">
      <c r="G24" t="s">
        <v>34</v>
      </c>
    </row>
    <row r="25" spans="2:7" x14ac:dyDescent="0.3">
      <c r="G25" t="s">
        <v>44</v>
      </c>
    </row>
    <row r="26" spans="2:7" x14ac:dyDescent="0.3">
      <c r="G26" t="s">
        <v>34</v>
      </c>
    </row>
    <row r="27" spans="2:7" x14ac:dyDescent="0.3">
      <c r="G27" t="s">
        <v>52</v>
      </c>
    </row>
    <row r="28" spans="2:7" x14ac:dyDescent="0.3">
      <c r="G28" t="s">
        <v>100</v>
      </c>
    </row>
    <row r="29" spans="2:7" x14ac:dyDescent="0.3">
      <c r="G29" t="s">
        <v>100</v>
      </c>
    </row>
    <row r="30" spans="2:7" x14ac:dyDescent="0.3">
      <c r="G30" t="s">
        <v>34</v>
      </c>
    </row>
    <row r="31" spans="2:7" x14ac:dyDescent="0.3">
      <c r="G31" t="s">
        <v>34</v>
      </c>
    </row>
    <row r="32" spans="2:7" x14ac:dyDescent="0.3">
      <c r="G32" t="s">
        <v>34</v>
      </c>
    </row>
    <row r="33" spans="7:7" x14ac:dyDescent="0.3">
      <c r="G33" t="s">
        <v>100</v>
      </c>
    </row>
    <row r="34" spans="7:7" x14ac:dyDescent="0.3">
      <c r="G34" t="s">
        <v>44</v>
      </c>
    </row>
    <row r="35" spans="7:7" x14ac:dyDescent="0.3">
      <c r="G35" t="s">
        <v>44</v>
      </c>
    </row>
    <row r="36" spans="7:7" x14ac:dyDescent="0.3">
      <c r="G36" t="s">
        <v>52</v>
      </c>
    </row>
    <row r="37" spans="7:7" ht="15" thickBot="1" x14ac:dyDescent="0.35">
      <c r="G37" s="11" t="s">
        <v>52</v>
      </c>
    </row>
    <row r="38" spans="7:7" ht="15" thickBot="1" x14ac:dyDescent="0.35"/>
    <row r="39" spans="7:7" ht="15" thickBot="1" x14ac:dyDescent="0.35">
      <c r="G39" s="7" t="s">
        <v>30</v>
      </c>
    </row>
    <row r="40" spans="7:7" x14ac:dyDescent="0.3">
      <c r="G40" t="s">
        <v>44</v>
      </c>
    </row>
    <row r="41" spans="7:7" x14ac:dyDescent="0.3">
      <c r="G41" t="s">
        <v>44</v>
      </c>
    </row>
    <row r="42" spans="7:7" x14ac:dyDescent="0.3">
      <c r="G42" t="s">
        <v>34</v>
      </c>
    </row>
    <row r="43" spans="7:7" x14ac:dyDescent="0.3">
      <c r="G43" t="s">
        <v>44</v>
      </c>
    </row>
    <row r="44" spans="7:7" x14ac:dyDescent="0.3">
      <c r="G44" t="s">
        <v>44</v>
      </c>
    </row>
    <row r="45" spans="7:7" x14ac:dyDescent="0.3">
      <c r="G45" t="s">
        <v>44</v>
      </c>
    </row>
    <row r="46" spans="7:7" x14ac:dyDescent="0.3">
      <c r="G46" t="s">
        <v>44</v>
      </c>
    </row>
    <row r="47" spans="7:7" x14ac:dyDescent="0.3">
      <c r="G47" t="s">
        <v>44</v>
      </c>
    </row>
    <row r="48" spans="7:7" x14ac:dyDescent="0.3">
      <c r="G48" t="s">
        <v>44</v>
      </c>
    </row>
    <row r="49" spans="7:7" x14ac:dyDescent="0.3">
      <c r="G49" t="s">
        <v>52</v>
      </c>
    </row>
    <row r="50" spans="7:7" ht="15" thickBot="1" x14ac:dyDescent="0.35">
      <c r="G50" s="11" t="s">
        <v>52</v>
      </c>
    </row>
    <row r="51" spans="7:7" ht="15" thickBot="1" x14ac:dyDescent="0.35"/>
    <row r="52" spans="7:7" ht="15" thickBot="1" x14ac:dyDescent="0.35">
      <c r="G52" s="7" t="s">
        <v>30</v>
      </c>
    </row>
    <row r="53" spans="7:7" x14ac:dyDescent="0.3">
      <c r="G53" t="s">
        <v>52</v>
      </c>
    </row>
    <row r="54" spans="7:7" x14ac:dyDescent="0.3">
      <c r="G54" t="s">
        <v>34</v>
      </c>
    </row>
    <row r="55" spans="7:7" x14ac:dyDescent="0.3">
      <c r="G55" t="s">
        <v>34</v>
      </c>
    </row>
    <row r="56" spans="7:7" x14ac:dyDescent="0.3">
      <c r="G56" t="s">
        <v>44</v>
      </c>
    </row>
    <row r="57" spans="7:7" x14ac:dyDescent="0.3">
      <c r="G57" t="s">
        <v>52</v>
      </c>
    </row>
    <row r="58" spans="7:7" ht="15" thickBot="1" x14ac:dyDescent="0.35">
      <c r="G58" s="11" t="s">
        <v>52</v>
      </c>
    </row>
    <row r="59" spans="7:7" ht="15" thickBot="1" x14ac:dyDescent="0.35"/>
    <row r="60" spans="7:7" ht="15" thickBot="1" x14ac:dyDescent="0.35">
      <c r="G60" s="7" t="s">
        <v>30</v>
      </c>
    </row>
    <row r="61" spans="7:7" x14ac:dyDescent="0.3">
      <c r="G61" t="s">
        <v>34</v>
      </c>
    </row>
    <row r="62" spans="7:7" x14ac:dyDescent="0.3">
      <c r="G62" t="s">
        <v>34</v>
      </c>
    </row>
    <row r="63" spans="7:7" x14ac:dyDescent="0.3">
      <c r="G63" t="s">
        <v>44</v>
      </c>
    </row>
    <row r="64" spans="7:7" x14ac:dyDescent="0.3">
      <c r="G64" t="s">
        <v>44</v>
      </c>
    </row>
    <row r="65" spans="7:7" x14ac:dyDescent="0.3">
      <c r="G65" t="s">
        <v>34</v>
      </c>
    </row>
    <row r="66" spans="7:7" x14ac:dyDescent="0.3">
      <c r="G66" t="s">
        <v>52</v>
      </c>
    </row>
    <row r="67" spans="7:7" x14ac:dyDescent="0.3">
      <c r="G67" t="s">
        <v>52</v>
      </c>
    </row>
    <row r="68" spans="7:7" ht="15" thickBot="1" x14ac:dyDescent="0.35">
      <c r="G68" s="11" t="s">
        <v>52</v>
      </c>
    </row>
    <row r="69" spans="7:7" ht="15" thickBot="1" x14ac:dyDescent="0.35"/>
    <row r="70" spans="7:7" ht="15" thickBot="1" x14ac:dyDescent="0.35">
      <c r="G70" s="7" t="s">
        <v>30</v>
      </c>
    </row>
    <row r="71" spans="7:7" x14ac:dyDescent="0.3">
      <c r="G71" t="s">
        <v>44</v>
      </c>
    </row>
    <row r="72" spans="7:7" x14ac:dyDescent="0.3">
      <c r="G72" t="s">
        <v>34</v>
      </c>
    </row>
    <row r="73" spans="7:7" x14ac:dyDescent="0.3">
      <c r="G73" t="s">
        <v>44</v>
      </c>
    </row>
    <row r="74" spans="7:7" x14ac:dyDescent="0.3">
      <c r="G74" t="s">
        <v>34</v>
      </c>
    </row>
    <row r="75" spans="7:7" x14ac:dyDescent="0.3">
      <c r="G75" t="s">
        <v>39</v>
      </c>
    </row>
    <row r="76" spans="7:7" ht="15" thickBot="1" x14ac:dyDescent="0.35">
      <c r="G76" s="11" t="s">
        <v>34</v>
      </c>
    </row>
  </sheetData>
  <pageMargins left="0.7" right="0.7" top="0.75" bottom="0.75" header="0.3" footer="0.3"/>
  <pageSetup orientation="portrait" horizontalDpi="90" verticalDpi="9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8738B-E6B0-4CBE-9C24-DE2BDDF04A1E}">
  <sheetPr codeName="Sheet2"/>
  <dimension ref="A1:D5"/>
  <sheetViews>
    <sheetView tabSelected="1" workbookViewId="0">
      <selection activeCell="B7" sqref="B7"/>
    </sheetView>
  </sheetViews>
  <sheetFormatPr defaultRowHeight="14.4" x14ac:dyDescent="0.3"/>
  <cols>
    <col min="1" max="1" width="10.109375" bestFit="1" customWidth="1"/>
    <col min="2" max="2" width="159.109375" bestFit="1" customWidth="1"/>
    <col min="3" max="3" width="13.6640625" bestFit="1" customWidth="1"/>
  </cols>
  <sheetData>
    <row r="1" spans="1:4" x14ac:dyDescent="0.3">
      <c r="A1" s="1" t="s">
        <v>191</v>
      </c>
      <c r="B1" s="1" t="s">
        <v>192</v>
      </c>
      <c r="C1" s="1" t="s">
        <v>193</v>
      </c>
      <c r="D1" s="1"/>
    </row>
    <row r="2" spans="1:4" x14ac:dyDescent="0.3">
      <c r="A2" s="132"/>
      <c r="B2" s="132"/>
      <c r="C2" s="133"/>
    </row>
    <row r="3" spans="1:4" x14ac:dyDescent="0.3">
      <c r="A3" s="132"/>
      <c r="B3" s="132"/>
      <c r="C3" s="133"/>
    </row>
    <row r="4" spans="1:4" x14ac:dyDescent="0.3">
      <c r="A4" s="132"/>
      <c r="B4" s="132"/>
      <c r="C4" s="133"/>
    </row>
    <row r="5" spans="1:4" x14ac:dyDescent="0.3">
      <c r="A5" s="132"/>
      <c r="B5" s="132"/>
      <c r="C5" s="1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Control Checks</vt:lpstr>
      <vt:lpstr>Bound Portfolio Report</vt:lpstr>
      <vt:lpstr>BoundPortfolio</vt:lpstr>
      <vt:lpstr>Profit and Loss</vt:lpstr>
      <vt:lpstr>Historical Events Adjustment</vt:lpstr>
      <vt:lpstr>Guidelines</vt:lpstr>
      <vt:lpstr>BoundPortfolioDetails</vt:lpstr>
      <vt:lpstr>Setup</vt:lpstr>
      <vt:lpstr>TestCase_Run_Log</vt:lpstr>
    </vt:vector>
  </TitlesOfParts>
  <Company>Pimco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Mali, Akshaya</dc:creator>
  <cp:lastModifiedBy>sindhu raghavan</cp:lastModifiedBy>
  <cp:lastPrinted>2020-06-02T14:20:35Z</cp:lastPrinted>
  <dcterms:created xsi:type="dcterms:W3CDTF">2020-04-22T07:09:09Z</dcterms:created>
  <dcterms:modified xsi:type="dcterms:W3CDTF">2026-07-23T08:17:47Z</dcterms:modified>
</cp:coreProperties>
</file>