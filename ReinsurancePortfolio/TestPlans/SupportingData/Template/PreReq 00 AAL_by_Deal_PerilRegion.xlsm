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APL_USER\Desktop\UI Testing\Working\"/>
    </mc:Choice>
  </mc:AlternateContent>
  <xr:revisionPtr revIDLastSave="0" documentId="13_ncr:1_{2E1CA945-A607-41D2-915F-2CF400B9D965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Input" sheetId="1" r:id="rId1"/>
    <sheet name="Output" sheetId="2" r:id="rId2"/>
    <sheet name="Sheet1" sheetId="3" state="hidden" r:id="rId3"/>
    <sheet name="Config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68" i="3" l="1" a="1"/>
  <c r="R268" i="3" s="1"/>
  <c r="P268" i="3"/>
  <c r="Q267" i="3" a="1"/>
  <c r="R267" i="3" s="1"/>
  <c r="Q267" i="3"/>
  <c r="P267" i="3"/>
  <c r="Q266" i="3" a="1"/>
  <c r="R266" i="3" s="1"/>
  <c r="P266" i="3"/>
  <c r="Q265" i="3" a="1"/>
  <c r="R265" i="3" s="1"/>
  <c r="P265" i="3"/>
  <c r="Q264" i="3" a="1"/>
  <c r="Q264" i="3" s="1"/>
  <c r="P264" i="3"/>
  <c r="Q263" i="3" a="1"/>
  <c r="R263" i="3" s="1"/>
  <c r="P263" i="3"/>
  <c r="R262" i="3"/>
  <c r="Q262" i="3" a="1"/>
  <c r="Q262" i="3" s="1"/>
  <c r="P262" i="3"/>
  <c r="Q261" i="3" a="1"/>
  <c r="R261" i="3" s="1"/>
  <c r="P261" i="3"/>
  <c r="Q260" i="3" a="1"/>
  <c r="R260" i="3" s="1"/>
  <c r="P260" i="3"/>
  <c r="Q259" i="3" a="1"/>
  <c r="R259" i="3" s="1"/>
  <c r="P259" i="3"/>
  <c r="Q258" i="3" a="1"/>
  <c r="R258" i="3" s="1"/>
  <c r="Q258" i="3"/>
  <c r="P258" i="3"/>
  <c r="Q257" i="3" a="1"/>
  <c r="R257" i="3" s="1"/>
  <c r="P257" i="3"/>
  <c r="Q256" i="3" a="1"/>
  <c r="R256" i="3" s="1"/>
  <c r="P256" i="3"/>
  <c r="Q255" i="3" a="1"/>
  <c r="Q255" i="3" s="1"/>
  <c r="P255" i="3"/>
  <c r="Q254" i="3" a="1"/>
  <c r="R254" i="3" s="1"/>
  <c r="P254" i="3"/>
  <c r="R253" i="3"/>
  <c r="Q253" i="3" a="1"/>
  <c r="Q253" i="3" s="1"/>
  <c r="P253" i="3"/>
  <c r="Q252" i="3" a="1"/>
  <c r="R252" i="3" s="1"/>
  <c r="P252" i="3"/>
  <c r="Q251" i="3" a="1"/>
  <c r="R251" i="3" s="1"/>
  <c r="P251" i="3"/>
  <c r="Q250" i="3" a="1"/>
  <c r="R250" i="3" s="1"/>
  <c r="P250" i="3"/>
  <c r="Q249" i="3" a="1"/>
  <c r="R249" i="3" s="1"/>
  <c r="Q249" i="3"/>
  <c r="P249" i="3"/>
  <c r="Q248" i="3" a="1"/>
  <c r="R248" i="3" s="1"/>
  <c r="P248" i="3"/>
  <c r="Q247" i="3" a="1"/>
  <c r="R247" i="3" s="1"/>
  <c r="P247" i="3"/>
  <c r="Q246" i="3" a="1"/>
  <c r="Q246" i="3" s="1"/>
  <c r="P246" i="3"/>
  <c r="Q245" i="3" a="1"/>
  <c r="R245" i="3" s="1"/>
  <c r="P245" i="3"/>
  <c r="R244" i="3"/>
  <c r="Q244" i="3" a="1"/>
  <c r="Q244" i="3" s="1"/>
  <c r="P244" i="3"/>
  <c r="Q243" i="3" a="1"/>
  <c r="R243" i="3" s="1"/>
  <c r="P243" i="3"/>
  <c r="Q242" i="3" a="1"/>
  <c r="R242" i="3" s="1"/>
  <c r="P242" i="3"/>
  <c r="Q241" i="3" a="1"/>
  <c r="R241" i="3" s="1"/>
  <c r="P241" i="3"/>
  <c r="Q240" i="3" a="1"/>
  <c r="R240" i="3" s="1"/>
  <c r="Q240" i="3"/>
  <c r="P240" i="3"/>
  <c r="Q239" i="3" a="1"/>
  <c r="R239" i="3" s="1"/>
  <c r="P239" i="3"/>
  <c r="Q238" i="3" a="1"/>
  <c r="R238" i="3" s="1"/>
  <c r="P238" i="3"/>
  <c r="Q237" i="3" a="1"/>
  <c r="Q237" i="3" s="1"/>
  <c r="P237" i="3"/>
  <c r="Q236" i="3" a="1"/>
  <c r="R236" i="3" s="1"/>
  <c r="P236" i="3"/>
  <c r="R235" i="3"/>
  <c r="Q235" i="3" a="1"/>
  <c r="Q235" i="3" s="1"/>
  <c r="P235" i="3"/>
  <c r="Q234" i="3" a="1"/>
  <c r="R234" i="3" s="1"/>
  <c r="P234" i="3"/>
  <c r="Q233" i="3" a="1"/>
  <c r="R233" i="3" s="1"/>
  <c r="P233" i="3"/>
  <c r="Q232" i="3" a="1"/>
  <c r="R232" i="3" s="1"/>
  <c r="P232" i="3"/>
  <c r="Q231" i="3" a="1"/>
  <c r="R231" i="3" s="1"/>
  <c r="Q231" i="3"/>
  <c r="P231" i="3"/>
  <c r="Q230" i="3" a="1"/>
  <c r="R230" i="3" s="1"/>
  <c r="P230" i="3"/>
  <c r="Q229" i="3" a="1"/>
  <c r="R229" i="3" s="1"/>
  <c r="P229" i="3"/>
  <c r="Q228" i="3" a="1"/>
  <c r="Q228" i="3" s="1"/>
  <c r="P228" i="3"/>
  <c r="Q227" i="3" a="1"/>
  <c r="R227" i="3" s="1"/>
  <c r="P227" i="3"/>
  <c r="R226" i="3"/>
  <c r="Q226" i="3" a="1"/>
  <c r="Q226" i="3" s="1"/>
  <c r="P226" i="3"/>
  <c r="Q225" i="3" a="1"/>
  <c r="R225" i="3" s="1"/>
  <c r="P225" i="3"/>
  <c r="Q224" i="3" a="1"/>
  <c r="R224" i="3" s="1"/>
  <c r="P224" i="3"/>
  <c r="Q223" i="3" a="1"/>
  <c r="R223" i="3" s="1"/>
  <c r="P223" i="3"/>
  <c r="Q222" i="3" a="1"/>
  <c r="R222" i="3" s="1"/>
  <c r="Q222" i="3"/>
  <c r="P222" i="3"/>
  <c r="Q221" i="3" a="1"/>
  <c r="R221" i="3" s="1"/>
  <c r="P221" i="3"/>
  <c r="Q220" i="3" a="1"/>
  <c r="R220" i="3" s="1"/>
  <c r="P220" i="3"/>
  <c r="Q219" i="3" a="1"/>
  <c r="Q219" i="3" s="1"/>
  <c r="P219" i="3"/>
  <c r="Q218" i="3" a="1"/>
  <c r="R218" i="3" s="1"/>
  <c r="P218" i="3"/>
  <c r="R217" i="3"/>
  <c r="Q217" i="3" a="1"/>
  <c r="Q217" i="3" s="1"/>
  <c r="P217" i="3"/>
  <c r="Q216" i="3" a="1"/>
  <c r="R216" i="3" s="1"/>
  <c r="P216" i="3"/>
  <c r="Q215" i="3" a="1"/>
  <c r="R215" i="3" s="1"/>
  <c r="P215" i="3"/>
  <c r="Q214" i="3" a="1"/>
  <c r="R214" i="3" s="1"/>
  <c r="P214" i="3"/>
  <c r="Q213" i="3" a="1"/>
  <c r="R213" i="3" s="1"/>
  <c r="Q213" i="3"/>
  <c r="P213" i="3"/>
  <c r="Q212" i="3" a="1"/>
  <c r="R212" i="3" s="1"/>
  <c r="P212" i="3"/>
  <c r="Q211" i="3" a="1"/>
  <c r="R211" i="3" s="1"/>
  <c r="P211" i="3"/>
  <c r="Q210" i="3" a="1"/>
  <c r="Q210" i="3" s="1"/>
  <c r="P210" i="3"/>
  <c r="Q209" i="3" a="1"/>
  <c r="R209" i="3" s="1"/>
  <c r="P209" i="3"/>
  <c r="R208" i="3"/>
  <c r="Q208" i="3" a="1"/>
  <c r="Q208" i="3" s="1"/>
  <c r="P208" i="3"/>
  <c r="Q207" i="3" a="1"/>
  <c r="R207" i="3" s="1"/>
  <c r="P207" i="3"/>
  <c r="Q206" i="3" a="1"/>
  <c r="R206" i="3" s="1"/>
  <c r="P206" i="3"/>
  <c r="Q205" i="3" a="1"/>
  <c r="R205" i="3" s="1"/>
  <c r="P205" i="3"/>
  <c r="Q204" i="3" a="1"/>
  <c r="R204" i="3" s="1"/>
  <c r="Q204" i="3"/>
  <c r="P204" i="3"/>
  <c r="Q203" i="3" a="1"/>
  <c r="R203" i="3" s="1"/>
  <c r="P203" i="3"/>
  <c r="Q202" i="3" a="1"/>
  <c r="R202" i="3" s="1"/>
  <c r="P202" i="3"/>
  <c r="Q201" i="3" a="1"/>
  <c r="Q201" i="3" s="1"/>
  <c r="P201" i="3"/>
  <c r="Q200" i="3" a="1"/>
  <c r="R200" i="3" s="1"/>
  <c r="P200" i="3"/>
  <c r="R199" i="3"/>
  <c r="Q199" i="3" a="1"/>
  <c r="Q199" i="3" s="1"/>
  <c r="P199" i="3"/>
  <c r="Q198" i="3" a="1"/>
  <c r="R198" i="3" s="1"/>
  <c r="P198" i="3"/>
  <c r="Q197" i="3" a="1"/>
  <c r="R197" i="3" s="1"/>
  <c r="P197" i="3"/>
  <c r="Q196" i="3" a="1"/>
  <c r="R196" i="3" s="1"/>
  <c r="P196" i="3"/>
  <c r="Q195" i="3" a="1"/>
  <c r="R195" i="3" s="1"/>
  <c r="Q195" i="3"/>
  <c r="P195" i="3"/>
  <c r="Q194" i="3" a="1"/>
  <c r="R194" i="3" s="1"/>
  <c r="P194" i="3"/>
  <c r="Q193" i="3" a="1"/>
  <c r="R193" i="3" s="1"/>
  <c r="P193" i="3"/>
  <c r="Q192" i="3" a="1"/>
  <c r="Q192" i="3" s="1"/>
  <c r="P192" i="3"/>
  <c r="Q191" i="3" a="1"/>
  <c r="R191" i="3" s="1"/>
  <c r="P191" i="3"/>
  <c r="R190" i="3"/>
  <c r="Q190" i="3" a="1"/>
  <c r="Q190" i="3" s="1"/>
  <c r="P190" i="3"/>
  <c r="Q189" i="3" a="1"/>
  <c r="R189" i="3" s="1"/>
  <c r="P189" i="3"/>
  <c r="Q188" i="3" a="1"/>
  <c r="R188" i="3" s="1"/>
  <c r="P188" i="3"/>
  <c r="Q187" i="3" a="1"/>
  <c r="R187" i="3" s="1"/>
  <c r="P187" i="3"/>
  <c r="Q186" i="3" a="1"/>
  <c r="R186" i="3" s="1"/>
  <c r="Q186" i="3"/>
  <c r="P186" i="3"/>
  <c r="Q185" i="3" a="1"/>
  <c r="R185" i="3" s="1"/>
  <c r="P185" i="3"/>
  <c r="Q184" i="3" a="1"/>
  <c r="R184" i="3" s="1"/>
  <c r="P184" i="3"/>
  <c r="Q183" i="3" a="1"/>
  <c r="Q183" i="3" s="1"/>
  <c r="P183" i="3"/>
  <c r="Q182" i="3" a="1"/>
  <c r="R182" i="3" s="1"/>
  <c r="P182" i="3"/>
  <c r="R181" i="3"/>
  <c r="Q181" i="3" a="1"/>
  <c r="Q181" i="3" s="1"/>
  <c r="P181" i="3"/>
  <c r="Q180" i="3" a="1"/>
  <c r="R180" i="3" s="1"/>
  <c r="P180" i="3"/>
  <c r="Q179" i="3" a="1"/>
  <c r="R179" i="3" s="1"/>
  <c r="P179" i="3"/>
  <c r="Q178" i="3" a="1"/>
  <c r="R178" i="3" s="1"/>
  <c r="P178" i="3"/>
  <c r="Q177" i="3" a="1"/>
  <c r="R177" i="3" s="1"/>
  <c r="Q177" i="3"/>
  <c r="P177" i="3"/>
  <c r="Q176" i="3" a="1"/>
  <c r="R176" i="3" s="1"/>
  <c r="P176" i="3"/>
  <c r="Q175" i="3" a="1"/>
  <c r="R175" i="3" s="1"/>
  <c r="P175" i="3"/>
  <c r="Q174" i="3" a="1"/>
  <c r="Q174" i="3" s="1"/>
  <c r="P174" i="3"/>
  <c r="Q173" i="3" a="1"/>
  <c r="R173" i="3" s="1"/>
  <c r="P173" i="3"/>
  <c r="R172" i="3"/>
  <c r="Q172" i="3" a="1"/>
  <c r="Q172" i="3" s="1"/>
  <c r="P172" i="3"/>
  <c r="Q171" i="3" a="1"/>
  <c r="R171" i="3" s="1"/>
  <c r="P171" i="3"/>
  <c r="Q170" i="3" a="1"/>
  <c r="R170" i="3" s="1"/>
  <c r="P170" i="3"/>
  <c r="Q169" i="3" a="1"/>
  <c r="R169" i="3" s="1"/>
  <c r="P169" i="3"/>
  <c r="Q168" i="3" a="1"/>
  <c r="R168" i="3" s="1"/>
  <c r="Q168" i="3"/>
  <c r="P168" i="3"/>
  <c r="Q167" i="3" a="1"/>
  <c r="R167" i="3" s="1"/>
  <c r="P167" i="3"/>
  <c r="Q166" i="3" a="1"/>
  <c r="R166" i="3" s="1"/>
  <c r="P166" i="3"/>
  <c r="Q165" i="3" a="1"/>
  <c r="Q165" i="3" s="1"/>
  <c r="P165" i="3"/>
  <c r="Q164" i="3" a="1"/>
  <c r="R164" i="3" s="1"/>
  <c r="P164" i="3"/>
  <c r="R163" i="3"/>
  <c r="Q163" i="3" a="1"/>
  <c r="Q163" i="3" s="1"/>
  <c r="P163" i="3"/>
  <c r="Q162" i="3" a="1"/>
  <c r="R162" i="3" s="1"/>
  <c r="P162" i="3"/>
  <c r="Q161" i="3" a="1"/>
  <c r="R161" i="3" s="1"/>
  <c r="P161" i="3"/>
  <c r="Q160" i="3" a="1"/>
  <c r="R160" i="3" s="1"/>
  <c r="P160" i="3"/>
  <c r="Q159" i="3" a="1"/>
  <c r="R159" i="3" s="1"/>
  <c r="Q159" i="3"/>
  <c r="P159" i="3"/>
  <c r="Q158" i="3" a="1"/>
  <c r="R158" i="3" s="1"/>
  <c r="P158" i="3"/>
  <c r="Q157" i="3" a="1"/>
  <c r="R157" i="3" s="1"/>
  <c r="P157" i="3"/>
  <c r="Q156" i="3" a="1"/>
  <c r="Q156" i="3" s="1"/>
  <c r="P156" i="3"/>
  <c r="Q155" i="3" a="1"/>
  <c r="R155" i="3" s="1"/>
  <c r="P155" i="3"/>
  <c r="R154" i="3"/>
  <c r="Q154" i="3" a="1"/>
  <c r="Q154" i="3" s="1"/>
  <c r="P154" i="3"/>
  <c r="Q153" i="3" a="1"/>
  <c r="R153" i="3" s="1"/>
  <c r="P153" i="3"/>
  <c r="Q152" i="3" a="1"/>
  <c r="R152" i="3" s="1"/>
  <c r="P152" i="3"/>
  <c r="Q151" i="3" a="1"/>
  <c r="R151" i="3" s="1"/>
  <c r="P151" i="3"/>
  <c r="Q150" i="3" a="1"/>
  <c r="R150" i="3" s="1"/>
  <c r="Q150" i="3"/>
  <c r="P150" i="3"/>
  <c r="Q149" i="3" a="1"/>
  <c r="R149" i="3" s="1"/>
  <c r="P149" i="3"/>
  <c r="Q148" i="3" a="1"/>
  <c r="R148" i="3" s="1"/>
  <c r="P148" i="3"/>
  <c r="Q147" i="3" a="1"/>
  <c r="Q147" i="3" s="1"/>
  <c r="P147" i="3"/>
  <c r="Q146" i="3" a="1"/>
  <c r="R146" i="3" s="1"/>
  <c r="P146" i="3"/>
  <c r="R145" i="3"/>
  <c r="Q145" i="3" a="1"/>
  <c r="Q145" i="3" s="1"/>
  <c r="P145" i="3"/>
  <c r="Q144" i="3" a="1"/>
  <c r="R144" i="3" s="1"/>
  <c r="P144" i="3"/>
  <c r="Q143" i="3" a="1"/>
  <c r="R143" i="3" s="1"/>
  <c r="P143" i="3"/>
  <c r="Q142" i="3" a="1"/>
  <c r="R142" i="3" s="1"/>
  <c r="P142" i="3"/>
  <c r="Q141" i="3" a="1"/>
  <c r="R141" i="3" s="1"/>
  <c r="Q141" i="3"/>
  <c r="P141" i="3"/>
  <c r="Q140" i="3" a="1"/>
  <c r="R140" i="3" s="1"/>
  <c r="P140" i="3"/>
  <c r="Q139" i="3" a="1"/>
  <c r="R139" i="3" s="1"/>
  <c r="P139" i="3"/>
  <c r="Q138" i="3" a="1"/>
  <c r="Q138" i="3" s="1"/>
  <c r="P138" i="3"/>
  <c r="Q137" i="3" a="1"/>
  <c r="R137" i="3" s="1"/>
  <c r="P137" i="3"/>
  <c r="R136" i="3"/>
  <c r="Q136" i="3" a="1"/>
  <c r="Q136" i="3" s="1"/>
  <c r="P136" i="3"/>
  <c r="Q135" i="3" a="1"/>
  <c r="R135" i="3" s="1"/>
  <c r="P135" i="3"/>
  <c r="Q134" i="3" a="1"/>
  <c r="R134" i="3" s="1"/>
  <c r="P134" i="3"/>
  <c r="Q133" i="3" a="1"/>
  <c r="R133" i="3" s="1"/>
  <c r="P133" i="3"/>
  <c r="Q132" i="3" a="1"/>
  <c r="R132" i="3" s="1"/>
  <c r="Q132" i="3"/>
  <c r="P132" i="3"/>
  <c r="Q131" i="3" a="1"/>
  <c r="R131" i="3" s="1"/>
  <c r="P131" i="3"/>
  <c r="Q130" i="3" a="1"/>
  <c r="R130" i="3" s="1"/>
  <c r="P130" i="3"/>
  <c r="Q129" i="3" a="1"/>
  <c r="Q129" i="3" s="1"/>
  <c r="P129" i="3"/>
  <c r="Q128" i="3" a="1"/>
  <c r="R128" i="3" s="1"/>
  <c r="P128" i="3"/>
  <c r="R127" i="3"/>
  <c r="Q127" i="3" a="1"/>
  <c r="Q127" i="3" s="1"/>
  <c r="P127" i="3"/>
  <c r="Q126" i="3" a="1"/>
  <c r="R126" i="3" s="1"/>
  <c r="P126" i="3"/>
  <c r="Q125" i="3" a="1"/>
  <c r="R125" i="3" s="1"/>
  <c r="P125" i="3"/>
  <c r="Q124" i="3" a="1"/>
  <c r="R124" i="3" s="1"/>
  <c r="P124" i="3"/>
  <c r="Q123" i="3" a="1"/>
  <c r="R123" i="3" s="1"/>
  <c r="Q123" i="3"/>
  <c r="P123" i="3"/>
  <c r="Q122" i="3" a="1"/>
  <c r="R122" i="3" s="1"/>
  <c r="P122" i="3"/>
  <c r="Q121" i="3" a="1"/>
  <c r="R121" i="3" s="1"/>
  <c r="P121" i="3"/>
  <c r="Q120" i="3" a="1"/>
  <c r="Q120" i="3" s="1"/>
  <c r="P120" i="3"/>
  <c r="Q119" i="3" a="1"/>
  <c r="R119" i="3" s="1"/>
  <c r="P119" i="3"/>
  <c r="R118" i="3"/>
  <c r="Q118" i="3" a="1"/>
  <c r="Q118" i="3" s="1"/>
  <c r="P118" i="3"/>
  <c r="Q117" i="3" a="1"/>
  <c r="R117" i="3" s="1"/>
  <c r="P117" i="3"/>
  <c r="Q116" i="3" a="1"/>
  <c r="R116" i="3" s="1"/>
  <c r="P116" i="3"/>
  <c r="Q115" i="3" a="1"/>
  <c r="R115" i="3" s="1"/>
  <c r="P115" i="3"/>
  <c r="Q114" i="3" a="1"/>
  <c r="R114" i="3" s="1"/>
  <c r="Q114" i="3"/>
  <c r="P114" i="3"/>
  <c r="Q113" i="3" a="1"/>
  <c r="R113" i="3" s="1"/>
  <c r="P113" i="3"/>
  <c r="Q112" i="3" a="1"/>
  <c r="R112" i="3" s="1"/>
  <c r="P112" i="3"/>
  <c r="Q111" i="3" a="1"/>
  <c r="Q111" i="3" s="1"/>
  <c r="P111" i="3"/>
  <c r="Q110" i="3" a="1"/>
  <c r="R110" i="3" s="1"/>
  <c r="P110" i="3"/>
  <c r="R109" i="3"/>
  <c r="Q109" i="3" a="1"/>
  <c r="Q109" i="3" s="1"/>
  <c r="P109" i="3"/>
  <c r="Q108" i="3" a="1"/>
  <c r="R108" i="3" s="1"/>
  <c r="P108" i="3"/>
  <c r="Q107" i="3" a="1"/>
  <c r="R107" i="3" s="1"/>
  <c r="P107" i="3"/>
  <c r="Q106" i="3" a="1"/>
  <c r="R106" i="3" s="1"/>
  <c r="P106" i="3"/>
  <c r="Q105" i="3" a="1"/>
  <c r="R105" i="3" s="1"/>
  <c r="Q105" i="3"/>
  <c r="P105" i="3"/>
  <c r="Q104" i="3" a="1"/>
  <c r="R104" i="3" s="1"/>
  <c r="P104" i="3"/>
  <c r="Q103" i="3" a="1"/>
  <c r="R103" i="3" s="1"/>
  <c r="P103" i="3"/>
  <c r="Q102" i="3" a="1"/>
  <c r="Q102" i="3" s="1"/>
  <c r="P102" i="3"/>
  <c r="Q101" i="3" a="1"/>
  <c r="R101" i="3" s="1"/>
  <c r="P101" i="3"/>
  <c r="R100" i="3"/>
  <c r="Q100" i="3" a="1"/>
  <c r="Q100" i="3" s="1"/>
  <c r="P100" i="3"/>
  <c r="Q99" i="3" a="1"/>
  <c r="R99" i="3" s="1"/>
  <c r="P99" i="3"/>
  <c r="Q98" i="3" a="1"/>
  <c r="R98" i="3" s="1"/>
  <c r="P98" i="3"/>
  <c r="Q97" i="3" a="1"/>
  <c r="R97" i="3" s="1"/>
  <c r="P97" i="3"/>
  <c r="Q96" i="3" a="1"/>
  <c r="R96" i="3" s="1"/>
  <c r="Q96" i="3"/>
  <c r="P96" i="3"/>
  <c r="Q95" i="3" a="1"/>
  <c r="R95" i="3" s="1"/>
  <c r="P95" i="3"/>
  <c r="Q94" i="3" a="1"/>
  <c r="R94" i="3" s="1"/>
  <c r="P94" i="3"/>
  <c r="Q93" i="3" a="1"/>
  <c r="Q93" i="3" s="1"/>
  <c r="P93" i="3"/>
  <c r="Q92" i="3" a="1"/>
  <c r="R92" i="3" s="1"/>
  <c r="P92" i="3"/>
  <c r="Q91" i="3" a="1"/>
  <c r="Q91" i="3" s="1"/>
  <c r="P91" i="3"/>
  <c r="Q90" i="3" a="1"/>
  <c r="R90" i="3" s="1"/>
  <c r="P90" i="3"/>
  <c r="Q89" i="3" a="1"/>
  <c r="R89" i="3" s="1"/>
  <c r="P89" i="3"/>
  <c r="Q88" i="3" a="1"/>
  <c r="R88" i="3" s="1"/>
  <c r="P88" i="3"/>
  <c r="Q87" i="3" a="1"/>
  <c r="R87" i="3" s="1"/>
  <c r="Q87" i="3"/>
  <c r="P87" i="3"/>
  <c r="Q86" i="3" a="1"/>
  <c r="R86" i="3" s="1"/>
  <c r="P86" i="3"/>
  <c r="Q85" i="3" a="1"/>
  <c r="R85" i="3" s="1"/>
  <c r="P85" i="3"/>
  <c r="Q84" i="3" a="1"/>
  <c r="Q84" i="3" s="1"/>
  <c r="P84" i="3"/>
  <c r="Q83" i="3" a="1"/>
  <c r="R83" i="3" s="1"/>
  <c r="P83" i="3"/>
  <c r="Q82" i="3" a="1"/>
  <c r="Q82" i="3" s="1"/>
  <c r="P82" i="3"/>
  <c r="Q81" i="3" a="1"/>
  <c r="R81" i="3" s="1"/>
  <c r="P81" i="3"/>
  <c r="Q80" i="3" a="1"/>
  <c r="R80" i="3" s="1"/>
  <c r="P80" i="3"/>
  <c r="Q79" i="3" a="1"/>
  <c r="R79" i="3" s="1"/>
  <c r="P79" i="3"/>
  <c r="Q78" i="3" a="1"/>
  <c r="R78" i="3" s="1"/>
  <c r="Q78" i="3"/>
  <c r="P78" i="3"/>
  <c r="Q77" i="3" a="1"/>
  <c r="R77" i="3" s="1"/>
  <c r="P77" i="3"/>
  <c r="Q76" i="3" a="1"/>
  <c r="R76" i="3" s="1"/>
  <c r="P76" i="3"/>
  <c r="Q75" i="3" a="1"/>
  <c r="Q75" i="3" s="1"/>
  <c r="P75" i="3"/>
  <c r="Q74" i="3" a="1"/>
  <c r="R74" i="3" s="1"/>
  <c r="P74" i="3"/>
  <c r="Q73" i="3" a="1"/>
  <c r="Q73" i="3" s="1"/>
  <c r="P73" i="3"/>
  <c r="Q72" i="3" a="1"/>
  <c r="R72" i="3" s="1"/>
  <c r="P72" i="3"/>
  <c r="Q71" i="3" a="1"/>
  <c r="R71" i="3" s="1"/>
  <c r="P71" i="3"/>
  <c r="Q70" i="3" a="1"/>
  <c r="R70" i="3" s="1"/>
  <c r="P70" i="3"/>
  <c r="Q69" i="3" a="1"/>
  <c r="R69" i="3" s="1"/>
  <c r="Q69" i="3"/>
  <c r="P69" i="3"/>
  <c r="Q68" i="3" a="1"/>
  <c r="R68" i="3" s="1"/>
  <c r="P68" i="3"/>
  <c r="Q67" i="3" a="1"/>
  <c r="R67" i="3" s="1"/>
  <c r="P67" i="3"/>
  <c r="Q66" i="3" a="1"/>
  <c r="Q66" i="3" s="1"/>
  <c r="P66" i="3"/>
  <c r="Q65" i="3" a="1"/>
  <c r="R65" i="3" s="1"/>
  <c r="P65" i="3"/>
  <c r="Q64" i="3" a="1"/>
  <c r="Q64" i="3" s="1"/>
  <c r="P64" i="3"/>
  <c r="Q63" i="3" a="1"/>
  <c r="R63" i="3" s="1"/>
  <c r="P63" i="3"/>
  <c r="Q62" i="3" a="1"/>
  <c r="R62" i="3" s="1"/>
  <c r="P62" i="3"/>
  <c r="Q61" i="3" a="1"/>
  <c r="R61" i="3" s="1"/>
  <c r="P61" i="3"/>
  <c r="Q60" i="3" a="1"/>
  <c r="R60" i="3" s="1"/>
  <c r="Q60" i="3"/>
  <c r="P60" i="3"/>
  <c r="Q59" i="3" a="1"/>
  <c r="R59" i="3" s="1"/>
  <c r="P59" i="3"/>
  <c r="Q58" i="3" a="1"/>
  <c r="R58" i="3" s="1"/>
  <c r="P58" i="3"/>
  <c r="Q57" i="3" a="1"/>
  <c r="Q57" i="3" s="1"/>
  <c r="P57" i="3"/>
  <c r="Q56" i="3" a="1"/>
  <c r="R56" i="3" s="1"/>
  <c r="P56" i="3"/>
  <c r="Q55" i="3" a="1"/>
  <c r="Q55" i="3" s="1"/>
  <c r="P55" i="3"/>
  <c r="Q54" i="3" a="1"/>
  <c r="R54" i="3" s="1"/>
  <c r="P54" i="3"/>
  <c r="Q53" i="3" a="1"/>
  <c r="R53" i="3" s="1"/>
  <c r="P53" i="3"/>
  <c r="Q52" i="3" a="1"/>
  <c r="R52" i="3" s="1"/>
  <c r="P52" i="3"/>
  <c r="Q51" i="3" a="1"/>
  <c r="R51" i="3" s="1"/>
  <c r="Q51" i="3"/>
  <c r="P51" i="3"/>
  <c r="Q50" i="3" a="1"/>
  <c r="R50" i="3" s="1"/>
  <c r="P50" i="3"/>
  <c r="Q49" i="3" a="1"/>
  <c r="R49" i="3" s="1"/>
  <c r="P49" i="3"/>
  <c r="Q48" i="3" a="1"/>
  <c r="Q48" i="3" s="1"/>
  <c r="P48" i="3"/>
  <c r="Q47" i="3" a="1"/>
  <c r="R47" i="3" s="1"/>
  <c r="P47" i="3"/>
  <c r="Q46" i="3" a="1"/>
  <c r="Q46" i="3" s="1"/>
  <c r="P46" i="3"/>
  <c r="Q45" i="3" a="1"/>
  <c r="R45" i="3" s="1"/>
  <c r="P45" i="3"/>
  <c r="Q44" i="3" a="1"/>
  <c r="R44" i="3" s="1"/>
  <c r="P44" i="3"/>
  <c r="Q43" i="3" a="1"/>
  <c r="R43" i="3" s="1"/>
  <c r="P43" i="3"/>
  <c r="Q42" i="3" a="1"/>
  <c r="R42" i="3" s="1"/>
  <c r="Q42" i="3"/>
  <c r="P42" i="3"/>
  <c r="Q41" i="3" a="1"/>
  <c r="R41" i="3" s="1"/>
  <c r="P41" i="3"/>
  <c r="Q40" i="3" a="1"/>
  <c r="R40" i="3" s="1"/>
  <c r="P40" i="3"/>
  <c r="Q39" i="3" a="1"/>
  <c r="Q39" i="3" s="1"/>
  <c r="P39" i="3"/>
  <c r="Q38" i="3" a="1"/>
  <c r="R38" i="3" s="1"/>
  <c r="P38" i="3"/>
  <c r="Q37" i="3" a="1"/>
  <c r="Q37" i="3" s="1"/>
  <c r="P37" i="3"/>
  <c r="Q36" i="3" a="1"/>
  <c r="R36" i="3" s="1"/>
  <c r="P36" i="3"/>
  <c r="Q35" i="3" a="1"/>
  <c r="R35" i="3" s="1"/>
  <c r="P35" i="3"/>
  <c r="Q34" i="3" a="1"/>
  <c r="R34" i="3" s="1"/>
  <c r="P34" i="3"/>
  <c r="Q33" i="3" a="1"/>
  <c r="R33" i="3" s="1"/>
  <c r="Q33" i="3"/>
  <c r="P33" i="3"/>
  <c r="Q32" i="3" a="1"/>
  <c r="R32" i="3" s="1"/>
  <c r="P32" i="3"/>
  <c r="Q31" i="3" a="1"/>
  <c r="R31" i="3" s="1"/>
  <c r="P31" i="3"/>
  <c r="Q30" i="3" a="1"/>
  <c r="Q30" i="3" s="1"/>
  <c r="P30" i="3"/>
  <c r="Q29" i="3" a="1"/>
  <c r="R29" i="3" s="1"/>
  <c r="P29" i="3"/>
  <c r="Q28" i="3" a="1"/>
  <c r="Q28" i="3" s="1"/>
  <c r="P28" i="3"/>
  <c r="Q27" i="3" a="1"/>
  <c r="R27" i="3" s="1"/>
  <c r="P27" i="3"/>
  <c r="Q26" i="3" a="1"/>
  <c r="R26" i="3" s="1"/>
  <c r="P26" i="3"/>
  <c r="Q25" i="3" a="1"/>
  <c r="R25" i="3" s="1"/>
  <c r="P25" i="3"/>
  <c r="Q24" i="3" a="1"/>
  <c r="R24" i="3" s="1"/>
  <c r="Q24" i="3"/>
  <c r="P24" i="3"/>
  <c r="Q23" i="3" a="1"/>
  <c r="R23" i="3" s="1"/>
  <c r="P23" i="3"/>
  <c r="Q22" i="3" a="1"/>
  <c r="R22" i="3" s="1"/>
  <c r="P22" i="3"/>
  <c r="Q21" i="3" a="1"/>
  <c r="Q21" i="3" s="1"/>
  <c r="P21" i="3"/>
  <c r="Q20" i="3" a="1"/>
  <c r="R20" i="3" s="1"/>
  <c r="P20" i="3"/>
  <c r="Q19" i="3" a="1"/>
  <c r="Q19" i="3" s="1"/>
  <c r="P19" i="3"/>
  <c r="Q18" i="3" a="1"/>
  <c r="R18" i="3" s="1"/>
  <c r="P18" i="3"/>
  <c r="Q17" i="3" a="1"/>
  <c r="R17" i="3" s="1"/>
  <c r="P17" i="3"/>
  <c r="Q16" i="3" a="1"/>
  <c r="R16" i="3" s="1"/>
  <c r="P16" i="3"/>
  <c r="Q15" i="3" a="1"/>
  <c r="R15" i="3" s="1"/>
  <c r="Q15" i="3"/>
  <c r="P15" i="3"/>
  <c r="Q14" i="3" a="1"/>
  <c r="R14" i="3" s="1"/>
  <c r="P14" i="3"/>
  <c r="Q13" i="3" a="1"/>
  <c r="R13" i="3" s="1"/>
  <c r="P13" i="3"/>
  <c r="Q12" i="3" a="1"/>
  <c r="Q12" i="3" s="1"/>
  <c r="P12" i="3"/>
  <c r="Q11" i="3" a="1"/>
  <c r="R11" i="3" s="1"/>
  <c r="P11" i="3"/>
  <c r="Q10" i="3" a="1"/>
  <c r="Q10" i="3" s="1"/>
  <c r="P10" i="3"/>
  <c r="Q9" i="3" a="1"/>
  <c r="R9" i="3" s="1"/>
  <c r="P9" i="3"/>
  <c r="Q8" i="3" a="1"/>
  <c r="R8" i="3" s="1"/>
  <c r="P8" i="3"/>
  <c r="Q7" i="3" a="1"/>
  <c r="R7" i="3" s="1"/>
  <c r="P7" i="3"/>
  <c r="Q6" i="3" a="1"/>
  <c r="R6" i="3" s="1"/>
  <c r="Q6" i="3"/>
  <c r="P6" i="3"/>
  <c r="Q5" i="3" a="1"/>
  <c r="R5" i="3" s="1"/>
  <c r="P5" i="3"/>
  <c r="Q4" i="3" a="1"/>
  <c r="R4" i="3" s="1"/>
  <c r="P4" i="3"/>
  <c r="Q3" i="3" a="1"/>
  <c r="Q3" i="3" s="1"/>
  <c r="P3" i="3"/>
  <c r="R3" i="3" l="1"/>
  <c r="Q8" i="3"/>
  <c r="R12" i="3"/>
  <c r="Q17" i="3"/>
  <c r="R21" i="3"/>
  <c r="Q26" i="3"/>
  <c r="R30" i="3"/>
  <c r="Q35" i="3"/>
  <c r="R39" i="3"/>
  <c r="Q44" i="3"/>
  <c r="R48" i="3"/>
  <c r="Q53" i="3"/>
  <c r="R57" i="3"/>
  <c r="Q62" i="3"/>
  <c r="R66" i="3"/>
  <c r="Q71" i="3"/>
  <c r="R75" i="3"/>
  <c r="Q80" i="3"/>
  <c r="R84" i="3"/>
  <c r="Q89" i="3"/>
  <c r="R93" i="3"/>
  <c r="Q98" i="3"/>
  <c r="R102" i="3"/>
  <c r="Q107" i="3"/>
  <c r="R111" i="3"/>
  <c r="Q116" i="3"/>
  <c r="R120" i="3"/>
  <c r="Q125" i="3"/>
  <c r="R129" i="3"/>
  <c r="Q134" i="3"/>
  <c r="R138" i="3"/>
  <c r="Q143" i="3"/>
  <c r="R147" i="3"/>
  <c r="Q152" i="3"/>
  <c r="R156" i="3"/>
  <c r="Q161" i="3"/>
  <c r="R165" i="3"/>
  <c r="Q170" i="3"/>
  <c r="R174" i="3"/>
  <c r="Q179" i="3"/>
  <c r="R183" i="3"/>
  <c r="Q188" i="3"/>
  <c r="R192" i="3"/>
  <c r="Q197" i="3"/>
  <c r="R201" i="3"/>
  <c r="Q206" i="3"/>
  <c r="R210" i="3"/>
  <c r="Q215" i="3"/>
  <c r="R219" i="3"/>
  <c r="Q224" i="3"/>
  <c r="R228" i="3"/>
  <c r="Q233" i="3"/>
  <c r="R237" i="3"/>
  <c r="Q242" i="3"/>
  <c r="R246" i="3"/>
  <c r="Q251" i="3"/>
  <c r="R255" i="3"/>
  <c r="Q260" i="3"/>
  <c r="R264" i="3"/>
  <c r="Q4" i="3"/>
  <c r="Q13" i="3"/>
  <c r="Q22" i="3"/>
  <c r="Q31" i="3"/>
  <c r="Q40" i="3"/>
  <c r="Q49" i="3"/>
  <c r="Q58" i="3"/>
  <c r="Q67" i="3"/>
  <c r="Q76" i="3"/>
  <c r="Q85" i="3"/>
  <c r="Q94" i="3"/>
  <c r="Q103" i="3"/>
  <c r="Q112" i="3"/>
  <c r="Q121" i="3"/>
  <c r="Q130" i="3"/>
  <c r="Q139" i="3"/>
  <c r="Q148" i="3"/>
  <c r="Q157" i="3"/>
  <c r="Q166" i="3"/>
  <c r="Q175" i="3"/>
  <c r="Q184" i="3"/>
  <c r="Q193" i="3"/>
  <c r="Q202" i="3"/>
  <c r="Q211" i="3"/>
  <c r="Q220" i="3"/>
  <c r="Q229" i="3"/>
  <c r="Q238" i="3"/>
  <c r="Q247" i="3"/>
  <c r="Q256" i="3"/>
  <c r="Q265" i="3"/>
  <c r="R46" i="3"/>
  <c r="R55" i="3"/>
  <c r="R64" i="3"/>
  <c r="R91" i="3"/>
  <c r="Q9" i="3"/>
  <c r="Q18" i="3"/>
  <c r="Q27" i="3"/>
  <c r="Q36" i="3"/>
  <c r="Q45" i="3"/>
  <c r="Q54" i="3"/>
  <c r="Q63" i="3"/>
  <c r="Q72" i="3"/>
  <c r="Q81" i="3"/>
  <c r="Q90" i="3"/>
  <c r="Q99" i="3"/>
  <c r="Q108" i="3"/>
  <c r="Q117" i="3"/>
  <c r="Q126" i="3"/>
  <c r="Q135" i="3"/>
  <c r="Q144" i="3"/>
  <c r="Q153" i="3"/>
  <c r="Q162" i="3"/>
  <c r="Q171" i="3"/>
  <c r="Q180" i="3"/>
  <c r="Q189" i="3"/>
  <c r="Q198" i="3"/>
  <c r="Q207" i="3"/>
  <c r="Q216" i="3"/>
  <c r="Q225" i="3"/>
  <c r="Q234" i="3"/>
  <c r="Q243" i="3"/>
  <c r="Q252" i="3"/>
  <c r="Q261" i="3"/>
  <c r="R10" i="3"/>
  <c r="R19" i="3"/>
  <c r="R28" i="3"/>
  <c r="R37" i="3"/>
  <c r="R73" i="3"/>
  <c r="R82" i="3"/>
  <c r="Q5" i="3"/>
  <c r="Q14" i="3"/>
  <c r="Q23" i="3"/>
  <c r="Q32" i="3"/>
  <c r="Q41" i="3"/>
  <c r="Q50" i="3"/>
  <c r="Q59" i="3"/>
  <c r="Q68" i="3"/>
  <c r="Q77" i="3"/>
  <c r="Q86" i="3"/>
  <c r="Q95" i="3"/>
  <c r="Q104" i="3"/>
  <c r="Q113" i="3"/>
  <c r="Q122" i="3"/>
  <c r="Q131" i="3"/>
  <c r="Q140" i="3"/>
  <c r="Q149" i="3"/>
  <c r="Q158" i="3"/>
  <c r="Q167" i="3"/>
  <c r="Q176" i="3"/>
  <c r="Q185" i="3"/>
  <c r="Q194" i="3"/>
  <c r="Q203" i="3"/>
  <c r="Q212" i="3"/>
  <c r="Q221" i="3"/>
  <c r="Q230" i="3"/>
  <c r="Q239" i="3"/>
  <c r="Q248" i="3"/>
  <c r="Q257" i="3"/>
  <c r="Q266" i="3"/>
  <c r="Q11" i="3"/>
  <c r="Q20" i="3"/>
  <c r="Q29" i="3"/>
  <c r="Q38" i="3"/>
  <c r="Q47" i="3"/>
  <c r="Q56" i="3"/>
  <c r="Q65" i="3"/>
  <c r="Q74" i="3"/>
  <c r="Q83" i="3"/>
  <c r="Q92" i="3"/>
  <c r="Q101" i="3"/>
  <c r="Q110" i="3"/>
  <c r="Q119" i="3"/>
  <c r="Q128" i="3"/>
  <c r="Q137" i="3"/>
  <c r="Q146" i="3"/>
  <c r="Q155" i="3"/>
  <c r="Q164" i="3"/>
  <c r="Q173" i="3"/>
  <c r="Q182" i="3"/>
  <c r="Q191" i="3"/>
  <c r="Q200" i="3"/>
  <c r="Q209" i="3"/>
  <c r="Q218" i="3"/>
  <c r="Q227" i="3"/>
  <c r="Q236" i="3"/>
  <c r="Q245" i="3"/>
  <c r="Q254" i="3"/>
  <c r="Q263" i="3"/>
  <c r="Q7" i="3"/>
  <c r="Q16" i="3"/>
  <c r="Q25" i="3"/>
  <c r="Q34" i="3"/>
  <c r="Q43" i="3"/>
  <c r="Q52" i="3"/>
  <c r="Q61" i="3"/>
  <c r="Q70" i="3"/>
  <c r="Q79" i="3"/>
  <c r="Q88" i="3"/>
  <c r="Q97" i="3"/>
  <c r="Q106" i="3"/>
  <c r="Q115" i="3"/>
  <c r="Q124" i="3"/>
  <c r="Q133" i="3"/>
  <c r="Q142" i="3"/>
  <c r="Q151" i="3"/>
  <c r="Q160" i="3"/>
  <c r="Q169" i="3"/>
  <c r="Q178" i="3"/>
  <c r="Q187" i="3"/>
  <c r="Q196" i="3"/>
  <c r="Q205" i="3"/>
  <c r="Q214" i="3"/>
  <c r="Q223" i="3"/>
  <c r="Q232" i="3"/>
  <c r="Q241" i="3"/>
  <c r="Q250" i="3"/>
  <c r="Q259" i="3"/>
  <c r="Q268" i="3"/>
</calcChain>
</file>

<file path=xl/sharedStrings.xml><?xml version="1.0" encoding="utf-8"?>
<sst xmlns="http://schemas.openxmlformats.org/spreadsheetml/2006/main" count="2457" uniqueCount="878">
  <si>
    <t>ILSName</t>
  </si>
  <si>
    <t>ILSInstrumentID</t>
  </si>
  <si>
    <t>ActivityID</t>
  </si>
  <si>
    <t>ScaleFactor</t>
  </si>
  <si>
    <t>RunTimestamp</t>
  </si>
  <si>
    <t>CB-Aquila Re I Ltd. Series 2023-1 Class A-1 Reset 2025</t>
  </si>
  <si>
    <t>AcctGrpId</t>
  </si>
  <si>
    <t>CusipID</t>
  </si>
  <si>
    <t>InceptionDate</t>
  </si>
  <si>
    <t>ExpirationDate</t>
  </si>
  <si>
    <t>PrincipalAmount</t>
  </si>
  <si>
    <t>Issuer_Name</t>
  </si>
  <si>
    <t>CoveredPerils</t>
  </si>
  <si>
    <t>OccurrenceLimit</t>
  </si>
  <si>
    <t>AggregateLimit</t>
  </si>
  <si>
    <t>Maturitydate</t>
  </si>
  <si>
    <t>coupon</t>
  </si>
  <si>
    <t>Price</t>
  </si>
  <si>
    <t>coupon frequency</t>
  </si>
  <si>
    <t>Yield</t>
  </si>
  <si>
    <t>TriggerType</t>
  </si>
  <si>
    <t>LossBasis</t>
  </si>
  <si>
    <t>CB-Herbie Re Ltd. Series 2025-1 Class A LMF USSCS</t>
  </si>
  <si>
    <t>42703VAM5</t>
  </si>
  <si>
    <t>Herbie Re Ltd.</t>
  </si>
  <si>
    <t>EQ / North America, Australasia, Japan, Italy, Turkey ; NS / North America, Australia, Japan ; EW / Europe ; Other Wind / U.S., Canada ; WF / U.S.</t>
  </si>
  <si>
    <t>Industry Loss</t>
  </si>
  <si>
    <t>Annual Aggregate</t>
  </si>
  <si>
    <t>CB-FloodSmart Re Ltd. Series 2024-1 Class A Reset 2025_wLMF</t>
  </si>
  <si>
    <t>33975CAP0</t>
  </si>
  <si>
    <t>FloodSmart Re Ltd.</t>
  </si>
  <si>
    <t>Flood / U.S., Puerto Rico, U.S. VI</t>
  </si>
  <si>
    <t>Indemnity</t>
  </si>
  <si>
    <t>Per Occurrence</t>
  </si>
  <si>
    <t>CB-Aquila Re I Ltd. Series 2023-1 Class B-1 Reset 2025</t>
  </si>
  <si>
    <t>03843AAB8</t>
  </si>
  <si>
    <t>Aquila Re I Ltd.</t>
  </si>
  <si>
    <t>All Natural Perils / U.S.</t>
  </si>
  <si>
    <t>CB-Meadows Ltd. Series 2025-1 Class A</t>
  </si>
  <si>
    <t>CB-Aquila Re I Ltd. Series 2024-1 Class A-1 Reset 2025</t>
  </si>
  <si>
    <t>037987AA2</t>
  </si>
  <si>
    <t>CB-Meadows Ltd. Series 2025-1 Class C</t>
  </si>
  <si>
    <t>CB-Aquila Re I Ltd. Series 2024-1 Class B-1 Reset 2025</t>
  </si>
  <si>
    <t>037987AB0</t>
  </si>
  <si>
    <t>CB-Blue Ridge Re Ltd. Series 2025-1 Class B</t>
  </si>
  <si>
    <t>CB-123 Lights Re Ltd. Series 2025-1 Class A</t>
  </si>
  <si>
    <t>68302QAA2</t>
  </si>
  <si>
    <t>123 Lights Re Ltd.</t>
  </si>
  <si>
    <t>Wildfire / California</t>
  </si>
  <si>
    <t>CB-Blue Ridge Re Ltd. Series 2025-1 Class D</t>
  </si>
  <si>
    <t>CB-Marlon Ltd. Series 2024-1 Class A Reset 2025</t>
  </si>
  <si>
    <t>571253AA1</t>
  </si>
  <si>
    <t>Marlon Ltd.</t>
  </si>
  <si>
    <t>Named Storm / Florida</t>
  </si>
  <si>
    <t>CB-Marlon Ltd. Series 2024-1 Class B Reset 2025</t>
  </si>
  <si>
    <t>571253AB9</t>
  </si>
  <si>
    <t>CB-Lightning Re Ltd. Series 2023-1 Class A Reset 2025</t>
  </si>
  <si>
    <t>532242AA2</t>
  </si>
  <si>
    <t>Lightning Re Ltd.</t>
  </si>
  <si>
    <t>CB-Aquila Re I Ltd. Series 2023-1 Class C-1 Reset 2025</t>
  </si>
  <si>
    <t>CB-Recoletos Re DAC Series 2024-1 Class A</t>
  </si>
  <si>
    <t>755933AA6</t>
  </si>
  <si>
    <t>Recoletos Re DAC</t>
  </si>
  <si>
    <t>Named Storm / U.S.</t>
  </si>
  <si>
    <t>CB-Cape Lookout Re Ltd. Series 2024-1 Class A Reset 2025</t>
  </si>
  <si>
    <t>13947LAF9</t>
  </si>
  <si>
    <t>Cape Lookout Re Ltd.</t>
  </si>
  <si>
    <t>Named Storm / North Carolina</t>
  </si>
  <si>
    <t>CB-Ashera Re Ltd. Series 2024-1 Class A Reset 2025</t>
  </si>
  <si>
    <t>04401RAA5</t>
  </si>
  <si>
    <t>Ashera Re Ltd.</t>
  </si>
  <si>
    <t>Earthquake ; Named Storm / U.S., Canada</t>
  </si>
  <si>
    <t>CB-Ramble Re Ltd. Series 2024-1 Class A Reset 2025</t>
  </si>
  <si>
    <t>751443AA0</t>
  </si>
  <si>
    <t>Ramble Re Ltd.</t>
  </si>
  <si>
    <t>Earthquake / U.S., Canada ; Named Storm / Northeast U.S.</t>
  </si>
  <si>
    <t>CB-Sakura Re Ltd. Series 2022-1 Class A Reset 2024</t>
  </si>
  <si>
    <t>Per Occurrence and Annual Aggregate</t>
  </si>
  <si>
    <t>CB-Galileo Re Ltd. Series 2023-1 Class A Reset 2025</t>
  </si>
  <si>
    <t>36354TAN2</t>
  </si>
  <si>
    <t>Galileo Re Ltd.</t>
  </si>
  <si>
    <t>Earthquake / U.S., Canada, Puerto Rico, U.S. VI ; Named Storm / U.S., Puerto Rico, U.S. VI</t>
  </si>
  <si>
    <t>CB-Four Lakes Re Ltd. Series 2023-1 Class B Reset 2025_V12</t>
  </si>
  <si>
    <t>35087TAF5</t>
  </si>
  <si>
    <t>Four Lakes Re Ltd.</t>
  </si>
  <si>
    <t>CB-Four Lakes Re Ltd. Series 2024-1 Class B_V12</t>
  </si>
  <si>
    <t>35087TAH1</t>
  </si>
  <si>
    <t>CB-MMIFS Re Ltd. Series 2025-1 Class A</t>
  </si>
  <si>
    <t>XS2969300081</t>
  </si>
  <si>
    <t>MMIFS Re Ltd.</t>
  </si>
  <si>
    <t>Earthquake ; Severe Convective Storm / Canada</t>
  </si>
  <si>
    <t>CB-Bonanza Re Ltd. Series 2024-1 Class B</t>
  </si>
  <si>
    <t>09785EAP6</t>
  </si>
  <si>
    <t>Bonanza Re Ltd.</t>
  </si>
  <si>
    <t>CB-Stabilitas Re Ltd. Series 2023-1 Class A Reset 2025</t>
  </si>
  <si>
    <t>CB-Bonanza Re Ltd. Series 2024-1 Class C</t>
  </si>
  <si>
    <t>09785EAQ4</t>
  </si>
  <si>
    <t>CB-Cape Lookout Re Ltd. Series 2023-1 Class A Reset 2025</t>
  </si>
  <si>
    <t>CB-Sanders Re II Ltd. Series 2024-3 Class B Reset 2025</t>
  </si>
  <si>
    <t>80001RAB7</t>
  </si>
  <si>
    <t>Sanders Re II Ltd.</t>
  </si>
  <si>
    <t>All Natural Perils / U.S. (excl. FL)</t>
  </si>
  <si>
    <t>CB-Sanders Re II Ltd. Series 2024-3 Class A Reset 2025</t>
  </si>
  <si>
    <t>80001RAA9</t>
  </si>
  <si>
    <t>CB-Res Re 2025 Ltd. Series 2025-I Class 13</t>
  </si>
  <si>
    <t>76091DAA9</t>
  </si>
  <si>
    <t>Res Re 2025 Ltd.</t>
  </si>
  <si>
    <t>CB-Res Re 2025 Ltd. Series 2025-I Class 14</t>
  </si>
  <si>
    <t>76091DAB7</t>
  </si>
  <si>
    <t>CB-Res Re 2025 Ltd. Series 2025-I Class 15</t>
  </si>
  <si>
    <t>76091DAC5</t>
  </si>
  <si>
    <t>CB-Easton Re Ltd. Series 2024-1 Class A Reset 2025</t>
  </si>
  <si>
    <t>27777AAA9</t>
  </si>
  <si>
    <t>Easton Re Ltd.</t>
  </si>
  <si>
    <t>Earthquake / U.S., Canada ; Named Storm / U.S., Puerto Rico, U.S. VI</t>
  </si>
  <si>
    <t>CB-Bridge Street Re Ltd. Series 2025-1 Class A</t>
  </si>
  <si>
    <t>10807LAA5</t>
  </si>
  <si>
    <t>Bridge Street Re Ltd.</t>
  </si>
  <si>
    <t>Earthquake ; Named Storm / U.S., Canada, Puerto Rico, U.S. VI</t>
  </si>
  <si>
    <t>CB-Galileo Re Ltd. Series 2023-1 Class B Reset 2025</t>
  </si>
  <si>
    <t>CB-Res Re 2022 Ltd. Series 2022-II Class 3 Reset 2025</t>
  </si>
  <si>
    <t>76119YAF0</t>
  </si>
  <si>
    <t>Res Re 2022 Ltd.</t>
  </si>
  <si>
    <t>CB-Res Re 2022 Ltd. Series 2022-II Class 5 Reset 2025</t>
  </si>
  <si>
    <t>76119YAG8</t>
  </si>
  <si>
    <t>CB-Bonanza Re Ltd. Series 2024-1 Class A</t>
  </si>
  <si>
    <t>CB-Res Re 2023 Ltd. Series 2023-II Class 3 Reset 2025</t>
  </si>
  <si>
    <t>76090WAB6</t>
  </si>
  <si>
    <t>Res Re 2023 Ltd.</t>
  </si>
  <si>
    <t>CB-Res Re 2023 Ltd. Series 2023-II Class 5 Reset 2025</t>
  </si>
  <si>
    <t>76090WAC4</t>
  </si>
  <si>
    <t>CB-Res Re 2024 Ltd. Series 2024-II Class 2 Reset 2025</t>
  </si>
  <si>
    <t>76112AAC6</t>
  </si>
  <si>
    <t>Res Re 2024 Ltd.</t>
  </si>
  <si>
    <t>CB-Res Re 2024 Ltd. Series 2024-II Class 3 Reset 2025</t>
  </si>
  <si>
    <t>76112AAD4</t>
  </si>
  <si>
    <t>CB-Res Re 2024 Ltd. Series 2024-II Class 4 Reset 2025</t>
  </si>
  <si>
    <t>76112AAE2</t>
  </si>
  <si>
    <t>CB-Queen Street 2023 Re DAC Reset 2025</t>
  </si>
  <si>
    <t>CB-Baldwin Re Ltd. Series 2025-1 Class A</t>
  </si>
  <si>
    <t>05826BAC0</t>
  </si>
  <si>
    <t>Baldwin Re Ltd.</t>
  </si>
  <si>
    <t>All Natural Perils / Northeast U.S.</t>
  </si>
  <si>
    <t>CB-Baldwin Re Ltd. Series 2023-1 Class A Reset 2025</t>
  </si>
  <si>
    <t>05826BAB2</t>
  </si>
  <si>
    <t>CB-Mayflower Re Ltd. Series 2024-1 Class A Reset 2025</t>
  </si>
  <si>
    <t>57839MAC2</t>
  </si>
  <si>
    <t>Mayflower Re Ltd.</t>
  </si>
  <si>
    <t>Named Storm ; Severe Thunderstorm ; Winter Storm / Massachusetts</t>
  </si>
  <si>
    <t>CB-Mayflower Re Ltd. Series 2025-1 Class A</t>
  </si>
  <si>
    <t>57839MAD0</t>
  </si>
  <si>
    <t>CB-Res Re 2022 Ltd. Series 2022-I Class 11 Reset 2025</t>
  </si>
  <si>
    <t>76119YAB9</t>
  </si>
  <si>
    <t>NULL</t>
  </si>
  <si>
    <t>CB-Res Re 2022 Ltd. Series 2022-I Class 12 Reset 2025</t>
  </si>
  <si>
    <t>76119YAC7</t>
  </si>
  <si>
    <t>CB-Res Re 2021 Ltd. Series 2021-II Class 2 Reset 2025</t>
  </si>
  <si>
    <t>CB-Res Re 2023 Ltd. Series 2023-I Class 13 Reset 2025</t>
  </si>
  <si>
    <t>76133XAA5</t>
  </si>
  <si>
    <t>CB-Res Re 2021 Ltd. Series 2021-II Class 3 Reset 2025</t>
  </si>
  <si>
    <t>CB-Res Re 2023 Ltd. Series 2023-I Class 14 Reset 2025</t>
  </si>
  <si>
    <t>76133XAB3</t>
  </si>
  <si>
    <t>CB-Res Re 2024 Ltd. Series 2024-I Class 13 Reset 2025</t>
  </si>
  <si>
    <t>76091BAB1</t>
  </si>
  <si>
    <t>CB-Res Re 2024 Ltd. Series 2024-I Class 14 Reset 2025</t>
  </si>
  <si>
    <t>76091BAC9</t>
  </si>
  <si>
    <t>CB-Gateway Re Ltd. Series 2025-1 Class AAA</t>
  </si>
  <si>
    <t>36779CAM8</t>
  </si>
  <si>
    <t>Gateway Re Ltd.</t>
  </si>
  <si>
    <t>Named Storm / Alabama, Louisiana, Mississippi, New York, North Carolina, South Carolina, Texas</t>
  </si>
  <si>
    <t>CB-Gateway Re Ltd. Series 2025-1 Class A</t>
  </si>
  <si>
    <t>36779CAQ9</t>
  </si>
  <si>
    <t>Named Storm / Alabama, Florida, Louisiana, Mississippi, New York, North Carolina, South Carolina, Texas</t>
  </si>
  <si>
    <t>CB-Gateway Re Ltd. Series 2025-1 Class C2</t>
  </si>
  <si>
    <t>36779CAN6</t>
  </si>
  <si>
    <t>CB-Gateway Re Ltd. Series 2025-2 Class A</t>
  </si>
  <si>
    <t>36779CAS5</t>
  </si>
  <si>
    <t xml:space="preserve">Named Storm / Louisiana, Mississippi, South Carolina, Texas </t>
  </si>
  <si>
    <t>CB-MetroCat Re Ltd. Series 2023-1 Class A</t>
  </si>
  <si>
    <t>59165HAD1</t>
  </si>
  <si>
    <t>MetroCat Re Ltd.</t>
  </si>
  <si>
    <t>Named Storm / New York, New Jersey</t>
  </si>
  <si>
    <t>CB-IBRD CAR Jamaica 2024</t>
  </si>
  <si>
    <t>XS2806459314</t>
  </si>
  <si>
    <t>IBRD CAR Jamaica 2024</t>
  </si>
  <si>
    <t>Named Storm / Jamaica</t>
  </si>
  <si>
    <t>CB-IBRD CAR Chile 2023</t>
  </si>
  <si>
    <t>XS2599161192</t>
  </si>
  <si>
    <t>IBRD CAR Chile 2023</t>
  </si>
  <si>
    <t>Earthquake / Chile</t>
  </si>
  <si>
    <t>CB-Mayflower Re Ltd. Series 2023-1 Class A Reset 2025</t>
  </si>
  <si>
    <t>CB-Genesee Street Re Ltd. Series 2025-1 Class A</t>
  </si>
  <si>
    <t>37173WAA0</t>
  </si>
  <si>
    <t>Genesee Street Re Ltd.</t>
  </si>
  <si>
    <t>Named Storm ; Severe Thunderstorm / Eastern U.S.</t>
  </si>
  <si>
    <t>CB-Mayflower Re Ltd. Series 2023-1 Class B Reset 2025</t>
  </si>
  <si>
    <t>CB-Sanders Re III Ltd. Series 2024-1 Class A Reset 2025</t>
  </si>
  <si>
    <t>799927AA6</t>
  </si>
  <si>
    <t>Sanders Re III Ltd.</t>
  </si>
  <si>
    <t>CB-Sanders Re III Ltd. Series 2023-1 Class A Reset 2025</t>
  </si>
  <si>
    <t>80001QAA1</t>
  </si>
  <si>
    <t>CB-Sanders Re III Ltd. Series 2023-1 Class B Reset 2025</t>
  </si>
  <si>
    <t>80001QAB9</t>
  </si>
  <si>
    <t>CB-Sanders Re III Ltd. Series 2022-3 Class A Reset 2025</t>
  </si>
  <si>
    <t>80000YAA5</t>
  </si>
  <si>
    <t>CB-Sanders Re III Ltd. Series 2022-1 Class A Reset 2025</t>
  </si>
  <si>
    <t>80000XAA7</t>
  </si>
  <si>
    <t>CB-Res Re 2022 Ltd. Series 2022-I Class 13 Reset 2025</t>
  </si>
  <si>
    <t>CB-Sanders Re III Ltd. Series 2022-1 Class B Reset 2025</t>
  </si>
  <si>
    <t>CB-Res Re 2022 Ltd. Series 2022-I Class 14 Reset 2025</t>
  </si>
  <si>
    <t>CB-Sanders Re III Ltd. Series 2022-1 Class C Reset 2025</t>
  </si>
  <si>
    <t>80000XAC3</t>
  </si>
  <si>
    <t>CB-Sanders Re II Ltd. Series 2025-1 Class A-1</t>
  </si>
  <si>
    <t>80001TAA5</t>
  </si>
  <si>
    <t>CB-Sanders Re II Ltd. Series 2025-1 Class B-1</t>
  </si>
  <si>
    <t>80001TAC1</t>
  </si>
  <si>
    <t>CB-Sanders Re II Ltd. Series 2025-1 Class A-2</t>
  </si>
  <si>
    <t>80001TAB3</t>
  </si>
  <si>
    <t>CB-Sanders Re II Ltd. Series 2025-1 Class B-2</t>
  </si>
  <si>
    <t>80001TAD9</t>
  </si>
  <si>
    <t>CB-Matterhorn Re Ltd. Series 2025-3 Class A</t>
  </si>
  <si>
    <t>577092AZ2</t>
  </si>
  <si>
    <t>Matterhorn Re Ltd.</t>
  </si>
  <si>
    <t>Earthquake / U.S. (excl. HI), Canada</t>
  </si>
  <si>
    <t>CB-Gateway Re Ltd. Series 2025-1 Class C1</t>
  </si>
  <si>
    <t>CB-Matterhorn Re Ltd. Series 2025-3 Class B</t>
  </si>
  <si>
    <t>577092BA6</t>
  </si>
  <si>
    <t>CB-Gateway Re Ltd. Series 2025-1 Class AA</t>
  </si>
  <si>
    <t>CB-Atela Re Ltd. Series 2024-1 Class A Reset 2025</t>
  </si>
  <si>
    <t>04681FAA2</t>
  </si>
  <si>
    <t>Atela Re Ltd.</t>
  </si>
  <si>
    <t>Earthquake ; Named Storm / U.S., Puerto Rico, U.S. VI</t>
  </si>
  <si>
    <t>CB-Atela Re Ltd. Series 2024-1 Class B Reset 2025</t>
  </si>
  <si>
    <t>04681FAB0</t>
  </si>
  <si>
    <t>CB-Solomon Re Ltd. Series 2023-1 Class A Reset 2025</t>
  </si>
  <si>
    <t>83427GAA3</t>
  </si>
  <si>
    <t>Solomon Re Ltd.</t>
  </si>
  <si>
    <t>Earthquake ; Named Storm / U.S.</t>
  </si>
  <si>
    <t>CB-Four Lakes Re Ltd. Series 2023-1 Class A Reset 2025</t>
  </si>
  <si>
    <t>35087TAE8</t>
  </si>
  <si>
    <t>2nd Gen Parametric</t>
  </si>
  <si>
    <t>CB-Four Lakes Re Ltd. Series 2023-1 Class B Reset 2025</t>
  </si>
  <si>
    <t>1st Gen Parametric</t>
  </si>
  <si>
    <t>CB-Four Lakes Re Ltd. Series 2024-1 Class A</t>
  </si>
  <si>
    <t>35087TAG3</t>
  </si>
  <si>
    <t>CB-Four Lakes Re Ltd. Series 2024-1 Class B</t>
  </si>
  <si>
    <t>CB-Kilimanjaro II Re Ltd. Series 2025-1 Class A-1</t>
  </si>
  <si>
    <t>49407QAJ7</t>
  </si>
  <si>
    <t>Kilimanjaro II Re Ltd.</t>
  </si>
  <si>
    <t>CB-Kilimanjaro II Re Ltd. Series 2025-1 Class B-1</t>
  </si>
  <si>
    <t>49407QAK4</t>
  </si>
  <si>
    <t>CB-Kilimanjaro II Re Ltd. Series 2025-1 Class C-1</t>
  </si>
  <si>
    <t>49407QAL2</t>
  </si>
  <si>
    <t>CB-Kilimanjaro II Re Ltd. Series 2025-1 Class D-1</t>
  </si>
  <si>
    <t>49407QAM0</t>
  </si>
  <si>
    <t>CB-Kilimanjaro II Re Ltd. Series 2025-2 Class A-2</t>
  </si>
  <si>
    <t>49407QAN8</t>
  </si>
  <si>
    <t>CB-Kilimanjaro II Re Ltd. Series 2025-2 Class B-2</t>
  </si>
  <si>
    <t>49407QAP3</t>
  </si>
  <si>
    <t>CB-Kilimanjaro II Re Ltd. Series 2025-2 Class C-2</t>
  </si>
  <si>
    <t>49407QAQ1</t>
  </si>
  <si>
    <t>CB-Kilimanjaro II Re Ltd. Series 2025-2 Class D-2</t>
  </si>
  <si>
    <t>49407QAR9</t>
  </si>
  <si>
    <t>CB-Kilimanjaro II Re Ltd. Series 2024-1 Class A Reset 2025</t>
  </si>
  <si>
    <t>49407QAG3</t>
  </si>
  <si>
    <t>CB-Kilimanjaro II Re Ltd. Series 2024-1 Class B Reset 2025</t>
  </si>
  <si>
    <t>49407QAH1</t>
  </si>
  <si>
    <t>CB-Kilimanjaro III Re Ltd. Series 2021-2 Class A-2 Reset 2025</t>
  </si>
  <si>
    <t>49407PAH3</t>
  </si>
  <si>
    <t>Kilimanjaro III Re Ltd.</t>
  </si>
  <si>
    <t>CB-Riverfront Re Ltd. Series 2025-1 Class B</t>
  </si>
  <si>
    <t>76870YAG7</t>
  </si>
  <si>
    <t>Riverfront Re Ltd.</t>
  </si>
  <si>
    <t>All Natural Perils / U.S., Canada</t>
  </si>
  <si>
    <t>CB-Riverfront Re Ltd. Series 2025-1 Class A</t>
  </si>
  <si>
    <t>76870YAF9</t>
  </si>
  <si>
    <t>CB-Nature Coast Re Ltd. Series 2025-1 Class A Reset 2025</t>
  </si>
  <si>
    <t>63901CAD3</t>
  </si>
  <si>
    <t>Nature Coast Re Ltd.</t>
  </si>
  <si>
    <t>Named Storm / Alabama, Florida, Louisiana, Mississippi, Texas</t>
  </si>
  <si>
    <t>CB-Lapis 2025-1 Series 2025-1</t>
  </si>
  <si>
    <t>54180CAA0</t>
  </si>
  <si>
    <t>Lapis 2025-1</t>
  </si>
  <si>
    <t>Named Storm ; Earthquake / U.S., Canada, Puerto Rico, U.S. VI</t>
  </si>
  <si>
    <t>CB-Gateway Re Ltd. Series 2023-3 Class A Reset 2025</t>
  </si>
  <si>
    <t>36779CAF3</t>
  </si>
  <si>
    <t>Named Storm / Alabama, Louisiana, Mississippi, New York, North Carolina, South Carolina, Texas, Virginia</t>
  </si>
  <si>
    <t>CB-1886 Re Ltd. Series 2025-1 Class A</t>
  </si>
  <si>
    <t>68252UAA3</t>
  </si>
  <si>
    <t>1886 Re Ltd.</t>
  </si>
  <si>
    <t>Named Storm / Connecticut, Massachusetts, New York, New Jersey, Rhode Island</t>
  </si>
  <si>
    <t>CB-Four Lakes Re Ltd. Series 2022-1 Class A Reset 2025</t>
  </si>
  <si>
    <t>CB-Aragonite Re Ltd. Series 2024-1 Class A Reset 2025</t>
  </si>
  <si>
    <t>03851YAA7</t>
  </si>
  <si>
    <t>Aragonite Re Ltd.</t>
  </si>
  <si>
    <t>CB-Armor Re II Ltd. Series 2024-1 Class A Reset 2025</t>
  </si>
  <si>
    <t>04227FAE5</t>
  </si>
  <si>
    <t>Armor Re II Ltd.</t>
  </si>
  <si>
    <t>CB-Torrey Pines Re Ltd. Series 2023-1 Class B Reset 2025</t>
  </si>
  <si>
    <t>89141WAG7</t>
  </si>
  <si>
    <t>Torrey Pines Re Ltd.</t>
  </si>
  <si>
    <t>Earthquake / U.S.</t>
  </si>
  <si>
    <t>CB-Torrey Pines Re Ltd. Series 2024-1 Class A Reset 2025</t>
  </si>
  <si>
    <t>89141WAH5</t>
  </si>
  <si>
    <t>Earthquake / California</t>
  </si>
  <si>
    <t>CB-Torrey Pines Re Ltd. Series 2024-1 Class B Reset 2025</t>
  </si>
  <si>
    <t>89141WAJ1</t>
  </si>
  <si>
    <t>CB-Torrey Pines Re Ltd. Series 2024-1 Class C Reset 2025</t>
  </si>
  <si>
    <t>89141WAK8</t>
  </si>
  <si>
    <t>CB-Torrey Pines Re Ltd. Series 2025-1 Class A</t>
  </si>
  <si>
    <t>89141WAL6</t>
  </si>
  <si>
    <t>CB-Torrey Pines Re Ltd. Series 2025-1 Class B</t>
  </si>
  <si>
    <t>89141WAM4</t>
  </si>
  <si>
    <t>CB-Torrey Pines Re Ltd. Series 2025-1 Class C</t>
  </si>
  <si>
    <t>89141WAN2</t>
  </si>
  <si>
    <t>CB-Finca Re Ltd. Series 2025-1 Class A</t>
  </si>
  <si>
    <t>31771QAB0</t>
  </si>
  <si>
    <t>Finca Re Ltd.</t>
  </si>
  <si>
    <t>CB-IBRD CAR Mexico 2024 Class A</t>
  </si>
  <si>
    <t>XS2799645515</t>
  </si>
  <si>
    <t>IBRD CAR Mexico 2024 Class A</t>
  </si>
  <si>
    <t>Earthquake / Mexico</t>
  </si>
  <si>
    <t>CB-IBRD CAR Mexico 2024 Class B</t>
  </si>
  <si>
    <t>XS2799645606</t>
  </si>
  <si>
    <t>IBRD CAR Mexico 2024 Class B</t>
  </si>
  <si>
    <t>CB-IBRD CAR Mexico 2024 Class C</t>
  </si>
  <si>
    <t>XS2799645788</t>
  </si>
  <si>
    <t>IBRD CAR Mexico 2024 Class C</t>
  </si>
  <si>
    <t>Atlantic Named Storm / Mexico</t>
  </si>
  <si>
    <t>CB-IBRD CAR Mexico 2024 Class D</t>
  </si>
  <si>
    <t>XS2809694198</t>
  </si>
  <si>
    <t>IBRD CAR Mexico 2024 Class D</t>
  </si>
  <si>
    <t>Pacific Named Storm / Mexico</t>
  </si>
  <si>
    <t>CB-3264 Re Ltd. Series 2024-1 Class A Reset 2025</t>
  </si>
  <si>
    <t>88577CAC5</t>
  </si>
  <si>
    <t>3264 Re Ltd.</t>
  </si>
  <si>
    <t>Named Storm / Northeast U.S.</t>
  </si>
  <si>
    <t>CB-3264 Re Ltd. Series 2024-1 Class B Reset 2025</t>
  </si>
  <si>
    <t>88577CAD3</t>
  </si>
  <si>
    <t>Named Storm / Alabama, Louisiana, Mississippi, Texas</t>
  </si>
  <si>
    <t>CB-Kilimanjaro III Re Ltd. Series 2021-2 Class B-2 Reset 2025</t>
  </si>
  <si>
    <t>CB-3264 Re Ltd. Series 2025-2 Class A</t>
  </si>
  <si>
    <t>88577CAG6</t>
  </si>
  <si>
    <t>Named Storm / Eastern U.S ; Earthquake / U.S., Canada</t>
  </si>
  <si>
    <t>CB-Kilimanjaro III Re Ltd. Series 2021-2 Class C-2 Reset 2025</t>
  </si>
  <si>
    <t>CB-Longleaf Pine Re Ltd. Series 2024-1 Class A Reset 2025</t>
  </si>
  <si>
    <t>54307MAA6</t>
  </si>
  <si>
    <t>Longleaf Pine Re Ltd.</t>
  </si>
  <si>
    <t xml:space="preserve">Per Occurrence </t>
  </si>
  <si>
    <t>CB-Veraison Re Ltd. Series 2023-1 Class A Reset 2025</t>
  </si>
  <si>
    <t>92335TAA7</t>
  </si>
  <si>
    <t>Veraison Re Ltd.</t>
  </si>
  <si>
    <t>CB-Veraison Re Ltd. Series 2024-1 Class A Reset 2025</t>
  </si>
  <si>
    <t>92335TAC3</t>
  </si>
  <si>
    <t>CB-Veraison Re Ltd. Series 2025-1 Class A</t>
  </si>
  <si>
    <t>92335TAD1</t>
  </si>
  <si>
    <t>CB-Veraison Re Ltd. Series 2025-1 Class B</t>
  </si>
  <si>
    <t>92335TAE9</t>
  </si>
  <si>
    <t>CB-Vision 2039 Series 2025-1 Class A</t>
  </si>
  <si>
    <t>XS3019877813</t>
  </si>
  <si>
    <t>Vision 2039</t>
  </si>
  <si>
    <t>Flood / United Kingdom</t>
  </si>
  <si>
    <t>CB-Puerto Rico Parametric Re Ltd. Series 2024-1 Class A</t>
  </si>
  <si>
    <t>74528TAA2</t>
  </si>
  <si>
    <t>Puerto Rico Parametric Re Ltd.</t>
  </si>
  <si>
    <t>Earthquake ; Named Storm / Puerto Rico</t>
  </si>
  <si>
    <t>CB-Black Kite Re Ltd. Series 2025-1 Class A</t>
  </si>
  <si>
    <t>092168AB9</t>
  </si>
  <si>
    <t>Black Kite Re Ltd.</t>
  </si>
  <si>
    <t>Typhoon / Japan ; Earthquake / Japan, China, India</t>
  </si>
  <si>
    <t>CB-Citrus Re Ltd. Series 2025-1 Class A</t>
  </si>
  <si>
    <t>177510AQ7</t>
  </si>
  <si>
    <t>Citrus Re Ltd.</t>
  </si>
  <si>
    <t>Named Storm / Southeast U.S.</t>
  </si>
  <si>
    <t>CB-Torrey Pines Re Ltd. Series 2023-1 Class A Reset 2025</t>
  </si>
  <si>
    <t>CB-Citrus Re Ltd. Series 2023-1 Class B Reset 2025</t>
  </si>
  <si>
    <t>177510AM6</t>
  </si>
  <si>
    <t>CB-Citrus Re Ltd. Series 2024-1 Class A Reset 2025</t>
  </si>
  <si>
    <t>177510AN4</t>
  </si>
  <si>
    <t>CB-Citrus Re Ltd. Series 2024-1 Class B Reset 2025</t>
  </si>
  <si>
    <t>177510AP9</t>
  </si>
  <si>
    <t>CB-Blue Ridge Re Ltd. Series 2023-1 Class A Reset 2025</t>
  </si>
  <si>
    <t>096003AA6</t>
  </si>
  <si>
    <t>Blue Ridge Re Ltd.</t>
  </si>
  <si>
    <t>CB-Blue Ridge Re Ltd. Series 2023-1 Class B Reset 2025</t>
  </si>
  <si>
    <t>096003AB4</t>
  </si>
  <si>
    <t>CB-Armor Re II Ltd. Series 2024-2 Class A</t>
  </si>
  <si>
    <t>04227FAF2</t>
  </si>
  <si>
    <t>CB-Cape Lookout Re Ltd. Series 2025-1 Class A</t>
  </si>
  <si>
    <t>13947LAG7</t>
  </si>
  <si>
    <t>CB-Bayou Re Ltd. Series 2023-1 Class B Reset 2025</t>
  </si>
  <si>
    <t>07304LAB7</t>
  </si>
  <si>
    <t>Bayou Re Ltd.</t>
  </si>
  <si>
    <t>Named Storm / Louisiana</t>
  </si>
  <si>
    <t>CB-Purple Re Ltd. Series 2025-1 Class A</t>
  </si>
  <si>
    <t>74639NAD5</t>
  </si>
  <si>
    <t>Purple Re Ltd.</t>
  </si>
  <si>
    <t>Named Storm / Florida, South Carolina</t>
  </si>
  <si>
    <t>CB-Purple Re Ltd. Series 2025-1 Class B</t>
  </si>
  <si>
    <t>74639NAE3</t>
  </si>
  <si>
    <t>CB-Purple Re Ltd. Series 2024-1 Class A Reset 2025</t>
  </si>
  <si>
    <t>74639NAC7</t>
  </si>
  <si>
    <t>CB-Purple Re Ltd. Series 2023-2 Class A Reset 2025</t>
  </si>
  <si>
    <t>74639NAB9</t>
  </si>
  <si>
    <t>CB-Purple Re Ltd. Series 2023-1 Class A Reset 2025</t>
  </si>
  <si>
    <t>74639NAA1</t>
  </si>
  <si>
    <t>CB-Nakama Re Ltd. Series 2023-1 Class 1 Reset 2025</t>
  </si>
  <si>
    <t>62983QAN3</t>
  </si>
  <si>
    <t>Nakama Re Ltd.</t>
  </si>
  <si>
    <t>Earthquake / Japan</t>
  </si>
  <si>
    <t>CB-Nakama Re Ltd. Series 2023-1 Class 2 Reset 2025</t>
  </si>
  <si>
    <t>62983QAP8</t>
  </si>
  <si>
    <t>Per Occurrence (Named Storm) ; Annual Aggregate (Earthquake)</t>
  </si>
  <si>
    <t>CB-Nakama Re Pte. Ltd. Series 2024-1 Class 1 Reset 2025</t>
  </si>
  <si>
    <t>62984JAC2</t>
  </si>
  <si>
    <t>Nakama Re Pte. Ltd.</t>
  </si>
  <si>
    <t>CB-First Coast Re IV Ltd. Series 2023-1 Class A Reset 2025</t>
  </si>
  <si>
    <t>CB-Nakama Re Pte. Ltd. Series 2025-1 Class 1</t>
  </si>
  <si>
    <t>62984JAD0</t>
  </si>
  <si>
    <t>CB-Nakama Re Pte. Ltd. Series 2021-1 Class 1 Reset 2023</t>
  </si>
  <si>
    <t>62984JAA6</t>
  </si>
  <si>
    <t>CB-Nakama Re Pte. Ltd. Series 2021-1 Class 2 Reset 2023</t>
  </si>
  <si>
    <t>62984JAB4</t>
  </si>
  <si>
    <t>CB-Veraison Re Ltd. Series 2023-1 Class B Reset 2025</t>
  </si>
  <si>
    <t>CB-Atlas Capital DAC Series 2024-1 Class A Reset 2025</t>
  </si>
  <si>
    <t>049207AB9</t>
  </si>
  <si>
    <t>Atlas Capital DAC</t>
  </si>
  <si>
    <t>CB-Hexagon IV Re Ltd. Series 2023-1 Class A Reset 2025</t>
  </si>
  <si>
    <t>428270AA0</t>
  </si>
  <si>
    <t>Hexagon IV Re Ltd.</t>
  </si>
  <si>
    <t>Windstorm / France</t>
  </si>
  <si>
    <t>CB-Bluebonnet Re Ltd. Series 2025-1 Class A</t>
  </si>
  <si>
    <t>09610NAA0</t>
  </si>
  <si>
    <t>Bluebonnet Re Ltd.</t>
  </si>
  <si>
    <t>Named Storm ; Severe Thunderstorm / Texas</t>
  </si>
  <si>
    <t>CB-Bluebonnet Re Ltd. Series 2025-1 Class B</t>
  </si>
  <si>
    <t>09610NAB8</t>
  </si>
  <si>
    <t>CB-Bluebonnet Re Ltd. Series 2025-1 Class C</t>
  </si>
  <si>
    <t>09610NAC6</t>
  </si>
  <si>
    <t>CB-Bluebonnet Re Ltd. Series 2025-2 Class A</t>
  </si>
  <si>
    <t>09610NAD4</t>
  </si>
  <si>
    <t>Named Storm ; Severe Thunderstorm ; Wildfire / Texas</t>
  </si>
  <si>
    <t>CB-Hestia Re Ltd. Series 2025-1 Class A</t>
  </si>
  <si>
    <t>42815KAC6</t>
  </si>
  <si>
    <t>Hestia Re Ltd.</t>
  </si>
  <si>
    <t>CB-Hestia Re Ltd. Series 2025-1 Class B</t>
  </si>
  <si>
    <t>42815KAD4</t>
  </si>
  <si>
    <t>CB-Citrus Re Ltd. Series 2025-1 Class B</t>
  </si>
  <si>
    <t>CB-Hestia Re Ltd. Series 2023-1 Class A Reset 2025</t>
  </si>
  <si>
    <t>42815KAB8</t>
  </si>
  <si>
    <t>CB-Citrus Re Ltd. Series 2023-1 Class A Reset 2025</t>
  </si>
  <si>
    <t>CB-Hypatia Ltd. Series 2025-1 Class A</t>
  </si>
  <si>
    <t>44914CAD8</t>
  </si>
  <si>
    <t>Hypatia Ltd.</t>
  </si>
  <si>
    <t>CB-Integrity Re III Ltd. Series 2025-1 Class A-1 Reset 2025</t>
  </si>
  <si>
    <t>45870GAA4</t>
  </si>
  <si>
    <t>Integrity Re III Ltd.</t>
  </si>
  <si>
    <t>Named Storm / Florida, Georgia, South Carolina, North Carolina</t>
  </si>
  <si>
    <t>CB-Integrity Re III Ltd. Series 2025-1 Class B-1 Reset 2025</t>
  </si>
  <si>
    <t>45870GAC0</t>
  </si>
  <si>
    <t>CB-Integrity Re III Ltd. Series 2025-1 Class C Reset 2025</t>
  </si>
  <si>
    <t>45870GAE6</t>
  </si>
  <si>
    <t>CB-Integrity Re III Ltd. Series 2025-1 Class D Reset 2025</t>
  </si>
  <si>
    <t>45870GAF3</t>
  </si>
  <si>
    <t>Named Storm / Florida, Georgia, South Carolina</t>
  </si>
  <si>
    <t>CB-Integrity Re III Ltd. Series 2025-1 Class A-2 Reset 2025</t>
  </si>
  <si>
    <t>45870GAB2</t>
  </si>
  <si>
    <t>CB-Integrity Re III Ltd. Series 2025-1 Class B-2 Reset 2025</t>
  </si>
  <si>
    <t>45870GAD8</t>
  </si>
  <si>
    <t>CB-Integrity Re Ltd. Series 2024-1 Class A Reset 2025</t>
  </si>
  <si>
    <t>45833UAJ0</t>
  </si>
  <si>
    <t>Integrity Re Ltd.</t>
  </si>
  <si>
    <t>CB-Bayou Re Ltd. Series 2023-1 Class A Reset 2025</t>
  </si>
  <si>
    <t>CB-Integrity Re Ltd. Series 2024-1 Class B Reset 2025</t>
  </si>
  <si>
    <t>45833UAK7</t>
  </si>
  <si>
    <t>CB-Integrity Re Ltd. Series 2024-1 Class C Reset 2025</t>
  </si>
  <si>
    <t>45833UAL5</t>
  </si>
  <si>
    <t>CB-Integrity Re Ltd. Series 2024-1 Class D Reset 2025</t>
  </si>
  <si>
    <t>45833UAM3</t>
  </si>
  <si>
    <t>CB-Ocelot Re Ltd. Series 2023-1 Class A Reset 2025</t>
  </si>
  <si>
    <t>675951AA5</t>
  </si>
  <si>
    <t>Ocelot Re Ltd.</t>
  </si>
  <si>
    <t>CB-Ocelot Re Ltd. Series 2025-1 Class A</t>
  </si>
  <si>
    <t>675951AB3</t>
  </si>
  <si>
    <t>CB-Ocelot Re Ltd. Series 2025-1 Class B</t>
  </si>
  <si>
    <t>675951AC1</t>
  </si>
  <si>
    <t>CB-Bayou Re Ltd. Series 2024-1 Class A Reset 2025</t>
  </si>
  <si>
    <t>07304LAC5</t>
  </si>
  <si>
    <t>CB-Bayou Re Ltd. Series 2024-1 Class B Reset 2025</t>
  </si>
  <si>
    <t>07304LAD3</t>
  </si>
  <si>
    <t>CB-Bayou Re Ltd. Series 2025-1 Class A</t>
  </si>
  <si>
    <t>07304LAE1</t>
  </si>
  <si>
    <t>Term Aggregate (Three-Year)</t>
  </si>
  <si>
    <t>CB-Logistics Re Ltd. Series 2024-1 Class A</t>
  </si>
  <si>
    <t>54143LAB4</t>
  </si>
  <si>
    <t>Logistics Re Ltd.</t>
  </si>
  <si>
    <t>Earthquake / U.S. (excl. AK, HI)</t>
  </si>
  <si>
    <t>CB-Lower Ferry Re Ltd. Series 2023-1 Class B Reset 2025</t>
  </si>
  <si>
    <t>547915AB4</t>
  </si>
  <si>
    <t>Lower Ferry Re Ltd.</t>
  </si>
  <si>
    <t>Named Storm / Northeast U.S., Ohio</t>
  </si>
  <si>
    <t>CB-Luca Re Ltd. Series 2025-1 Class A</t>
  </si>
  <si>
    <t>54930CAA3</t>
  </si>
  <si>
    <t>Luca Re Ltd.</t>
  </si>
  <si>
    <t>Wildfire ; Fire Following Earthquake / California</t>
  </si>
  <si>
    <t>CB-Matterhorn Re Ltd. Series 2025-1 Class A</t>
  </si>
  <si>
    <t>577092AW9</t>
  </si>
  <si>
    <t>Earthquake / U.S., Canada ; Named Storm / U.S., Canada</t>
  </si>
  <si>
    <t>CB-Matterhorn Re Ltd. Series 2025-1 Class B</t>
  </si>
  <si>
    <t>577092AX7</t>
  </si>
  <si>
    <t>CB-Hexagon III Re Pte. Ltd. Series 2021-1 Class A Reset 2025</t>
  </si>
  <si>
    <t>CB-Matterhorn Re Ltd. Series 2025-2 Class A</t>
  </si>
  <si>
    <t>577092AY5</t>
  </si>
  <si>
    <t>CB-Hexagon III Re Pte. Ltd. Series 2021-1 Class B Reset 2025</t>
  </si>
  <si>
    <t>CB-Kizuna Re III Pte. Ltd. Series 2024-1 Class A Reset 2025</t>
  </si>
  <si>
    <t>49835JAB2</t>
  </si>
  <si>
    <t>Kizuna Re III Pte. Ltd.</t>
  </si>
  <si>
    <t>CB-Tomoni Re Pte. Ltd. Series 2024-1 Class A Reset 2025</t>
  </si>
  <si>
    <t>89009PAE8</t>
  </si>
  <si>
    <t>Tomoni Re Pte. Ltd.</t>
  </si>
  <si>
    <t>Typhoon ; Flood / Japan</t>
  </si>
  <si>
    <t>CB-Hexagon IV Re Ltd. Series 2023-1 Class B Reset 2025</t>
  </si>
  <si>
    <t>CB-Tomoni Re Pte. Ltd. Series 2024-1 Class B Reset 2025</t>
  </si>
  <si>
    <t>89009PAF5</t>
  </si>
  <si>
    <t>Typhoon ; Flood ; Earthquake / Japan</t>
  </si>
  <si>
    <t>CB-Nature Coast Re Ltd. Series 2023-1 Class A Reset 2025</t>
  </si>
  <si>
    <t>63901CAA9</t>
  </si>
  <si>
    <t>Named Storm / Florida, Louisiana</t>
  </si>
  <si>
    <t>CB-Nature Coast Re Ltd. Series 2023-1 Class B Reset 2025</t>
  </si>
  <si>
    <t>63901CAB7</t>
  </si>
  <si>
    <t>CB-Nature Coast Re Ltd. Series 2024-1 Class A Reset 2025</t>
  </si>
  <si>
    <t>63901CAC5</t>
  </si>
  <si>
    <t>CB-Nature Coast Re Ltd. Series 2025-2 Class A</t>
  </si>
  <si>
    <t>63901CAE1</t>
  </si>
  <si>
    <t>CB-Charles River Re Ltd. Series 2024-1 Class A Reset 2025</t>
  </si>
  <si>
    <t>159873AA6</t>
  </si>
  <si>
    <t>Charles River Re Ltd.</t>
  </si>
  <si>
    <t>Named Storm / Massachusetts, New Jersey, New York, South Carolina</t>
  </si>
  <si>
    <t>CB-Gateway Re Ltd. Series 2024-1 Class AA Reset 2025</t>
  </si>
  <si>
    <t>36779CAG1</t>
  </si>
  <si>
    <t>CB-Maschpark Re Ltd. Series 2024-1 Class A</t>
  </si>
  <si>
    <t>574591AA1</t>
  </si>
  <si>
    <t>Maschpark Re Ltd.</t>
  </si>
  <si>
    <t>Earthquake / Chile, Peru, Bolivia, Argentina</t>
  </si>
  <si>
    <t>CB-Greengrove Re Ltd. Series 2025-1 Class A</t>
  </si>
  <si>
    <t>39526JAA9</t>
  </si>
  <si>
    <t>Greengrove Re Ltd.</t>
  </si>
  <si>
    <t>Fire ; Fire Following Earthquake / California</t>
  </si>
  <si>
    <t>CB-Gateway Re Ltd. Series 2025-3 Class A</t>
  </si>
  <si>
    <t>CB-Lion Re DAC Series 2025-1 Class A</t>
  </si>
  <si>
    <t>XS3075449036</t>
  </si>
  <si>
    <t>Lion Re DAC</t>
  </si>
  <si>
    <t>Earthquake / Italy ; Windstorm / Europe</t>
  </si>
  <si>
    <t>CB-Lion Re DAC Series 2025-1 Class B</t>
  </si>
  <si>
    <t>XS3075450471</t>
  </si>
  <si>
    <t>Earthquake / Italy</t>
  </si>
  <si>
    <t>CB-Liongate Re DAC</t>
  </si>
  <si>
    <t>53625HAA4</t>
  </si>
  <si>
    <t>Liongate Re DAC</t>
  </si>
  <si>
    <t>Earthquake / Japan, Germany</t>
  </si>
  <si>
    <t>CB-Chartwell Re Ltd. Series 2025-1 Class C</t>
  </si>
  <si>
    <t>16140YAC6</t>
  </si>
  <si>
    <t>Chartwell Re Ltd.</t>
  </si>
  <si>
    <t>Named Storm / Alabama, Florida, Mississippi, New Jersey, New York, Rhode Island, Texas</t>
  </si>
  <si>
    <t>CB-Chartwell Re Ltd. Series 2025-1 Class B</t>
  </si>
  <si>
    <t>16140YAB8</t>
  </si>
  <si>
    <t>CB-Chartwell Re Ltd. Series 2025-1 Class A</t>
  </si>
  <si>
    <t>16140YAA0</t>
  </si>
  <si>
    <t>CB-Everglades Re II Ltd. Series 2024-1 Class A Reset 2025</t>
  </si>
  <si>
    <t>30014LAM6</t>
  </si>
  <si>
    <t>Everglades Re II Ltd.</t>
  </si>
  <si>
    <t>CB-Everglades Re II Ltd. Series 2024-1 Class B Reset 2025</t>
  </si>
  <si>
    <t>30014LAN4</t>
  </si>
  <si>
    <t>CB-Everglades Re II Ltd. Series 2024-1 Class C Reset 2025</t>
  </si>
  <si>
    <t>30014LAP9</t>
  </si>
  <si>
    <t>CB-Everglades Re II Ltd. Series 2025-1 Class A</t>
  </si>
  <si>
    <t>30014LAT1</t>
  </si>
  <si>
    <t>CB-Everglades Re II Ltd. Series 2025-1 Class B</t>
  </si>
  <si>
    <t>30014LAU8</t>
  </si>
  <si>
    <t>CB-Everglades Re II Ltd. Series 2025-1 Class C</t>
  </si>
  <si>
    <t>30014LAV6</t>
  </si>
  <si>
    <t>CB-Everglades Re II Ltd. Series 2025-1 Class D</t>
  </si>
  <si>
    <t>30014LAW4</t>
  </si>
  <si>
    <t>CB-Fish Pond Re Ltd. Series 2024-1 Class A Reset 2025</t>
  </si>
  <si>
    <t>33774EAA2</t>
  </si>
  <si>
    <t>Fish Pond Re Ltd.</t>
  </si>
  <si>
    <t>Named Storm / Texas</t>
  </si>
  <si>
    <t>CB-Mystic Re IV Ltd. Series 2024-1 Class A Reset 2025</t>
  </si>
  <si>
    <t>62865LAE7</t>
  </si>
  <si>
    <t>Mystic Re IV Ltd.</t>
  </si>
  <si>
    <t>CB-Northshore Re II Ltd. Series 2025-1 Class A</t>
  </si>
  <si>
    <t>666842AF6</t>
  </si>
  <si>
    <t>Northshore Re II Ltd.</t>
  </si>
  <si>
    <t>CB-Oceanside Re Ltd. Series 2025-1 Class A</t>
  </si>
  <si>
    <t>67550LAA4</t>
  </si>
  <si>
    <t>Oceanside Re Ltd.</t>
  </si>
  <si>
    <t>Named Storm ; Severe Thunderstorm ; Winter Storm / New York</t>
  </si>
  <si>
    <t>CB-Palm Re Ltd. Series 2024-1 Class A Reset 2025</t>
  </si>
  <si>
    <t>69664FAA6</t>
  </si>
  <si>
    <t>Palm Re Ltd.</t>
  </si>
  <si>
    <t>CB-Lower Ferry Re Ltd. Series 2023-1 Class A Reset 2025</t>
  </si>
  <si>
    <t>CB-Winston Re Ltd. Series 2024-1 Class A Reset 2025</t>
  </si>
  <si>
    <t>975660AA9</t>
  </si>
  <si>
    <t>Winston Re Ltd.</t>
  </si>
  <si>
    <t>CB-Winston Re Ltd. Series 2024-1 Class B Reset 2025</t>
  </si>
  <si>
    <t>975660AB7</t>
  </si>
  <si>
    <t>CB-Winston Re Ltd. Series 2025-1 Class A</t>
  </si>
  <si>
    <t>975660AC5</t>
  </si>
  <si>
    <t>CB-Matterhorn Re Ltd. Series 2021-1 Class A Reset 2025</t>
  </si>
  <si>
    <t>CB-Palm Re Ltd. Series 2025-1 Class A</t>
  </si>
  <si>
    <t>69664FAB4</t>
  </si>
  <si>
    <t>CB-Acorn Re Ltd. Series 2023-1 Class A</t>
  </si>
  <si>
    <t>00485YAD1</t>
  </si>
  <si>
    <t>Acorn Re Ltd.</t>
  </si>
  <si>
    <t>Earthquake / U.S., Mexico</t>
  </si>
  <si>
    <t>CB-Acorn Re Ltd. Series 2024-1 Class A</t>
  </si>
  <si>
    <t>00485YAE9</t>
  </si>
  <si>
    <t>Earthquake / U.S., Canada, Mexico</t>
  </si>
  <si>
    <t>CB-Ursa Re II Ltd. Series 2025-1 Class G</t>
  </si>
  <si>
    <t>91734PAH9</t>
  </si>
  <si>
    <t>Ursa Re II Ltd.</t>
  </si>
  <si>
    <t>CB-Ursa Re Ltd. Series 2023-2 Class E Reset 2024</t>
  </si>
  <si>
    <t>90323WAN0</t>
  </si>
  <si>
    <t>Ursa Re Ltd.</t>
  </si>
  <si>
    <t>CB-Kizuna Re III Pte. Ltd. Series 2021-1 Class A Reset 2023</t>
  </si>
  <si>
    <t>CB-Ursa Re Ltd. Series 2023-3 Class AA Reset 2024</t>
  </si>
  <si>
    <t>90323WAP5</t>
  </si>
  <si>
    <t>CB-Tomoni Re Pte. Ltd. Series 2022-1 Class A-1 Reset 2025</t>
  </si>
  <si>
    <t>CB-Ursa Re Ltd. Series 2023-3 Class D Reset 2024</t>
  </si>
  <si>
    <t>90323WAQ3</t>
  </si>
  <si>
    <t>CB-Tomoni Re Pte. Ltd. Series 2022-1 Class B-1 Reset 2025</t>
  </si>
  <si>
    <t>CB-Ursa Re Ltd. Series 2025-1 Class F</t>
  </si>
  <si>
    <t>90323WAR1</t>
  </si>
  <si>
    <t>CB-Montoya Re Ltd. Series 2022-2 Class A Reset 2025</t>
  </si>
  <si>
    <t>613752AB0</t>
  </si>
  <si>
    <t>Montoya Re Ltd.</t>
  </si>
  <si>
    <t>Per Occurrence (TY/FL) and 3-year Aggregate (EQ)</t>
  </si>
  <si>
    <t>CB-Totara Re Pte. Ltd. Series 2023-1 Class A Reset 2025</t>
  </si>
  <si>
    <t>XS2630523749</t>
  </si>
  <si>
    <t>Totara Re Pte. Ltd.</t>
  </si>
  <si>
    <t>Earthquake ; Landslide ; Hydrothermal Activity ; Volcanic Activity ; Tsunami ; Storm ; Flood / New Zealand</t>
  </si>
  <si>
    <t>CB-FloodSmart Re Ltd. Series 2023-1 Class A Reset 2025</t>
  </si>
  <si>
    <t>33975CAM7</t>
  </si>
  <si>
    <t>CB-FloodSmart Re Ltd. Series 2023-1 Class B Reset 2025</t>
  </si>
  <si>
    <t>33975CAN5</t>
  </si>
  <si>
    <t>CB-FloodSmart Re Ltd. Series 2024-1 Class A Reset 2025</t>
  </si>
  <si>
    <t>CB-FloodSmart Re Ltd. Series 2024-1 Class B Reset 2025</t>
  </si>
  <si>
    <t>33975CAQ8</t>
  </si>
  <si>
    <t>CB-Foundation Re IV Ltd. Series 2023-1 Class A Reset 2025</t>
  </si>
  <si>
    <t>349939AA6</t>
  </si>
  <si>
    <t>Foundation Re IV Ltd.</t>
  </si>
  <si>
    <t>Earthquake ; Tropical Cyclone / U.S., Puerto Rico</t>
  </si>
  <si>
    <t>CB-Gateway Re II Ltd. Series 2023-1 Class A Reset 2025</t>
  </si>
  <si>
    <t>CB-Quercus Re DAC Reset 2025</t>
  </si>
  <si>
    <t>XS2865536135</t>
  </si>
  <si>
    <t>Quercus Re DAC Reset 2025</t>
  </si>
  <si>
    <t>CB-Gateway Re Ltd. Series 2023-1 Class A Reset 2025</t>
  </si>
  <si>
    <t>CB-Sabine Re Ltd. Series 2024-1 Class A Reset 2025</t>
  </si>
  <si>
    <t>785628AA6</t>
  </si>
  <si>
    <t>Sabine Re Ltd.</t>
  </si>
  <si>
    <t>Named Storm / Louisiana, North Carolina, South Carolina, Texas</t>
  </si>
  <si>
    <t>CB-Gateway Re Ltd. Series 2023-1 Class B Reset 2025</t>
  </si>
  <si>
    <t>CB-Sakura Re Ltd. Series 2025-1 Class A</t>
  </si>
  <si>
    <t>79381MAD6</t>
  </si>
  <si>
    <t>Sakura Re Ltd.</t>
  </si>
  <si>
    <t>CB-Solis Re Ltd. Series 2025-1 Class A</t>
  </si>
  <si>
    <t>83423TAA9</t>
  </si>
  <si>
    <t>Solis Re Ltd.</t>
  </si>
  <si>
    <t>Named Storm / Northeast U.S., Mid-Atlantic U.S.</t>
  </si>
  <si>
    <t>CB-Taranis Re DAC Class A Reset 2025</t>
  </si>
  <si>
    <t>87609TAA6</t>
  </si>
  <si>
    <t>Taranis Re DAC Class A Reset 2025</t>
  </si>
  <si>
    <t>Windstorm ; Hail Storm / France</t>
  </si>
  <si>
    <t>CB-Mystic Re IV Ltd. Series 2023-1 Class A Reset 2025</t>
  </si>
  <si>
    <t>CB-Taranis Re DAC Class B Reset 2025</t>
  </si>
  <si>
    <t>87609TAB4</t>
  </si>
  <si>
    <t>Taranis Re DAC Class B Reset 2025</t>
  </si>
  <si>
    <t>CB-Wrigley Re Ltd. Series 2023-1 Class B Reset 2025</t>
  </si>
  <si>
    <t>982533AC5</t>
  </si>
  <si>
    <t>Wrigley Re Ltd.</t>
  </si>
  <si>
    <t>CB-Wrigley Re Ltd. Series 2023-1 Class A Reset 2025</t>
  </si>
  <si>
    <t>982533AB7</t>
  </si>
  <si>
    <t>Earthquake / U.S. (excl. CA), Canada ; Named Storm / U.S., Canada</t>
  </si>
  <si>
    <t>CB-Yosemite Re Ltd. Series 2025-1 Class A</t>
  </si>
  <si>
    <t>98740RAB5</t>
  </si>
  <si>
    <t>Yosemite Re Ltd.</t>
  </si>
  <si>
    <t>Indemnity ; 1st Gen Parametric</t>
  </si>
  <si>
    <t>Term Aggregate (Three-Year) ; Per Occurrence</t>
  </si>
  <si>
    <t>CB-Montoya Re Ltd. Series 2024-1 Class A Reset 2025</t>
  </si>
  <si>
    <t>613752AC8</t>
  </si>
  <si>
    <t>CB-Fuchsia Series 2023-1 Class A Reset 2025</t>
  </si>
  <si>
    <t>54180TAA3</t>
  </si>
  <si>
    <t>Fuchsia</t>
  </si>
  <si>
    <t>Earthquake ; Named Storm / U.S., Canada, Caribbean</t>
  </si>
  <si>
    <t>CB-Fuchsia 2 Series 2024-1 Class A Reset 2025</t>
  </si>
  <si>
    <t>541917AA8</t>
  </si>
  <si>
    <t>Fuchsia 2</t>
  </si>
  <si>
    <t>CB-Montoya Re Ltd. Series 2025-1 Class A Reset 2025</t>
  </si>
  <si>
    <t>613752AD6</t>
  </si>
  <si>
    <t>CB-Hypatia Ltd. Series 2023-1 Class A Reset 2025</t>
  </si>
  <si>
    <t>CB-Montoya Re Ltd. Series 2025-1 Class B Reset 2025</t>
  </si>
  <si>
    <t>613752AE4</t>
  </si>
  <si>
    <t>CB-Commonwealth Re Ltd. Series 2023-1 Class A Reset 2025</t>
  </si>
  <si>
    <t>CB-Mystic Re IV Ltd. Series 2025-1 Class A</t>
  </si>
  <si>
    <t>62865LAF4</t>
  </si>
  <si>
    <t>CB-Mystic Re IV Ltd. Series 2025-1 Class B</t>
  </si>
  <si>
    <t>62865LAG2</t>
  </si>
  <si>
    <t>CB-Mystic Re IV Ltd. Series 2025-1 Class C</t>
  </si>
  <si>
    <t>62865LAH0</t>
  </si>
  <si>
    <t>All Natural Perils / U.S., Canada, Caribbean</t>
  </si>
  <si>
    <t>CB-Alamo Re Ltd. Series 2023-1 Class A Reset 2025</t>
  </si>
  <si>
    <t>011395AJ9</t>
  </si>
  <si>
    <t>Alamo Re Ltd.</t>
  </si>
  <si>
    <t>CB-Alamo Re Ltd. Series 2024-1 Class A Reset 2025</t>
  </si>
  <si>
    <t>011395AN0</t>
  </si>
  <si>
    <t>CB-Alamo Re Ltd. Series 2024-1 Class B Reset 2025</t>
  </si>
  <si>
    <t>011395AP5</t>
  </si>
  <si>
    <t>CB-Alamo Re Ltd. Series 2024-1 Class C Reset 2025</t>
  </si>
  <si>
    <t>011395AQ3</t>
  </si>
  <si>
    <t>CB-Sanders Re III Ltd. Series 2023-2 Class A Reset 2025</t>
  </si>
  <si>
    <t>799925AA0</t>
  </si>
  <si>
    <t>Earthquake ; Named Storm ; Severe Thunderstorm ; Wildfire / Florida</t>
  </si>
  <si>
    <t>CB-Mona Lisa Re Ltd. Series 2025-1 Class A</t>
  </si>
  <si>
    <t>608800AJ7</t>
  </si>
  <si>
    <t>Mona Lisa Re Ltd.</t>
  </si>
  <si>
    <t>CB-Mountain Re Ltd. Series 2023-1 Class A Reset 2025</t>
  </si>
  <si>
    <t>CB-Mona Lisa Re Ltd. Series 2025-1 Class B</t>
  </si>
  <si>
    <t>608800AK4</t>
  </si>
  <si>
    <t>CB-Mona Lisa Re Ltd. Series 2024-1 Class A Reset 2025</t>
  </si>
  <si>
    <t>608800AH1</t>
  </si>
  <si>
    <t>CB-King Max Re DAC Reset 2025</t>
  </si>
  <si>
    <t>King Max Re DAC Reset 2025</t>
  </si>
  <si>
    <t>Windstorm ; Hail Storm ; Flood ; Earthquake / Germany</t>
  </si>
  <si>
    <t>CB-Orange Capital Re DAC Series 2024-1 Class A</t>
  </si>
  <si>
    <t>XS2931270180</t>
  </si>
  <si>
    <t>Orange Capital Re DAC</t>
  </si>
  <si>
    <t>Windstorm ; Severe Thunderstorm / Belgium, Netherlands</t>
  </si>
  <si>
    <t>CB-Orange Capital Re DAC Series 2023-1 Class A Reset 2025</t>
  </si>
  <si>
    <t>XS2722275190</t>
  </si>
  <si>
    <t>CB-Herbie Re Ltd. Series 2024-1 Class A Reset 2025</t>
  </si>
  <si>
    <t>42703VAG8</t>
  </si>
  <si>
    <t>CB-Herbie Re Ltd. Series 2024-1 Class B Reset 2025</t>
  </si>
  <si>
    <t>42703VAH6</t>
  </si>
  <si>
    <t>CB-Herbie Re Ltd. Series 2024-2 Class A</t>
  </si>
  <si>
    <t>42703VAJ2</t>
  </si>
  <si>
    <t>CB-Herbie Re Ltd. Series 2024-2 Class B</t>
  </si>
  <si>
    <t>42703VAK9</t>
  </si>
  <si>
    <t>CB-Herbie Re Ltd. Series 2024-2 Class C</t>
  </si>
  <si>
    <t>42703VAL7</t>
  </si>
  <si>
    <t>CB-Herbie Re Ltd. Series 2022-1 Class A Reset 2025</t>
  </si>
  <si>
    <t>42703VAF0</t>
  </si>
  <si>
    <t>Earthquake / U.S., Canada</t>
  </si>
  <si>
    <t>CB-Acorn Re Ltd. Series 2024-1 Class B</t>
  </si>
  <si>
    <t>CB-Sutter Re Ltd. Series 2023-1 Class E Reset 2025</t>
  </si>
  <si>
    <t>86944RAF5</t>
  </si>
  <si>
    <t>Sutter Re Ltd.</t>
  </si>
  <si>
    <t>CB-Ursa Re II Ltd. Series 2022-2 Class AA Reset 2024</t>
  </si>
  <si>
    <t>CB-Windmill III Re DAC Series 2024-1 Class A Reset 2025</t>
  </si>
  <si>
    <t>XS2845137541</t>
  </si>
  <si>
    <t>Windmill III Re DAC</t>
  </si>
  <si>
    <t>Windstorm / Europe</t>
  </si>
  <si>
    <t>CB-Ursa Re II Ltd. Series 2022-2 Class C Reset 2024</t>
  </si>
  <si>
    <t>CB-Titania Re Ltd. Series 2024-1 Class A</t>
  </si>
  <si>
    <t>888329AE9</t>
  </si>
  <si>
    <t>Titania Re Ltd.</t>
  </si>
  <si>
    <t>CB-Titania Re Ltd. Series 2024-1 Class B</t>
  </si>
  <si>
    <t>888329AF6</t>
  </si>
  <si>
    <t>CB-Titania Re Ltd. Series 2025-1 Class A</t>
  </si>
  <si>
    <t>888329AG4</t>
  </si>
  <si>
    <t>Earthquake ; Named Storm / U.S., Canada, Puerto Rico, U.S. VI ; Wildfire / U.S.</t>
  </si>
  <si>
    <t>CB-Titania Re Ltd. Series 2025-1 Class B</t>
  </si>
  <si>
    <t>888329AH2</t>
  </si>
  <si>
    <t>CB-Kendall Re Ltd. Series 2024-1 Class A Reset 2025</t>
  </si>
  <si>
    <t>48878QAD2</t>
  </si>
  <si>
    <t>Kendall Re Ltd.</t>
  </si>
  <si>
    <t>Earthquake / U.S., Canada, Puerto Rico, U.S. VI ; Named Storm / U.S., Puerto Rico, U.S. VI ; Windstorm / Europe</t>
  </si>
  <si>
    <t>CB-Ursa Re Ltd. Series 2023-1 Class AA Reset 2024</t>
  </si>
  <si>
    <t>CB-Kendall Re Ltd. Series 2024-1 Class B Reset 2025</t>
  </si>
  <si>
    <t>48878QAE0</t>
  </si>
  <si>
    <t>CB-Ursa Re Ltd. Series 2023-1 Class C Reset 2024</t>
  </si>
  <si>
    <t>CB-Sanders Re II Ltd. Series 2025-2 Class A</t>
  </si>
  <si>
    <t>80001AAA6</t>
  </si>
  <si>
    <t>CB-High Point Re Ltd. Series 2023-1 Class A Reset 2025</t>
  </si>
  <si>
    <t>429932AA4</t>
  </si>
  <si>
    <t>High Point Re Ltd.</t>
  </si>
  <si>
    <t>All Natural Perils / U.S. (excl. CA, FL, LA, TX)</t>
  </si>
  <si>
    <t>CB-Azzurro Re II DAC Series 2024-1 Class A Reset 2025</t>
  </si>
  <si>
    <t>XS2788028178</t>
  </si>
  <si>
    <t>Azzurro Re II DAC</t>
  </si>
  <si>
    <t>Earthquake / Italy, Austria, Croatia, France, Monaco, Slovenia, Switzerland</t>
  </si>
  <si>
    <t>CB-Blue Sky Re DAC Series 2023-1 Reset 2025</t>
  </si>
  <si>
    <t>09605UAA1</t>
  </si>
  <si>
    <t>Blue Sky Re DAC</t>
  </si>
  <si>
    <t>CB-Atlas Capital DAC Series 2025-1 Class A</t>
  </si>
  <si>
    <t>049207AC7</t>
  </si>
  <si>
    <t>Earthquake / U.S., Canada, Puerto Rico, U.S. VI ; Named Storm / U.S., Caribbean, Puerto Rico, U.S. VI ; Windstorm / Europe</t>
  </si>
  <si>
    <t>CB-Commonwealth Re Ltd. Series 2025-1 Class A</t>
  </si>
  <si>
    <t>203235AC0</t>
  </si>
  <si>
    <t>Commonwealth Re Ltd.</t>
  </si>
  <si>
    <t>CB-First Coast Re IV Ltd. Series 2025-1 Class B</t>
  </si>
  <si>
    <t>31969UAC1</t>
  </si>
  <si>
    <t>First Coast Re IV Ltd.</t>
  </si>
  <si>
    <t>CB-3264 Re Ltd. Series 2025-1 Class B</t>
  </si>
  <si>
    <t>88577CAF8</t>
  </si>
  <si>
    <t>EQ / North America</t>
  </si>
  <si>
    <t>CB-3264 Re Ltd. Series 2025-1 Class A</t>
  </si>
  <si>
    <t>88577CAE1</t>
  </si>
  <si>
    <t xml:space="preserve">EQ / North America, Australasia, Japan, Italy, Turkey ; NS / North America, Australia, Japan ; EW / Europe ; Other Wind / U.S., Canada </t>
  </si>
  <si>
    <t>CB-2001 CAT Re Ltd. Series 2023-1 Class A Reset 2025</t>
  </si>
  <si>
    <t>90215BAB3</t>
  </si>
  <si>
    <t>2001 CAT Re Ltd.</t>
  </si>
  <si>
    <t>CB-Herbie Re Ltd. Series 2025-1 Class A</t>
  </si>
  <si>
    <t>CB-Res Re 2025 Ltd. Series 2025-II Class 2</t>
  </si>
  <si>
    <t>76091JAA6</t>
  </si>
  <si>
    <t>Per Occurrence (Named Storm) and Annual Aggregate (Earthquake)</t>
  </si>
  <si>
    <t>CB-Topanga Re Ltd. Series 2021-1 Class A Reset 2025</t>
  </si>
  <si>
    <t>CB-Mona Lisa Re Ltd. Series 2023-1 Class A Reset 2025</t>
  </si>
  <si>
    <t>CB-Mona Lisa Re Ltd. Series 2023-1 Class B Reset 2025</t>
  </si>
  <si>
    <t>CB-Locke Tavern Re Ltd. Series 2023-1 Class A Reset 2025</t>
  </si>
  <si>
    <t>CB-Long Point Re IV Ltd. Series 2022-1 Class A Reset 2025</t>
  </si>
  <si>
    <t>CB-Sutter Re Ltd. Series 2023-1 Class B Reset 2025</t>
  </si>
  <si>
    <t>CB-Titania Re Ltd. Series 2023-1 Class A Reset 2025</t>
  </si>
  <si>
    <t>CB-Titania Re Ltd. Series 2023-1 Class B Reset 2025</t>
  </si>
  <si>
    <t>CB-Bonanza Re Ltd. Series 2023-1 Class A Reset 2025</t>
  </si>
  <si>
    <t>CB-Eiffel Re Ltd. Series 2023-1 Class A Reset 2025</t>
  </si>
  <si>
    <t>CB-Atlas Capital DAC Series 2023-1 Class A Reset 2025</t>
  </si>
  <si>
    <t>CB-First Coast Re IV Ltd. Series 2025-1 Class A</t>
  </si>
  <si>
    <t>Setting</t>
  </si>
  <si>
    <t>Value</t>
  </si>
  <si>
    <t>Notes</t>
  </si>
  <si>
    <t>SQL Server</t>
  </si>
  <si>
    <t>SINDHU-LAPTOP</t>
  </si>
  <si>
    <t>Database</t>
  </si>
  <si>
    <t>ARAPL_CONFIGURATION_v13</t>
  </si>
  <si>
    <t>Auth Mode</t>
  </si>
  <si>
    <t>Windows</t>
  </si>
  <si>
    <t>SQL Login</t>
  </si>
  <si>
    <t>SQL Password</t>
  </si>
  <si>
    <t>NumberOfPeriods</t>
  </si>
  <si>
    <t>Debug</t>
  </si>
  <si>
    <t>Stored Procedure</t>
  </si>
  <si>
    <t>dbo.usp_GetActivityRegionPerilAAL_DealAAL</t>
  </si>
  <si>
    <t>Prereq Workbook Path</t>
  </si>
  <si>
    <t>Full path to the workbook containing the Prereq sheet the Output data gets copied into</t>
  </si>
  <si>
    <t>Prereq Sheet Name</t>
  </si>
  <si>
    <t>Prereq</t>
  </si>
  <si>
    <t>Name of the tab in the Prereq workbook to paste Output into (blank = "Prereq")</t>
  </si>
  <si>
    <t>C:\Users\ARAPL_USER\Desktop\UI Testing\Portfolio Test\PortfolioTestCasefiles\Portfolio_flow_test_cases_Format_Filled.xlsx</t>
  </si>
  <si>
    <t>DealAAL</t>
  </si>
  <si>
    <t>AAL_WWAP</t>
  </si>
  <si>
    <t>AAL_US Hurricanes</t>
  </si>
  <si>
    <t>AAL_Southeast Hurricane</t>
  </si>
  <si>
    <t>AAL_Other US WS</t>
  </si>
  <si>
    <t>AAL_Northeast Hurricane</t>
  </si>
  <si>
    <t>AAL_Florida Hurricane</t>
  </si>
  <si>
    <t>AAL_Texas Hurricane</t>
  </si>
  <si>
    <t>AAL_California Earthquake</t>
  </si>
  <si>
    <t>AAL_US Earthquake xl CA</t>
  </si>
  <si>
    <t>AAL_Japan Typhoon</t>
  </si>
  <si>
    <t>AAL_Japan Earthquake</t>
  </si>
  <si>
    <t>AAL_WildFire</t>
  </si>
  <si>
    <t>AAL_InlandFlood</t>
  </si>
  <si>
    <t>AAL_SevereStorm</t>
  </si>
  <si>
    <t>AAL_Terrorism</t>
  </si>
  <si>
    <t>AAL_Europe Tropical Cyclone</t>
  </si>
  <si>
    <t>AAL_0</t>
  </si>
  <si>
    <t>AAL_All other WS</t>
  </si>
  <si>
    <t>AAL_all other EQ</t>
  </si>
  <si>
    <t>AAL_Mexico Earthquake</t>
  </si>
  <si>
    <t>AAL_Mexico Hurricane</t>
  </si>
  <si>
    <t>AAL_South America Earthquake</t>
  </si>
  <si>
    <t>AAL_Louisiana Hurricane</t>
  </si>
  <si>
    <t>AAL_Europe Earthquake</t>
  </si>
  <si>
    <t>AAL_US Winter Storm</t>
  </si>
  <si>
    <t>AAL_US WildFire</t>
  </si>
  <si>
    <t>AAL_US Severe Storm</t>
  </si>
  <si>
    <t>AAL_US Inland Flood</t>
  </si>
  <si>
    <t>AAL_Gulf of Mexico 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</si>
</sst>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000_);_(* \(#,##0.0000\);_(* &quot;-&quot;??_);_(@_)"/>
    <numFmt numFmtId="165" formatCode="yyyy\-mm\-dd\ hh:mm:ss"/>
  </numFmts>
  <fonts count="6"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1"/>
      <color rgb="FF0000FF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 Unicode MS"/>
    </font>
  </fonts>
  <fills count="4">
    <fill>
      <patternFill patternType="none"/>
    </fill>
    <fill>
      <patternFill patternType="gray125"/>
    </fill>
    <fill>
      <patternFill patternType="solid">
        <fgColor rgb="FF305496"/>
      </patternFill>
    </fill>
    <fill>
      <patternFill patternType="solid">
        <fgColor rgb="FF305496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4" fillId="0" borderId="0"/>
    <xf numFmtId="9" fontId="4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"/>
    </xf>
    <xf numFmtId="0" fontId="2" fillId="0" borderId="0" xfId="0" applyFont="1"/>
    <xf numFmtId="0" fontId="1" fillId="2" borderId="0" xfId="0" applyFont="1" applyFill="1"/>
    <xf numFmtId="0" fontId="3" fillId="0" borderId="0" xfId="0" applyFont="1"/>
    <xf numFmtId="164" fontId="0" fillId="0" borderId="0" xfId="1" applyNumberFormat="1" applyFont="1"/>
    <xf numFmtId="164" fontId="1" fillId="2" borderId="0" xfId="1" applyNumberFormat="1" applyFont="1" applyFill="1" applyAlignment="1">
      <alignment horizontal="center"/>
    </xf>
    <xf numFmtId="14" fontId="0" fillId="0" borderId="0" xfId="0" applyNumberFormat="1"/>
    <xf numFmtId="0" fontId="5" fillId="0" borderId="0" xfId="0" applyFont="1" applyAlignment="1">
      <alignment vertical="center"/>
    </xf>
    <xf numFmtId="9" fontId="0" fillId="0" borderId="0" xfId="2" applyFont="1"/>
    <xf numFmtId="0" fontId="1" fillId="3" borderId="0" xfId="0" applyFont="1" applyFill="1" applyAlignment="1">
      <alignment horizontal="center"/>
    </xf>
    <xf numFmtId="2" fontId="1" fillId="3" borderId="0" xfId="0" applyNumberFormat="1" applyFont="1" applyFill="1" applyAlignment="1">
      <alignment horizontal="center"/>
    </xf>
    <xf numFmtId="2" fontId="0" fillId="0" borderId="0" xfId="0" applyNumberFormat="1"/>
    <xf numFmtId="165" fontId="1" fillId="3" borderId="0" xfId="0" applyNumberFormat="1" applyFont="1" applyFill="1" applyAlignment="1">
      <alignment horizontal="center"/>
    </xf>
    <xf numFmtId="165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29"/>
  <sheetViews>
    <sheetView workbookViewId="0"/>
  </sheetViews>
  <sheetFormatPr defaultRowHeight="14.4"/>
  <cols>
    <col min="1" max="1" width="52.44140625" customWidth="1"/>
    <col min="2" max="2" width="18" customWidth="1"/>
    <col min="3" max="3" width="14" customWidth="1"/>
    <col min="4" max="4" width="14" style="5" customWidth="1"/>
  </cols>
  <sheetData>
    <row r="1" spans="1:4">
      <c r="A1" s="1" t="s">
        <v>0</v>
      </c>
      <c r="B1" s="1" t="s">
        <v>1</v>
      </c>
      <c r="C1" s="1" t="s">
        <v>2</v>
      </c>
      <c r="D1" s="6" t="s">
        <v>3</v>
      </c>
    </row>
    <row r="2" spans="1:4">
      <c r="A2" t="s">
        <v>22</v>
      </c>
      <c r="B2">
        <v>332</v>
      </c>
      <c r="C2">
        <v>332</v>
      </c>
      <c r="D2" s="5">
        <v>1</v>
      </c>
    </row>
    <row r="3" spans="1:4">
      <c r="A3" t="s">
        <v>28</v>
      </c>
      <c r="B3">
        <v>333</v>
      </c>
      <c r="C3">
        <v>333</v>
      </c>
      <c r="D3" s="5">
        <v>1</v>
      </c>
    </row>
    <row r="4" spans="1:4">
      <c r="A4" t="s">
        <v>38</v>
      </c>
      <c r="B4">
        <v>334</v>
      </c>
      <c r="C4">
        <v>334</v>
      </c>
      <c r="D4" s="5">
        <v>1</v>
      </c>
    </row>
    <row r="5" spans="1:4">
      <c r="A5" t="s">
        <v>41</v>
      </c>
      <c r="B5">
        <v>335</v>
      </c>
      <c r="C5">
        <v>335</v>
      </c>
      <c r="D5" s="5">
        <v>1</v>
      </c>
    </row>
    <row r="6" spans="1:4">
      <c r="A6" t="s">
        <v>44</v>
      </c>
      <c r="B6">
        <v>336</v>
      </c>
      <c r="C6">
        <v>336</v>
      </c>
      <c r="D6" s="5">
        <v>1</v>
      </c>
    </row>
    <row r="7" spans="1:4">
      <c r="A7" t="s">
        <v>49</v>
      </c>
      <c r="B7">
        <v>337</v>
      </c>
      <c r="C7">
        <v>337</v>
      </c>
      <c r="D7" s="5">
        <v>1</v>
      </c>
    </row>
    <row r="8" spans="1:4">
      <c r="A8" t="s">
        <v>5</v>
      </c>
      <c r="B8">
        <v>1</v>
      </c>
      <c r="C8">
        <v>1</v>
      </c>
      <c r="D8" s="5">
        <v>1</v>
      </c>
    </row>
    <row r="9" spans="1:4">
      <c r="A9" t="s">
        <v>34</v>
      </c>
      <c r="B9">
        <v>2</v>
      </c>
      <c r="C9">
        <v>2</v>
      </c>
      <c r="D9" s="5">
        <v>1</v>
      </c>
    </row>
    <row r="10" spans="1:4">
      <c r="A10" t="s">
        <v>59</v>
      </c>
      <c r="B10">
        <v>3</v>
      </c>
      <c r="C10">
        <v>3</v>
      </c>
      <c r="D10" s="5">
        <v>1</v>
      </c>
    </row>
    <row r="11" spans="1:4">
      <c r="A11" t="s">
        <v>39</v>
      </c>
      <c r="B11">
        <v>4</v>
      </c>
      <c r="C11">
        <v>4</v>
      </c>
      <c r="D11" s="5">
        <v>1</v>
      </c>
    </row>
    <row r="12" spans="1:4">
      <c r="A12" t="s">
        <v>42</v>
      </c>
      <c r="B12">
        <v>5</v>
      </c>
      <c r="C12">
        <v>5</v>
      </c>
      <c r="D12" s="5">
        <v>1</v>
      </c>
    </row>
    <row r="13" spans="1:4">
      <c r="A13" t="s">
        <v>45</v>
      </c>
      <c r="B13">
        <v>6</v>
      </c>
      <c r="C13">
        <v>6</v>
      </c>
      <c r="D13" s="5">
        <v>1</v>
      </c>
    </row>
    <row r="14" spans="1:4">
      <c r="A14" t="s">
        <v>76</v>
      </c>
      <c r="B14">
        <v>7</v>
      </c>
      <c r="C14">
        <v>7</v>
      </c>
      <c r="D14" s="5">
        <v>1</v>
      </c>
    </row>
    <row r="15" spans="1:4">
      <c r="A15" t="s">
        <v>50</v>
      </c>
      <c r="B15">
        <v>8</v>
      </c>
      <c r="C15">
        <v>8</v>
      </c>
      <c r="D15" s="5">
        <v>1</v>
      </c>
    </row>
    <row r="16" spans="1:4">
      <c r="A16" t="s">
        <v>54</v>
      </c>
      <c r="B16">
        <v>9</v>
      </c>
      <c r="C16">
        <v>9</v>
      </c>
      <c r="D16" s="5">
        <v>1</v>
      </c>
    </row>
    <row r="17" spans="1:4">
      <c r="A17" t="s">
        <v>56</v>
      </c>
      <c r="B17">
        <v>10</v>
      </c>
      <c r="C17">
        <v>10</v>
      </c>
      <c r="D17" s="5">
        <v>1</v>
      </c>
    </row>
    <row r="18" spans="1:4">
      <c r="A18" t="s">
        <v>60</v>
      </c>
      <c r="B18">
        <v>11</v>
      </c>
      <c r="C18">
        <v>11</v>
      </c>
      <c r="D18" s="5">
        <v>1</v>
      </c>
    </row>
    <row r="19" spans="1:4">
      <c r="A19" t="s">
        <v>94</v>
      </c>
      <c r="B19">
        <v>12</v>
      </c>
      <c r="C19">
        <v>12</v>
      </c>
      <c r="D19" s="5">
        <v>1</v>
      </c>
    </row>
    <row r="20" spans="1:4">
      <c r="A20" t="s">
        <v>97</v>
      </c>
      <c r="B20">
        <v>13</v>
      </c>
      <c r="C20">
        <v>13</v>
      </c>
      <c r="D20" s="5">
        <v>1</v>
      </c>
    </row>
    <row r="21" spans="1:4">
      <c r="A21" t="s">
        <v>64</v>
      </c>
      <c r="B21">
        <v>14</v>
      </c>
      <c r="C21">
        <v>14</v>
      </c>
      <c r="D21" s="5">
        <v>1</v>
      </c>
    </row>
    <row r="22" spans="1:4">
      <c r="A22" t="s">
        <v>68</v>
      </c>
      <c r="B22">
        <v>15</v>
      </c>
      <c r="C22">
        <v>15</v>
      </c>
      <c r="D22" s="5">
        <v>1</v>
      </c>
    </row>
    <row r="23" spans="1:4">
      <c r="A23" t="s">
        <v>72</v>
      </c>
      <c r="B23">
        <v>16</v>
      </c>
      <c r="C23">
        <v>16</v>
      </c>
      <c r="D23" s="5">
        <v>1</v>
      </c>
    </row>
    <row r="24" spans="1:4">
      <c r="A24" t="s">
        <v>78</v>
      </c>
      <c r="B24">
        <v>17</v>
      </c>
      <c r="C24">
        <v>17</v>
      </c>
      <c r="D24" s="5">
        <v>1</v>
      </c>
    </row>
    <row r="25" spans="1:4">
      <c r="A25" t="s">
        <v>82</v>
      </c>
      <c r="B25">
        <v>327</v>
      </c>
      <c r="C25">
        <v>327</v>
      </c>
      <c r="D25" s="5">
        <v>1</v>
      </c>
    </row>
    <row r="26" spans="1:4">
      <c r="A26" t="s">
        <v>85</v>
      </c>
      <c r="B26">
        <v>331</v>
      </c>
      <c r="C26">
        <v>331</v>
      </c>
      <c r="D26" s="5">
        <v>1</v>
      </c>
    </row>
    <row r="27" spans="1:4">
      <c r="A27" t="s">
        <v>119</v>
      </c>
      <c r="B27">
        <v>18</v>
      </c>
      <c r="C27">
        <v>18</v>
      </c>
      <c r="D27" s="5">
        <v>1</v>
      </c>
    </row>
    <row r="28" spans="1:4">
      <c r="A28" t="s">
        <v>87</v>
      </c>
      <c r="B28">
        <v>19</v>
      </c>
      <c r="C28">
        <v>19</v>
      </c>
      <c r="D28" s="5">
        <v>1</v>
      </c>
    </row>
    <row r="29" spans="1:4">
      <c r="A29" t="s">
        <v>125</v>
      </c>
      <c r="B29">
        <v>20</v>
      </c>
      <c r="C29">
        <v>20</v>
      </c>
      <c r="D29" s="5">
        <v>1</v>
      </c>
    </row>
    <row r="30" spans="1:4">
      <c r="A30" t="s">
        <v>91</v>
      </c>
      <c r="B30">
        <v>21</v>
      </c>
      <c r="C30">
        <v>21</v>
      </c>
      <c r="D30" s="5">
        <v>1</v>
      </c>
    </row>
    <row r="31" spans="1:4">
      <c r="A31" t="s">
        <v>95</v>
      </c>
      <c r="B31">
        <v>22</v>
      </c>
      <c r="C31">
        <v>22</v>
      </c>
      <c r="D31" s="5">
        <v>1</v>
      </c>
    </row>
    <row r="32" spans="1:4">
      <c r="A32" t="s">
        <v>98</v>
      </c>
      <c r="B32">
        <v>23</v>
      </c>
      <c r="C32">
        <v>23</v>
      </c>
      <c r="D32" s="5">
        <v>1</v>
      </c>
    </row>
    <row r="33" spans="1:4">
      <c r="A33" t="s">
        <v>102</v>
      </c>
      <c r="B33">
        <v>24</v>
      </c>
      <c r="C33">
        <v>24</v>
      </c>
      <c r="D33" s="5">
        <v>1</v>
      </c>
    </row>
    <row r="34" spans="1:4">
      <c r="A34" t="s">
        <v>138</v>
      </c>
      <c r="B34">
        <v>25</v>
      </c>
      <c r="C34">
        <v>25</v>
      </c>
      <c r="D34" s="5">
        <v>1</v>
      </c>
    </row>
    <row r="35" spans="1:4">
      <c r="A35" t="s">
        <v>104</v>
      </c>
      <c r="B35">
        <v>26</v>
      </c>
      <c r="C35">
        <v>26</v>
      </c>
      <c r="D35" s="5">
        <v>1</v>
      </c>
    </row>
    <row r="36" spans="1:4">
      <c r="A36" t="s">
        <v>107</v>
      </c>
      <c r="B36">
        <v>27</v>
      </c>
      <c r="C36">
        <v>27</v>
      </c>
      <c r="D36" s="5">
        <v>1</v>
      </c>
    </row>
    <row r="37" spans="1:4">
      <c r="A37" t="s">
        <v>109</v>
      </c>
      <c r="B37">
        <v>28</v>
      </c>
      <c r="C37">
        <v>28</v>
      </c>
      <c r="D37" s="5">
        <v>1</v>
      </c>
    </row>
    <row r="38" spans="1:4">
      <c r="A38" t="s">
        <v>111</v>
      </c>
      <c r="B38">
        <v>29</v>
      </c>
      <c r="C38">
        <v>29</v>
      </c>
      <c r="D38" s="5">
        <v>1</v>
      </c>
    </row>
    <row r="39" spans="1:4">
      <c r="A39" t="s">
        <v>115</v>
      </c>
      <c r="B39">
        <v>30</v>
      </c>
      <c r="C39">
        <v>30</v>
      </c>
      <c r="D39" s="5">
        <v>1</v>
      </c>
    </row>
    <row r="40" spans="1:4">
      <c r="A40" t="s">
        <v>156</v>
      </c>
      <c r="B40">
        <v>31</v>
      </c>
      <c r="C40">
        <v>31</v>
      </c>
      <c r="D40" s="5">
        <v>1</v>
      </c>
    </row>
    <row r="41" spans="1:4">
      <c r="A41" t="s">
        <v>159</v>
      </c>
      <c r="B41">
        <v>32</v>
      </c>
      <c r="C41">
        <v>32</v>
      </c>
      <c r="D41" s="5">
        <v>1</v>
      </c>
    </row>
    <row r="42" spans="1:4">
      <c r="A42" t="s">
        <v>120</v>
      </c>
      <c r="B42">
        <v>33</v>
      </c>
      <c r="C42">
        <v>33</v>
      </c>
      <c r="D42" s="5">
        <v>1</v>
      </c>
    </row>
    <row r="43" spans="1:4">
      <c r="A43" t="s">
        <v>123</v>
      </c>
      <c r="B43">
        <v>34</v>
      </c>
      <c r="C43">
        <v>34</v>
      </c>
      <c r="D43" s="5">
        <v>1</v>
      </c>
    </row>
    <row r="44" spans="1:4">
      <c r="A44" t="s">
        <v>126</v>
      </c>
      <c r="B44">
        <v>35</v>
      </c>
      <c r="C44">
        <v>35</v>
      </c>
      <c r="D44" s="5">
        <v>1</v>
      </c>
    </row>
    <row r="45" spans="1:4">
      <c r="A45" t="s">
        <v>129</v>
      </c>
      <c r="B45">
        <v>36</v>
      </c>
      <c r="C45">
        <v>36</v>
      </c>
      <c r="D45" s="5">
        <v>1</v>
      </c>
    </row>
    <row r="46" spans="1:4">
      <c r="A46" t="s">
        <v>131</v>
      </c>
      <c r="B46">
        <v>37</v>
      </c>
      <c r="C46">
        <v>37</v>
      </c>
      <c r="D46" s="5">
        <v>1</v>
      </c>
    </row>
    <row r="47" spans="1:4">
      <c r="A47" t="s">
        <v>134</v>
      </c>
      <c r="B47">
        <v>38</v>
      </c>
      <c r="C47">
        <v>38</v>
      </c>
      <c r="D47" s="5">
        <v>1</v>
      </c>
    </row>
    <row r="48" spans="1:4">
      <c r="A48" t="s">
        <v>136</v>
      </c>
      <c r="B48">
        <v>39</v>
      </c>
      <c r="C48">
        <v>39</v>
      </c>
      <c r="D48" s="5">
        <v>1</v>
      </c>
    </row>
    <row r="49" spans="1:4">
      <c r="A49" t="s">
        <v>139</v>
      </c>
      <c r="B49">
        <v>40</v>
      </c>
      <c r="C49">
        <v>40</v>
      </c>
      <c r="D49" s="5">
        <v>1</v>
      </c>
    </row>
    <row r="50" spans="1:4">
      <c r="A50" t="s">
        <v>143</v>
      </c>
      <c r="B50">
        <v>41</v>
      </c>
      <c r="C50">
        <v>41</v>
      </c>
      <c r="D50" s="5">
        <v>1</v>
      </c>
    </row>
    <row r="51" spans="1:4">
      <c r="A51" t="s">
        <v>190</v>
      </c>
      <c r="B51">
        <v>42</v>
      </c>
      <c r="C51">
        <v>42</v>
      </c>
      <c r="D51" s="5">
        <v>1</v>
      </c>
    </row>
    <row r="52" spans="1:4">
      <c r="A52" t="s">
        <v>195</v>
      </c>
      <c r="B52">
        <v>43</v>
      </c>
      <c r="C52">
        <v>43</v>
      </c>
      <c r="D52" s="5">
        <v>1</v>
      </c>
    </row>
    <row r="53" spans="1:4">
      <c r="A53" t="s">
        <v>145</v>
      </c>
      <c r="B53">
        <v>44</v>
      </c>
      <c r="C53">
        <v>44</v>
      </c>
      <c r="D53" s="5">
        <v>1</v>
      </c>
    </row>
    <row r="54" spans="1:4">
      <c r="A54" t="s">
        <v>149</v>
      </c>
      <c r="B54">
        <v>45</v>
      </c>
      <c r="C54">
        <v>45</v>
      </c>
      <c r="D54" s="5">
        <v>1</v>
      </c>
    </row>
    <row r="55" spans="1:4">
      <c r="A55" t="s">
        <v>151</v>
      </c>
      <c r="B55">
        <v>46</v>
      </c>
      <c r="C55">
        <v>46</v>
      </c>
      <c r="D55" s="5">
        <v>1</v>
      </c>
    </row>
    <row r="56" spans="1:4">
      <c r="A56" t="s">
        <v>154</v>
      </c>
      <c r="B56">
        <v>47</v>
      </c>
      <c r="C56">
        <v>47</v>
      </c>
      <c r="D56" s="5">
        <v>1</v>
      </c>
    </row>
    <row r="57" spans="1:4">
      <c r="A57" t="s">
        <v>207</v>
      </c>
      <c r="B57">
        <v>48</v>
      </c>
      <c r="C57">
        <v>48</v>
      </c>
      <c r="D57" s="5">
        <v>1</v>
      </c>
    </row>
    <row r="58" spans="1:4">
      <c r="A58" t="s">
        <v>209</v>
      </c>
      <c r="B58">
        <v>49</v>
      </c>
      <c r="C58">
        <v>49</v>
      </c>
      <c r="D58" s="5">
        <v>1</v>
      </c>
    </row>
    <row r="59" spans="1:4">
      <c r="A59" t="s">
        <v>157</v>
      </c>
      <c r="B59">
        <v>50</v>
      </c>
      <c r="C59">
        <v>50</v>
      </c>
      <c r="D59" s="5">
        <v>1</v>
      </c>
    </row>
    <row r="60" spans="1:4">
      <c r="A60" t="s">
        <v>160</v>
      </c>
      <c r="B60">
        <v>51</v>
      </c>
      <c r="C60">
        <v>51</v>
      </c>
      <c r="D60" s="5">
        <v>1</v>
      </c>
    </row>
    <row r="61" spans="1:4">
      <c r="A61" t="s">
        <v>162</v>
      </c>
      <c r="B61">
        <v>52</v>
      </c>
      <c r="C61">
        <v>52</v>
      </c>
      <c r="D61" s="5">
        <v>1</v>
      </c>
    </row>
    <row r="62" spans="1:4">
      <c r="A62" t="s">
        <v>164</v>
      </c>
      <c r="B62">
        <v>53</v>
      </c>
      <c r="C62">
        <v>53</v>
      </c>
      <c r="D62" s="5">
        <v>1</v>
      </c>
    </row>
    <row r="63" spans="1:4">
      <c r="A63" t="s">
        <v>166</v>
      </c>
      <c r="B63">
        <v>54</v>
      </c>
      <c r="C63">
        <v>54</v>
      </c>
      <c r="D63" s="5">
        <v>1</v>
      </c>
    </row>
    <row r="64" spans="1:4">
      <c r="A64" t="s">
        <v>224</v>
      </c>
      <c r="B64">
        <v>55</v>
      </c>
      <c r="C64">
        <v>55</v>
      </c>
      <c r="D64" s="5">
        <v>1</v>
      </c>
    </row>
    <row r="65" spans="1:4">
      <c r="A65" t="s">
        <v>227</v>
      </c>
      <c r="B65">
        <v>56</v>
      </c>
      <c r="C65">
        <v>56</v>
      </c>
      <c r="D65" s="5">
        <v>1</v>
      </c>
    </row>
    <row r="66" spans="1:4">
      <c r="A66" t="s">
        <v>170</v>
      </c>
      <c r="B66">
        <v>57</v>
      </c>
      <c r="C66">
        <v>57</v>
      </c>
      <c r="D66" s="5">
        <v>1</v>
      </c>
    </row>
    <row r="67" spans="1:4">
      <c r="A67" t="s">
        <v>173</v>
      </c>
      <c r="B67">
        <v>58</v>
      </c>
      <c r="C67">
        <v>58</v>
      </c>
      <c r="D67" s="5">
        <v>1</v>
      </c>
    </row>
    <row r="68" spans="1:4">
      <c r="A68" t="s">
        <v>175</v>
      </c>
      <c r="B68">
        <v>59</v>
      </c>
      <c r="C68">
        <v>59</v>
      </c>
      <c r="D68" s="5">
        <v>1</v>
      </c>
    </row>
    <row r="69" spans="1:4">
      <c r="A69" t="s">
        <v>178</v>
      </c>
      <c r="B69">
        <v>60</v>
      </c>
      <c r="C69">
        <v>60</v>
      </c>
      <c r="D69" s="5">
        <v>1</v>
      </c>
    </row>
    <row r="70" spans="1:4">
      <c r="A70" t="s">
        <v>182</v>
      </c>
      <c r="B70">
        <v>61</v>
      </c>
      <c r="C70">
        <v>61</v>
      </c>
      <c r="D70" s="5">
        <v>1</v>
      </c>
    </row>
    <row r="71" spans="1:4">
      <c r="A71" t="s">
        <v>186</v>
      </c>
      <c r="B71">
        <v>62</v>
      </c>
      <c r="C71">
        <v>62</v>
      </c>
      <c r="D71" s="5">
        <v>1</v>
      </c>
    </row>
    <row r="72" spans="1:4">
      <c r="A72" t="s">
        <v>191</v>
      </c>
      <c r="B72">
        <v>63</v>
      </c>
      <c r="C72">
        <v>63</v>
      </c>
      <c r="D72" s="5">
        <v>1</v>
      </c>
    </row>
    <row r="73" spans="1:4">
      <c r="A73" t="s">
        <v>196</v>
      </c>
      <c r="B73">
        <v>64</v>
      </c>
      <c r="C73">
        <v>64</v>
      </c>
      <c r="D73" s="5">
        <v>1</v>
      </c>
    </row>
    <row r="74" spans="1:4">
      <c r="A74" t="s">
        <v>199</v>
      </c>
      <c r="B74">
        <v>65</v>
      </c>
      <c r="C74">
        <v>65</v>
      </c>
      <c r="D74" s="5">
        <v>1</v>
      </c>
    </row>
    <row r="75" spans="1:4">
      <c r="A75" t="s">
        <v>201</v>
      </c>
      <c r="B75">
        <v>66</v>
      </c>
      <c r="C75">
        <v>66</v>
      </c>
      <c r="D75" s="5">
        <v>1</v>
      </c>
    </row>
    <row r="76" spans="1:4">
      <c r="A76" t="s">
        <v>203</v>
      </c>
      <c r="B76">
        <v>67</v>
      </c>
      <c r="C76">
        <v>67</v>
      </c>
      <c r="D76" s="5">
        <v>1</v>
      </c>
    </row>
    <row r="77" spans="1:4">
      <c r="A77" t="s">
        <v>205</v>
      </c>
      <c r="B77">
        <v>68</v>
      </c>
      <c r="C77">
        <v>68</v>
      </c>
      <c r="D77" s="5">
        <v>1</v>
      </c>
    </row>
    <row r="78" spans="1:4">
      <c r="A78" t="s">
        <v>208</v>
      </c>
      <c r="B78">
        <v>69</v>
      </c>
      <c r="C78">
        <v>69</v>
      </c>
      <c r="D78" s="5">
        <v>1</v>
      </c>
    </row>
    <row r="79" spans="1:4">
      <c r="A79" t="s">
        <v>210</v>
      </c>
      <c r="B79">
        <v>70</v>
      </c>
      <c r="C79">
        <v>70</v>
      </c>
      <c r="D79" s="5">
        <v>1</v>
      </c>
    </row>
    <row r="80" spans="1:4">
      <c r="A80" t="s">
        <v>212</v>
      </c>
      <c r="B80">
        <v>71</v>
      </c>
      <c r="C80">
        <v>71</v>
      </c>
      <c r="D80" s="5">
        <v>1</v>
      </c>
    </row>
    <row r="81" spans="1:4">
      <c r="A81" t="s">
        <v>214</v>
      </c>
      <c r="B81">
        <v>72</v>
      </c>
      <c r="C81">
        <v>72</v>
      </c>
      <c r="D81" s="5">
        <v>1</v>
      </c>
    </row>
    <row r="82" spans="1:4">
      <c r="A82" t="s">
        <v>216</v>
      </c>
      <c r="B82">
        <v>73</v>
      </c>
      <c r="C82">
        <v>73</v>
      </c>
      <c r="D82" s="5">
        <v>1</v>
      </c>
    </row>
    <row r="83" spans="1:4">
      <c r="A83" t="s">
        <v>218</v>
      </c>
      <c r="B83">
        <v>74</v>
      </c>
      <c r="C83">
        <v>74</v>
      </c>
      <c r="D83" s="5">
        <v>1</v>
      </c>
    </row>
    <row r="84" spans="1:4">
      <c r="A84" t="s">
        <v>220</v>
      </c>
      <c r="B84">
        <v>75</v>
      </c>
      <c r="C84">
        <v>75</v>
      </c>
      <c r="D84" s="5">
        <v>1</v>
      </c>
    </row>
    <row r="85" spans="1:4">
      <c r="A85" t="s">
        <v>225</v>
      </c>
      <c r="B85">
        <v>76</v>
      </c>
      <c r="C85">
        <v>76</v>
      </c>
      <c r="D85" s="5">
        <v>1</v>
      </c>
    </row>
    <row r="86" spans="1:4">
      <c r="A86" t="s">
        <v>228</v>
      </c>
      <c r="B86">
        <v>77</v>
      </c>
      <c r="C86">
        <v>77</v>
      </c>
      <c r="D86" s="5">
        <v>1</v>
      </c>
    </row>
    <row r="87" spans="1:4">
      <c r="A87" t="s">
        <v>232</v>
      </c>
      <c r="B87">
        <v>78</v>
      </c>
      <c r="C87">
        <v>78</v>
      </c>
      <c r="D87" s="5">
        <v>1</v>
      </c>
    </row>
    <row r="88" spans="1:4">
      <c r="A88" t="s">
        <v>234</v>
      </c>
      <c r="B88">
        <v>79</v>
      </c>
      <c r="C88">
        <v>79</v>
      </c>
      <c r="D88" s="5">
        <v>1</v>
      </c>
    </row>
    <row r="89" spans="1:4">
      <c r="A89" t="s">
        <v>291</v>
      </c>
      <c r="B89">
        <v>80</v>
      </c>
      <c r="C89">
        <v>80</v>
      </c>
      <c r="D89" s="5">
        <v>1</v>
      </c>
    </row>
    <row r="90" spans="1:4">
      <c r="A90" t="s">
        <v>238</v>
      </c>
      <c r="B90">
        <v>81</v>
      </c>
      <c r="C90">
        <v>81</v>
      </c>
      <c r="D90" s="5">
        <v>1</v>
      </c>
    </row>
    <row r="91" spans="1:4">
      <c r="A91" t="s">
        <v>241</v>
      </c>
      <c r="B91">
        <v>82</v>
      </c>
      <c r="C91">
        <v>82</v>
      </c>
      <c r="D91" s="5">
        <v>1</v>
      </c>
    </row>
    <row r="92" spans="1:4">
      <c r="A92" t="s">
        <v>243</v>
      </c>
      <c r="B92">
        <v>83</v>
      </c>
      <c r="C92">
        <v>83</v>
      </c>
      <c r="D92" s="5">
        <v>1</v>
      </c>
    </row>
    <row r="93" spans="1:4">
      <c r="A93" t="s">
        <v>245</v>
      </c>
      <c r="B93">
        <v>84</v>
      </c>
      <c r="C93">
        <v>84</v>
      </c>
      <c r="D93" s="5">
        <v>1</v>
      </c>
    </row>
    <row r="94" spans="1:4">
      <c r="A94" t="s">
        <v>246</v>
      </c>
      <c r="B94">
        <v>85</v>
      </c>
      <c r="C94">
        <v>85</v>
      </c>
      <c r="D94" s="5">
        <v>1</v>
      </c>
    </row>
    <row r="95" spans="1:4">
      <c r="A95" t="s">
        <v>249</v>
      </c>
      <c r="B95">
        <v>86</v>
      </c>
      <c r="C95">
        <v>86</v>
      </c>
      <c r="D95" s="5">
        <v>1</v>
      </c>
    </row>
    <row r="96" spans="1:4">
      <c r="A96" t="s">
        <v>251</v>
      </c>
      <c r="B96">
        <v>87</v>
      </c>
      <c r="C96">
        <v>87</v>
      </c>
      <c r="D96" s="5">
        <v>1</v>
      </c>
    </row>
    <row r="97" spans="1:4">
      <c r="A97" t="s">
        <v>253</v>
      </c>
      <c r="B97">
        <v>88</v>
      </c>
      <c r="C97">
        <v>88</v>
      </c>
      <c r="D97" s="5">
        <v>1</v>
      </c>
    </row>
    <row r="98" spans="1:4">
      <c r="A98" t="s">
        <v>255</v>
      </c>
      <c r="B98">
        <v>89</v>
      </c>
      <c r="C98">
        <v>89</v>
      </c>
      <c r="D98" s="5">
        <v>1</v>
      </c>
    </row>
    <row r="99" spans="1:4">
      <c r="A99" t="s">
        <v>257</v>
      </c>
      <c r="B99">
        <v>90</v>
      </c>
      <c r="C99">
        <v>90</v>
      </c>
      <c r="D99" s="5">
        <v>1</v>
      </c>
    </row>
    <row r="100" spans="1:4">
      <c r="A100" t="s">
        <v>259</v>
      </c>
      <c r="B100">
        <v>91</v>
      </c>
      <c r="C100">
        <v>91</v>
      </c>
      <c r="D100" s="5">
        <v>1</v>
      </c>
    </row>
    <row r="101" spans="1:4">
      <c r="A101" t="s">
        <v>261</v>
      </c>
      <c r="B101">
        <v>92</v>
      </c>
      <c r="C101">
        <v>92</v>
      </c>
      <c r="D101" s="5">
        <v>1</v>
      </c>
    </row>
    <row r="102" spans="1:4">
      <c r="A102" t="s">
        <v>263</v>
      </c>
      <c r="B102">
        <v>93</v>
      </c>
      <c r="C102">
        <v>93</v>
      </c>
      <c r="D102" s="5">
        <v>1</v>
      </c>
    </row>
    <row r="103" spans="1:4">
      <c r="A103" t="s">
        <v>265</v>
      </c>
      <c r="B103">
        <v>94</v>
      </c>
      <c r="C103">
        <v>94</v>
      </c>
      <c r="D103" s="5">
        <v>1</v>
      </c>
    </row>
    <row r="104" spans="1:4">
      <c r="A104" t="s">
        <v>267</v>
      </c>
      <c r="B104">
        <v>95</v>
      </c>
      <c r="C104">
        <v>95</v>
      </c>
      <c r="D104" s="5">
        <v>1</v>
      </c>
    </row>
    <row r="105" spans="1:4">
      <c r="A105" t="s">
        <v>340</v>
      </c>
      <c r="B105">
        <v>96</v>
      </c>
      <c r="C105">
        <v>96</v>
      </c>
      <c r="D105" s="5">
        <v>1</v>
      </c>
    </row>
    <row r="106" spans="1:4">
      <c r="A106" t="s">
        <v>344</v>
      </c>
      <c r="B106">
        <v>97</v>
      </c>
      <c r="C106">
        <v>97</v>
      </c>
      <c r="D106" s="5">
        <v>1</v>
      </c>
    </row>
    <row r="107" spans="1:4">
      <c r="A107" t="s">
        <v>270</v>
      </c>
      <c r="B107">
        <v>98</v>
      </c>
      <c r="C107">
        <v>98</v>
      </c>
      <c r="D107" s="5">
        <v>1</v>
      </c>
    </row>
    <row r="108" spans="1:4">
      <c r="A108" t="s">
        <v>274</v>
      </c>
      <c r="B108">
        <v>99</v>
      </c>
      <c r="C108">
        <v>99</v>
      </c>
      <c r="D108" s="5">
        <v>1</v>
      </c>
    </row>
    <row r="109" spans="1:4">
      <c r="A109" t="s">
        <v>276</v>
      </c>
      <c r="B109">
        <v>100</v>
      </c>
      <c r="C109">
        <v>100</v>
      </c>
      <c r="D109" s="5">
        <v>1</v>
      </c>
    </row>
    <row r="110" spans="1:4">
      <c r="A110" t="s">
        <v>280</v>
      </c>
      <c r="B110">
        <v>101</v>
      </c>
      <c r="C110">
        <v>101</v>
      </c>
      <c r="D110" s="5">
        <v>1</v>
      </c>
    </row>
    <row r="111" spans="1:4">
      <c r="A111" t="s">
        <v>284</v>
      </c>
      <c r="B111">
        <v>102</v>
      </c>
      <c r="C111">
        <v>102</v>
      </c>
      <c r="D111" s="5">
        <v>1</v>
      </c>
    </row>
    <row r="112" spans="1:4">
      <c r="A112" t="s">
        <v>287</v>
      </c>
      <c r="B112">
        <v>103</v>
      </c>
      <c r="C112">
        <v>103</v>
      </c>
      <c r="D112" s="5">
        <v>1</v>
      </c>
    </row>
    <row r="113" spans="1:4">
      <c r="A113" t="s">
        <v>292</v>
      </c>
      <c r="B113">
        <v>104</v>
      </c>
      <c r="C113">
        <v>104</v>
      </c>
      <c r="D113" s="5">
        <v>1</v>
      </c>
    </row>
    <row r="114" spans="1:4">
      <c r="A114" t="s">
        <v>295</v>
      </c>
      <c r="B114">
        <v>105</v>
      </c>
      <c r="C114">
        <v>105</v>
      </c>
      <c r="D114" s="5">
        <v>1</v>
      </c>
    </row>
    <row r="115" spans="1:4">
      <c r="A115" t="s">
        <v>374</v>
      </c>
      <c r="B115">
        <v>106</v>
      </c>
      <c r="C115">
        <v>106</v>
      </c>
      <c r="D115" s="5">
        <v>1</v>
      </c>
    </row>
    <row r="116" spans="1:4">
      <c r="A116" t="s">
        <v>298</v>
      </c>
      <c r="B116">
        <v>107</v>
      </c>
      <c r="C116">
        <v>107</v>
      </c>
      <c r="D116" s="5">
        <v>1</v>
      </c>
    </row>
    <row r="117" spans="1:4">
      <c r="A117" t="s">
        <v>302</v>
      </c>
      <c r="B117">
        <v>108</v>
      </c>
      <c r="C117">
        <v>108</v>
      </c>
      <c r="D117" s="5">
        <v>1</v>
      </c>
    </row>
    <row r="118" spans="1:4">
      <c r="A118" t="s">
        <v>305</v>
      </c>
      <c r="B118">
        <v>109</v>
      </c>
      <c r="C118">
        <v>109</v>
      </c>
      <c r="D118" s="5">
        <v>1</v>
      </c>
    </row>
    <row r="119" spans="1:4">
      <c r="A119" t="s">
        <v>307</v>
      </c>
      <c r="B119">
        <v>110</v>
      </c>
      <c r="C119">
        <v>110</v>
      </c>
      <c r="D119" s="5">
        <v>1</v>
      </c>
    </row>
    <row r="120" spans="1:4">
      <c r="A120" t="s">
        <v>309</v>
      </c>
      <c r="B120">
        <v>111</v>
      </c>
      <c r="C120">
        <v>111</v>
      </c>
      <c r="D120" s="5">
        <v>1</v>
      </c>
    </row>
    <row r="121" spans="1:4">
      <c r="A121" t="s">
        <v>311</v>
      </c>
      <c r="B121">
        <v>112</v>
      </c>
      <c r="C121">
        <v>112</v>
      </c>
      <c r="D121" s="5">
        <v>1</v>
      </c>
    </row>
    <row r="122" spans="1:4">
      <c r="A122" t="s">
        <v>313</v>
      </c>
      <c r="B122">
        <v>113</v>
      </c>
      <c r="C122">
        <v>113</v>
      </c>
      <c r="D122" s="5">
        <v>1</v>
      </c>
    </row>
    <row r="123" spans="1:4">
      <c r="A123" t="s">
        <v>315</v>
      </c>
      <c r="B123">
        <v>114</v>
      </c>
      <c r="C123">
        <v>114</v>
      </c>
      <c r="D123" s="5">
        <v>1</v>
      </c>
    </row>
    <row r="124" spans="1:4">
      <c r="A124" t="s">
        <v>318</v>
      </c>
      <c r="B124">
        <v>115</v>
      </c>
      <c r="C124">
        <v>115</v>
      </c>
      <c r="D124" s="5">
        <v>1</v>
      </c>
    </row>
    <row r="125" spans="1:4">
      <c r="A125" t="s">
        <v>322</v>
      </c>
      <c r="B125">
        <v>116</v>
      </c>
      <c r="C125">
        <v>116</v>
      </c>
      <c r="D125" s="5">
        <v>1</v>
      </c>
    </row>
    <row r="126" spans="1:4">
      <c r="A126" t="s">
        <v>325</v>
      </c>
      <c r="B126">
        <v>117</v>
      </c>
      <c r="C126">
        <v>117</v>
      </c>
      <c r="D126" s="5">
        <v>1</v>
      </c>
    </row>
    <row r="127" spans="1:4">
      <c r="A127" t="s">
        <v>329</v>
      </c>
      <c r="B127">
        <v>118</v>
      </c>
      <c r="C127">
        <v>118</v>
      </c>
      <c r="D127" s="5">
        <v>1</v>
      </c>
    </row>
    <row r="128" spans="1:4">
      <c r="A128" t="s">
        <v>333</v>
      </c>
      <c r="B128">
        <v>119</v>
      </c>
      <c r="C128">
        <v>119</v>
      </c>
      <c r="D128" s="5">
        <v>1</v>
      </c>
    </row>
    <row r="129" spans="1:4">
      <c r="A129" t="s">
        <v>337</v>
      </c>
      <c r="B129">
        <v>120</v>
      </c>
      <c r="C129">
        <v>120</v>
      </c>
      <c r="D129" s="5">
        <v>1</v>
      </c>
    </row>
    <row r="130" spans="1:4">
      <c r="A130" t="s">
        <v>341</v>
      </c>
      <c r="B130">
        <v>121</v>
      </c>
      <c r="C130">
        <v>121</v>
      </c>
      <c r="D130" s="5">
        <v>1</v>
      </c>
    </row>
    <row r="131" spans="1:4">
      <c r="A131" t="s">
        <v>416</v>
      </c>
      <c r="B131">
        <v>122</v>
      </c>
      <c r="C131">
        <v>122</v>
      </c>
      <c r="D131" s="5">
        <v>1</v>
      </c>
    </row>
    <row r="132" spans="1:4">
      <c r="A132" t="s">
        <v>345</v>
      </c>
      <c r="B132">
        <v>123</v>
      </c>
      <c r="C132">
        <v>123</v>
      </c>
      <c r="D132" s="5">
        <v>1</v>
      </c>
    </row>
    <row r="133" spans="1:4">
      <c r="A133" t="s">
        <v>349</v>
      </c>
      <c r="B133">
        <v>124</v>
      </c>
      <c r="C133">
        <v>124</v>
      </c>
      <c r="D133" s="5">
        <v>1</v>
      </c>
    </row>
    <row r="134" spans="1:4">
      <c r="A134" t="s">
        <v>423</v>
      </c>
      <c r="B134">
        <v>125</v>
      </c>
      <c r="C134">
        <v>125</v>
      </c>
      <c r="D134" s="5">
        <v>1</v>
      </c>
    </row>
    <row r="135" spans="1:4">
      <c r="A135" t="s">
        <v>352</v>
      </c>
      <c r="B135">
        <v>126</v>
      </c>
      <c r="C135">
        <v>126</v>
      </c>
      <c r="D135" s="5">
        <v>1</v>
      </c>
    </row>
    <row r="136" spans="1:4">
      <c r="A136" t="s">
        <v>354</v>
      </c>
      <c r="B136">
        <v>127</v>
      </c>
      <c r="C136">
        <v>127</v>
      </c>
      <c r="D136" s="5">
        <v>1</v>
      </c>
    </row>
    <row r="137" spans="1:4">
      <c r="A137" t="s">
        <v>356</v>
      </c>
      <c r="B137">
        <v>128</v>
      </c>
      <c r="C137">
        <v>128</v>
      </c>
      <c r="D137" s="5">
        <v>1</v>
      </c>
    </row>
    <row r="138" spans="1:4">
      <c r="A138" t="s">
        <v>358</v>
      </c>
      <c r="B138">
        <v>129</v>
      </c>
      <c r="C138">
        <v>129</v>
      </c>
      <c r="D138" s="5">
        <v>1</v>
      </c>
    </row>
    <row r="139" spans="1:4">
      <c r="A139" t="s">
        <v>362</v>
      </c>
      <c r="B139">
        <v>130</v>
      </c>
      <c r="C139">
        <v>130</v>
      </c>
      <c r="D139" s="5">
        <v>1</v>
      </c>
    </row>
    <row r="140" spans="1:4">
      <c r="A140" t="s">
        <v>366</v>
      </c>
      <c r="B140">
        <v>131</v>
      </c>
      <c r="C140">
        <v>131</v>
      </c>
      <c r="D140" s="5">
        <v>1</v>
      </c>
    </row>
    <row r="141" spans="1:4">
      <c r="A141" t="s">
        <v>370</v>
      </c>
      <c r="B141">
        <v>132</v>
      </c>
      <c r="C141">
        <v>132</v>
      </c>
      <c r="D141" s="5">
        <v>1</v>
      </c>
    </row>
    <row r="142" spans="1:4">
      <c r="A142" t="s">
        <v>447</v>
      </c>
      <c r="B142">
        <v>133</v>
      </c>
      <c r="C142">
        <v>133</v>
      </c>
      <c r="D142" s="5">
        <v>1</v>
      </c>
    </row>
    <row r="143" spans="1:4">
      <c r="A143" t="s">
        <v>450</v>
      </c>
      <c r="B143">
        <v>134</v>
      </c>
      <c r="C143">
        <v>134</v>
      </c>
      <c r="D143" s="5">
        <v>1</v>
      </c>
    </row>
    <row r="144" spans="1:4">
      <c r="A144" t="s">
        <v>375</v>
      </c>
      <c r="B144">
        <v>135</v>
      </c>
      <c r="C144">
        <v>135</v>
      </c>
      <c r="D144" s="5">
        <v>1</v>
      </c>
    </row>
    <row r="145" spans="1:4">
      <c r="A145" t="s">
        <v>377</v>
      </c>
      <c r="B145">
        <v>136</v>
      </c>
      <c r="C145">
        <v>136</v>
      </c>
      <c r="D145" s="5">
        <v>1</v>
      </c>
    </row>
    <row r="146" spans="1:4">
      <c r="A146" t="s">
        <v>379</v>
      </c>
      <c r="B146">
        <v>137</v>
      </c>
      <c r="C146">
        <v>137</v>
      </c>
      <c r="D146" s="5">
        <v>1</v>
      </c>
    </row>
    <row r="147" spans="1:4">
      <c r="A147" t="s">
        <v>381</v>
      </c>
      <c r="B147">
        <v>138</v>
      </c>
      <c r="C147">
        <v>138</v>
      </c>
      <c r="D147" s="5">
        <v>1</v>
      </c>
    </row>
    <row r="148" spans="1:4">
      <c r="A148" t="s">
        <v>384</v>
      </c>
      <c r="B148">
        <v>139</v>
      </c>
      <c r="C148">
        <v>139</v>
      </c>
      <c r="D148" s="5">
        <v>1</v>
      </c>
    </row>
    <row r="149" spans="1:4">
      <c r="A149" t="s">
        <v>386</v>
      </c>
      <c r="B149">
        <v>140</v>
      </c>
      <c r="C149">
        <v>140</v>
      </c>
      <c r="D149" s="5">
        <v>1</v>
      </c>
    </row>
    <row r="150" spans="1:4">
      <c r="A150" t="s">
        <v>388</v>
      </c>
      <c r="B150">
        <v>141</v>
      </c>
      <c r="C150">
        <v>141</v>
      </c>
      <c r="D150" s="5">
        <v>1</v>
      </c>
    </row>
    <row r="151" spans="1:4">
      <c r="A151" t="s">
        <v>472</v>
      </c>
      <c r="B151">
        <v>142</v>
      </c>
      <c r="C151">
        <v>142</v>
      </c>
      <c r="D151" s="5">
        <v>1</v>
      </c>
    </row>
    <row r="152" spans="1:4">
      <c r="A152" t="s">
        <v>390</v>
      </c>
      <c r="B152">
        <v>143</v>
      </c>
      <c r="C152">
        <v>143</v>
      </c>
      <c r="D152" s="5">
        <v>1</v>
      </c>
    </row>
    <row r="153" spans="1:4">
      <c r="A153" t="s">
        <v>394</v>
      </c>
      <c r="B153">
        <v>144</v>
      </c>
      <c r="C153">
        <v>144</v>
      </c>
      <c r="D153" s="5">
        <v>1</v>
      </c>
    </row>
    <row r="154" spans="1:4">
      <c r="A154" t="s">
        <v>398</v>
      </c>
      <c r="B154">
        <v>145</v>
      </c>
      <c r="C154">
        <v>145</v>
      </c>
      <c r="D154" s="5">
        <v>1</v>
      </c>
    </row>
    <row r="155" spans="1:4">
      <c r="A155" t="s">
        <v>400</v>
      </c>
      <c r="B155">
        <v>146</v>
      </c>
      <c r="C155">
        <v>146</v>
      </c>
      <c r="D155" s="5">
        <v>1</v>
      </c>
    </row>
    <row r="156" spans="1:4">
      <c r="A156" t="s">
        <v>402</v>
      </c>
      <c r="B156">
        <v>147</v>
      </c>
      <c r="C156">
        <v>147</v>
      </c>
      <c r="D156" s="5">
        <v>1</v>
      </c>
    </row>
    <row r="157" spans="1:4">
      <c r="A157" t="s">
        <v>404</v>
      </c>
      <c r="B157">
        <v>148</v>
      </c>
      <c r="C157">
        <v>148</v>
      </c>
      <c r="D157" s="5">
        <v>1</v>
      </c>
    </row>
    <row r="158" spans="1:4">
      <c r="A158" t="s">
        <v>406</v>
      </c>
      <c r="B158">
        <v>149</v>
      </c>
      <c r="C158">
        <v>149</v>
      </c>
      <c r="D158" s="5">
        <v>1</v>
      </c>
    </row>
    <row r="159" spans="1:4">
      <c r="A159" t="s">
        <v>410</v>
      </c>
      <c r="B159">
        <v>150</v>
      </c>
      <c r="C159">
        <v>150</v>
      </c>
      <c r="D159" s="5">
        <v>1</v>
      </c>
    </row>
    <row r="160" spans="1:4">
      <c r="A160" t="s">
        <v>413</v>
      </c>
      <c r="B160">
        <v>151</v>
      </c>
      <c r="C160">
        <v>151</v>
      </c>
      <c r="D160" s="5">
        <v>1</v>
      </c>
    </row>
    <row r="161" spans="1:4">
      <c r="A161" t="s">
        <v>417</v>
      </c>
      <c r="B161">
        <v>152</v>
      </c>
      <c r="C161">
        <v>152</v>
      </c>
      <c r="D161" s="5">
        <v>1</v>
      </c>
    </row>
    <row r="162" spans="1:4">
      <c r="A162" t="s">
        <v>419</v>
      </c>
      <c r="B162">
        <v>153</v>
      </c>
      <c r="C162">
        <v>153</v>
      </c>
      <c r="D162" s="5">
        <v>1</v>
      </c>
    </row>
    <row r="163" spans="1:4">
      <c r="A163" t="s">
        <v>421</v>
      </c>
      <c r="B163">
        <v>154</v>
      </c>
      <c r="C163">
        <v>154</v>
      </c>
      <c r="D163" s="5">
        <v>1</v>
      </c>
    </row>
    <row r="164" spans="1:4">
      <c r="A164" t="s">
        <v>424</v>
      </c>
      <c r="B164">
        <v>155</v>
      </c>
      <c r="C164">
        <v>155</v>
      </c>
      <c r="D164" s="5">
        <v>1</v>
      </c>
    </row>
    <row r="165" spans="1:4">
      <c r="A165" t="s">
        <v>510</v>
      </c>
      <c r="B165">
        <v>156</v>
      </c>
      <c r="C165">
        <v>156</v>
      </c>
      <c r="D165" s="5">
        <v>1</v>
      </c>
    </row>
    <row r="166" spans="1:4">
      <c r="A166" t="s">
        <v>513</v>
      </c>
      <c r="B166">
        <v>157</v>
      </c>
      <c r="C166">
        <v>157</v>
      </c>
      <c r="D166" s="5">
        <v>1</v>
      </c>
    </row>
    <row r="167" spans="1:4">
      <c r="A167" t="s">
        <v>427</v>
      </c>
      <c r="B167">
        <v>158</v>
      </c>
      <c r="C167">
        <v>158</v>
      </c>
      <c r="D167" s="5">
        <v>1</v>
      </c>
    </row>
    <row r="168" spans="1:4">
      <c r="A168" t="s">
        <v>521</v>
      </c>
      <c r="B168">
        <v>159</v>
      </c>
      <c r="C168">
        <v>159</v>
      </c>
      <c r="D168" s="5">
        <v>1</v>
      </c>
    </row>
    <row r="169" spans="1:4">
      <c r="A169" t="s">
        <v>431</v>
      </c>
      <c r="B169">
        <v>160</v>
      </c>
      <c r="C169">
        <v>160</v>
      </c>
      <c r="D169" s="5">
        <v>1</v>
      </c>
    </row>
    <row r="170" spans="1:4">
      <c r="A170" t="s">
        <v>435</v>
      </c>
      <c r="B170">
        <v>161</v>
      </c>
      <c r="C170">
        <v>161</v>
      </c>
      <c r="D170" s="5">
        <v>1</v>
      </c>
    </row>
    <row r="171" spans="1:4">
      <c r="A171" t="s">
        <v>437</v>
      </c>
      <c r="B171">
        <v>162</v>
      </c>
      <c r="C171">
        <v>162</v>
      </c>
      <c r="D171" s="5">
        <v>1</v>
      </c>
    </row>
    <row r="172" spans="1:4">
      <c r="A172" t="s">
        <v>439</v>
      </c>
      <c r="B172">
        <v>163</v>
      </c>
      <c r="C172">
        <v>163</v>
      </c>
      <c r="D172" s="5">
        <v>1</v>
      </c>
    </row>
    <row r="173" spans="1:4">
      <c r="A173" t="s">
        <v>442</v>
      </c>
      <c r="B173">
        <v>164</v>
      </c>
      <c r="C173">
        <v>164</v>
      </c>
      <c r="D173" s="5">
        <v>1</v>
      </c>
    </row>
    <row r="174" spans="1:4">
      <c r="A174" t="s">
        <v>445</v>
      </c>
      <c r="B174">
        <v>165</v>
      </c>
      <c r="C174">
        <v>165</v>
      </c>
      <c r="D174" s="5">
        <v>1</v>
      </c>
    </row>
    <row r="175" spans="1:4">
      <c r="A175" t="s">
        <v>448</v>
      </c>
      <c r="B175">
        <v>166</v>
      </c>
      <c r="C175">
        <v>166</v>
      </c>
      <c r="D175" s="5">
        <v>1</v>
      </c>
    </row>
    <row r="176" spans="1:4">
      <c r="A176" t="s">
        <v>451</v>
      </c>
      <c r="B176">
        <v>167</v>
      </c>
      <c r="C176">
        <v>167</v>
      </c>
      <c r="D176" s="5">
        <v>1</v>
      </c>
    </row>
    <row r="177" spans="1:4">
      <c r="A177" t="s">
        <v>548</v>
      </c>
      <c r="B177">
        <v>168</v>
      </c>
      <c r="C177">
        <v>168</v>
      </c>
      <c r="D177" s="5">
        <v>1</v>
      </c>
    </row>
    <row r="178" spans="1:4">
      <c r="A178" t="s">
        <v>454</v>
      </c>
      <c r="B178">
        <v>169</v>
      </c>
      <c r="C178">
        <v>169</v>
      </c>
      <c r="D178" s="5">
        <v>1</v>
      </c>
    </row>
    <row r="179" spans="1:4">
      <c r="A179" t="s">
        <v>458</v>
      </c>
      <c r="B179">
        <v>170</v>
      </c>
      <c r="C179">
        <v>170</v>
      </c>
      <c r="D179" s="5">
        <v>1</v>
      </c>
    </row>
    <row r="180" spans="1:4">
      <c r="A180" t="s">
        <v>460</v>
      </c>
      <c r="B180">
        <v>171</v>
      </c>
      <c r="C180">
        <v>171</v>
      </c>
      <c r="D180" s="5">
        <v>1</v>
      </c>
    </row>
    <row r="181" spans="1:4">
      <c r="A181" t="s">
        <v>462</v>
      </c>
      <c r="B181">
        <v>172</v>
      </c>
      <c r="C181">
        <v>172</v>
      </c>
      <c r="D181" s="5">
        <v>1</v>
      </c>
    </row>
    <row r="182" spans="1:4">
      <c r="A182" t="s">
        <v>465</v>
      </c>
      <c r="B182">
        <v>173</v>
      </c>
      <c r="C182">
        <v>173</v>
      </c>
      <c r="D182" s="5">
        <v>1</v>
      </c>
    </row>
    <row r="183" spans="1:4">
      <c r="A183" t="s">
        <v>467</v>
      </c>
      <c r="B183">
        <v>174</v>
      </c>
      <c r="C183">
        <v>174</v>
      </c>
      <c r="D183" s="5">
        <v>1</v>
      </c>
    </row>
    <row r="184" spans="1:4">
      <c r="A184" t="s">
        <v>469</v>
      </c>
      <c r="B184">
        <v>175</v>
      </c>
      <c r="C184">
        <v>175</v>
      </c>
      <c r="D184" s="5">
        <v>1</v>
      </c>
    </row>
    <row r="185" spans="1:4">
      <c r="A185" t="s">
        <v>473</v>
      </c>
      <c r="B185">
        <v>176</v>
      </c>
      <c r="C185">
        <v>176</v>
      </c>
      <c r="D185" s="5">
        <v>1</v>
      </c>
    </row>
    <row r="186" spans="1:4">
      <c r="A186" t="s">
        <v>475</v>
      </c>
      <c r="B186">
        <v>177</v>
      </c>
      <c r="C186">
        <v>177</v>
      </c>
      <c r="D186" s="5">
        <v>1</v>
      </c>
    </row>
    <row r="187" spans="1:4">
      <c r="A187" t="s">
        <v>477</v>
      </c>
      <c r="B187">
        <v>178</v>
      </c>
      <c r="C187">
        <v>178</v>
      </c>
      <c r="D187" s="5">
        <v>1</v>
      </c>
    </row>
    <row r="188" spans="1:4">
      <c r="A188" t="s">
        <v>479</v>
      </c>
      <c r="B188">
        <v>179</v>
      </c>
      <c r="C188">
        <v>179</v>
      </c>
      <c r="D188" s="5">
        <v>1</v>
      </c>
    </row>
    <row r="189" spans="1:4">
      <c r="A189" t="s">
        <v>482</v>
      </c>
      <c r="B189">
        <v>180</v>
      </c>
      <c r="C189">
        <v>180</v>
      </c>
      <c r="D189" s="5">
        <v>1</v>
      </c>
    </row>
    <row r="190" spans="1:4">
      <c r="A190" t="s">
        <v>484</v>
      </c>
      <c r="B190">
        <v>181</v>
      </c>
      <c r="C190">
        <v>181</v>
      </c>
      <c r="D190" s="5">
        <v>1</v>
      </c>
    </row>
    <row r="191" spans="1:4">
      <c r="A191" t="s">
        <v>486</v>
      </c>
      <c r="B191">
        <v>182</v>
      </c>
      <c r="C191">
        <v>182</v>
      </c>
      <c r="D191" s="5">
        <v>1</v>
      </c>
    </row>
    <row r="192" spans="1:4">
      <c r="A192" t="s">
        <v>488</v>
      </c>
      <c r="B192">
        <v>183</v>
      </c>
      <c r="C192">
        <v>183</v>
      </c>
      <c r="D192" s="5">
        <v>1</v>
      </c>
    </row>
    <row r="193" spans="1:4">
      <c r="A193" t="s">
        <v>490</v>
      </c>
      <c r="B193">
        <v>184</v>
      </c>
      <c r="C193">
        <v>184</v>
      </c>
      <c r="D193" s="5">
        <v>1</v>
      </c>
    </row>
    <row r="194" spans="1:4">
      <c r="A194" t="s">
        <v>493</v>
      </c>
      <c r="B194">
        <v>185</v>
      </c>
      <c r="C194">
        <v>185</v>
      </c>
      <c r="D194" s="5">
        <v>1</v>
      </c>
    </row>
    <row r="195" spans="1:4">
      <c r="A195" t="s">
        <v>600</v>
      </c>
      <c r="B195">
        <v>186</v>
      </c>
      <c r="C195">
        <v>186</v>
      </c>
      <c r="D195" s="5">
        <v>1</v>
      </c>
    </row>
    <row r="196" spans="1:4">
      <c r="A196" t="s">
        <v>497</v>
      </c>
      <c r="B196">
        <v>187</v>
      </c>
      <c r="C196">
        <v>187</v>
      </c>
      <c r="D196" s="5">
        <v>1</v>
      </c>
    </row>
    <row r="197" spans="1:4">
      <c r="A197" t="s">
        <v>501</v>
      </c>
      <c r="B197">
        <v>188</v>
      </c>
      <c r="C197">
        <v>188</v>
      </c>
      <c r="D197" s="5">
        <v>1</v>
      </c>
    </row>
    <row r="198" spans="1:4">
      <c r="A198" t="s">
        <v>608</v>
      </c>
      <c r="B198">
        <v>189</v>
      </c>
      <c r="C198">
        <v>189</v>
      </c>
      <c r="D198" s="5">
        <v>1</v>
      </c>
    </row>
    <row r="199" spans="1:4">
      <c r="A199" t="s">
        <v>505</v>
      </c>
      <c r="B199">
        <v>190</v>
      </c>
      <c r="C199">
        <v>190</v>
      </c>
      <c r="D199" s="5">
        <v>1</v>
      </c>
    </row>
    <row r="200" spans="1:4">
      <c r="A200" t="s">
        <v>508</v>
      </c>
      <c r="B200">
        <v>191</v>
      </c>
      <c r="C200">
        <v>191</v>
      </c>
      <c r="D200" s="5">
        <v>1</v>
      </c>
    </row>
    <row r="201" spans="1:4">
      <c r="A201" t="s">
        <v>511</v>
      </c>
      <c r="B201">
        <v>192</v>
      </c>
      <c r="C201">
        <v>192</v>
      </c>
      <c r="D201" s="5">
        <v>1</v>
      </c>
    </row>
    <row r="202" spans="1:4">
      <c r="A202" t="s">
        <v>514</v>
      </c>
      <c r="B202">
        <v>193</v>
      </c>
      <c r="C202">
        <v>193</v>
      </c>
      <c r="D202" s="5">
        <v>1</v>
      </c>
    </row>
    <row r="203" spans="1:4">
      <c r="A203" t="s">
        <v>624</v>
      </c>
      <c r="B203">
        <v>194</v>
      </c>
      <c r="C203">
        <v>194</v>
      </c>
      <c r="D203" s="5">
        <v>1</v>
      </c>
    </row>
    <row r="204" spans="1:4">
      <c r="A204" t="s">
        <v>627</v>
      </c>
      <c r="B204">
        <v>195</v>
      </c>
      <c r="C204">
        <v>195</v>
      </c>
      <c r="D204" s="5">
        <v>1</v>
      </c>
    </row>
    <row r="205" spans="1:4">
      <c r="A205" t="s">
        <v>630</v>
      </c>
      <c r="B205">
        <v>196</v>
      </c>
      <c r="C205">
        <v>196</v>
      </c>
      <c r="D205" s="5">
        <v>1</v>
      </c>
    </row>
    <row r="206" spans="1:4">
      <c r="A206" t="s">
        <v>517</v>
      </c>
      <c r="B206">
        <v>197</v>
      </c>
      <c r="C206">
        <v>197</v>
      </c>
      <c r="D206" s="5">
        <v>1</v>
      </c>
    </row>
    <row r="207" spans="1:4">
      <c r="A207" t="s">
        <v>522</v>
      </c>
      <c r="B207">
        <v>198</v>
      </c>
      <c r="C207">
        <v>198</v>
      </c>
      <c r="D207" s="5">
        <v>1</v>
      </c>
    </row>
    <row r="208" spans="1:4">
      <c r="A208" t="s">
        <v>525</v>
      </c>
      <c r="B208">
        <v>199</v>
      </c>
      <c r="C208">
        <v>199</v>
      </c>
      <c r="D208" s="5">
        <v>1</v>
      </c>
    </row>
    <row r="209" spans="1:4">
      <c r="A209" t="s">
        <v>528</v>
      </c>
      <c r="B209">
        <v>200</v>
      </c>
      <c r="C209">
        <v>200</v>
      </c>
      <c r="D209" s="5">
        <v>1</v>
      </c>
    </row>
    <row r="210" spans="1:4">
      <c r="A210" t="s">
        <v>530</v>
      </c>
      <c r="B210">
        <v>201</v>
      </c>
      <c r="C210">
        <v>201</v>
      </c>
      <c r="D210" s="5">
        <v>1</v>
      </c>
    </row>
    <row r="211" spans="1:4">
      <c r="A211" t="s">
        <v>532</v>
      </c>
      <c r="B211">
        <v>202</v>
      </c>
      <c r="C211">
        <v>202</v>
      </c>
      <c r="D211" s="5">
        <v>1</v>
      </c>
    </row>
    <row r="212" spans="1:4">
      <c r="A212" t="s">
        <v>534</v>
      </c>
      <c r="B212">
        <v>203</v>
      </c>
      <c r="C212">
        <v>203</v>
      </c>
      <c r="D212" s="5">
        <v>1</v>
      </c>
    </row>
    <row r="213" spans="1:4">
      <c r="A213" t="s">
        <v>652</v>
      </c>
      <c r="B213">
        <v>204</v>
      </c>
      <c r="C213">
        <v>204</v>
      </c>
      <c r="D213" s="5">
        <v>1</v>
      </c>
    </row>
    <row r="214" spans="1:4">
      <c r="A214" t="s">
        <v>656</v>
      </c>
      <c r="B214">
        <v>205</v>
      </c>
      <c r="C214">
        <v>205</v>
      </c>
      <c r="D214" s="5">
        <v>1</v>
      </c>
    </row>
    <row r="215" spans="1:4">
      <c r="A215" t="s">
        <v>661</v>
      </c>
      <c r="B215">
        <v>206</v>
      </c>
      <c r="C215">
        <v>206</v>
      </c>
      <c r="D215" s="5">
        <v>1</v>
      </c>
    </row>
    <row r="216" spans="1:4">
      <c r="A216" t="s">
        <v>538</v>
      </c>
      <c r="B216">
        <v>207</v>
      </c>
      <c r="C216">
        <v>207</v>
      </c>
      <c r="D216" s="5">
        <v>1</v>
      </c>
    </row>
    <row r="217" spans="1:4">
      <c r="A217" t="s">
        <v>540</v>
      </c>
      <c r="B217">
        <v>208</v>
      </c>
      <c r="C217">
        <v>208</v>
      </c>
      <c r="D217" s="5">
        <v>1</v>
      </c>
    </row>
    <row r="218" spans="1:4">
      <c r="A218" t="s">
        <v>673</v>
      </c>
      <c r="B218">
        <v>209</v>
      </c>
      <c r="C218">
        <v>209</v>
      </c>
      <c r="D218" s="5">
        <v>1</v>
      </c>
    </row>
    <row r="219" spans="1:4">
      <c r="A219" t="s">
        <v>544</v>
      </c>
      <c r="B219">
        <v>210</v>
      </c>
      <c r="C219">
        <v>210</v>
      </c>
      <c r="D219" s="5">
        <v>1</v>
      </c>
    </row>
    <row r="220" spans="1:4">
      <c r="A220" t="s">
        <v>549</v>
      </c>
      <c r="B220">
        <v>211</v>
      </c>
      <c r="C220">
        <v>211</v>
      </c>
      <c r="D220" s="5">
        <v>1</v>
      </c>
    </row>
    <row r="221" spans="1:4">
      <c r="A221" t="s">
        <v>553</v>
      </c>
      <c r="B221">
        <v>212</v>
      </c>
      <c r="C221">
        <v>212</v>
      </c>
      <c r="D221" s="5">
        <v>1</v>
      </c>
    </row>
    <row r="222" spans="1:4">
      <c r="A222" t="s">
        <v>556</v>
      </c>
      <c r="B222">
        <v>213</v>
      </c>
      <c r="C222">
        <v>213</v>
      </c>
      <c r="D222" s="5">
        <v>1</v>
      </c>
    </row>
    <row r="223" spans="1:4">
      <c r="A223" t="s">
        <v>560</v>
      </c>
      <c r="B223">
        <v>214</v>
      </c>
      <c r="C223">
        <v>214</v>
      </c>
      <c r="D223" s="5">
        <v>1</v>
      </c>
    </row>
    <row r="224" spans="1:4">
      <c r="A224" t="s">
        <v>564</v>
      </c>
      <c r="B224">
        <v>215</v>
      </c>
      <c r="C224">
        <v>215</v>
      </c>
      <c r="D224" s="5">
        <v>1</v>
      </c>
    </row>
    <row r="225" spans="1:4">
      <c r="A225" t="s">
        <v>566</v>
      </c>
      <c r="B225">
        <v>216</v>
      </c>
      <c r="C225">
        <v>216</v>
      </c>
      <c r="D225" s="5">
        <v>1</v>
      </c>
    </row>
    <row r="226" spans="1:4">
      <c r="A226" t="s">
        <v>699</v>
      </c>
      <c r="B226">
        <v>217</v>
      </c>
      <c r="C226">
        <v>217</v>
      </c>
      <c r="D226" s="5">
        <v>1</v>
      </c>
    </row>
    <row r="227" spans="1:4">
      <c r="A227" t="s">
        <v>702</v>
      </c>
      <c r="B227">
        <v>218</v>
      </c>
      <c r="C227">
        <v>218</v>
      </c>
      <c r="D227" s="5">
        <v>1</v>
      </c>
    </row>
    <row r="228" spans="1:4">
      <c r="A228" t="s">
        <v>568</v>
      </c>
      <c r="B228">
        <v>219</v>
      </c>
      <c r="C228">
        <v>219</v>
      </c>
      <c r="D228" s="5">
        <v>1</v>
      </c>
    </row>
    <row r="229" spans="1:4">
      <c r="A229" t="s">
        <v>571</v>
      </c>
      <c r="B229">
        <v>220</v>
      </c>
      <c r="C229">
        <v>220</v>
      </c>
      <c r="D229" s="5">
        <v>1</v>
      </c>
    </row>
    <row r="230" spans="1:4">
      <c r="A230" t="s">
        <v>573</v>
      </c>
      <c r="B230">
        <v>221</v>
      </c>
      <c r="C230">
        <v>221</v>
      </c>
      <c r="D230" s="5">
        <v>1</v>
      </c>
    </row>
    <row r="231" spans="1:4">
      <c r="A231" t="s">
        <v>575</v>
      </c>
      <c r="B231">
        <v>222</v>
      </c>
      <c r="C231">
        <v>222</v>
      </c>
      <c r="D231" s="5">
        <v>1</v>
      </c>
    </row>
    <row r="232" spans="1:4">
      <c r="A232" t="s">
        <v>577</v>
      </c>
      <c r="B232">
        <v>223</v>
      </c>
      <c r="C232">
        <v>223</v>
      </c>
      <c r="D232" s="5">
        <v>1</v>
      </c>
    </row>
    <row r="233" spans="1:4">
      <c r="A233" t="s">
        <v>579</v>
      </c>
      <c r="B233">
        <v>224</v>
      </c>
      <c r="C233">
        <v>224</v>
      </c>
      <c r="D233" s="5">
        <v>1</v>
      </c>
    </row>
    <row r="234" spans="1:4">
      <c r="A234" t="s">
        <v>581</v>
      </c>
      <c r="B234">
        <v>225</v>
      </c>
      <c r="C234">
        <v>225</v>
      </c>
      <c r="D234" s="5">
        <v>1</v>
      </c>
    </row>
    <row r="235" spans="1:4">
      <c r="A235" t="s">
        <v>583</v>
      </c>
      <c r="B235">
        <v>226</v>
      </c>
      <c r="C235">
        <v>226</v>
      </c>
      <c r="D235" s="5">
        <v>1</v>
      </c>
    </row>
    <row r="236" spans="1:4">
      <c r="A236" t="s">
        <v>725</v>
      </c>
      <c r="B236">
        <v>227</v>
      </c>
      <c r="C236">
        <v>227</v>
      </c>
      <c r="D236" s="5">
        <v>1</v>
      </c>
    </row>
    <row r="237" spans="1:4">
      <c r="A237" t="s">
        <v>587</v>
      </c>
      <c r="B237">
        <v>228</v>
      </c>
      <c r="C237">
        <v>228</v>
      </c>
      <c r="D237" s="5">
        <v>1</v>
      </c>
    </row>
    <row r="238" spans="1:4">
      <c r="A238" t="s">
        <v>590</v>
      </c>
      <c r="B238">
        <v>229</v>
      </c>
      <c r="C238">
        <v>229</v>
      </c>
      <c r="D238" s="5">
        <v>1</v>
      </c>
    </row>
    <row r="239" spans="1:4">
      <c r="A239" t="s">
        <v>593</v>
      </c>
      <c r="B239">
        <v>230</v>
      </c>
      <c r="C239">
        <v>230</v>
      </c>
      <c r="D239" s="5">
        <v>1</v>
      </c>
    </row>
    <row r="240" spans="1:4">
      <c r="A240" t="s">
        <v>597</v>
      </c>
      <c r="B240">
        <v>231</v>
      </c>
      <c r="C240">
        <v>231</v>
      </c>
      <c r="D240" s="5">
        <v>1</v>
      </c>
    </row>
    <row r="241" spans="1:4">
      <c r="A241" t="s">
        <v>601</v>
      </c>
      <c r="B241">
        <v>232</v>
      </c>
      <c r="C241">
        <v>232</v>
      </c>
      <c r="D241" s="5">
        <v>1</v>
      </c>
    </row>
    <row r="242" spans="1:4">
      <c r="A242" t="s">
        <v>604</v>
      </c>
      <c r="B242">
        <v>233</v>
      </c>
      <c r="C242">
        <v>233</v>
      </c>
      <c r="D242" s="5">
        <v>1</v>
      </c>
    </row>
    <row r="243" spans="1:4">
      <c r="A243" t="s">
        <v>606</v>
      </c>
      <c r="B243">
        <v>234</v>
      </c>
      <c r="C243">
        <v>234</v>
      </c>
      <c r="D243" s="5">
        <v>1</v>
      </c>
    </row>
    <row r="244" spans="1:4">
      <c r="A244" t="s">
        <v>609</v>
      </c>
      <c r="B244">
        <v>235</v>
      </c>
      <c r="C244">
        <v>235</v>
      </c>
      <c r="D244" s="5">
        <v>1</v>
      </c>
    </row>
    <row r="245" spans="1:4">
      <c r="A245" t="s">
        <v>611</v>
      </c>
      <c r="B245">
        <v>236</v>
      </c>
      <c r="C245">
        <v>236</v>
      </c>
      <c r="D245" s="5">
        <v>1</v>
      </c>
    </row>
    <row r="246" spans="1:4">
      <c r="A246" t="s">
        <v>615</v>
      </c>
      <c r="B246">
        <v>237</v>
      </c>
      <c r="C246">
        <v>237</v>
      </c>
      <c r="D246" s="5">
        <v>1</v>
      </c>
    </row>
    <row r="247" spans="1:4">
      <c r="A247" t="s">
        <v>752</v>
      </c>
      <c r="B247">
        <v>238</v>
      </c>
      <c r="C247">
        <v>238</v>
      </c>
      <c r="D247" s="5">
        <v>1</v>
      </c>
    </row>
    <row r="248" spans="1:4">
      <c r="A248" t="s">
        <v>756</v>
      </c>
      <c r="B248">
        <v>239</v>
      </c>
      <c r="C248">
        <v>239</v>
      </c>
      <c r="D248" s="5">
        <v>1</v>
      </c>
    </row>
    <row r="249" spans="1:4">
      <c r="A249" t="s">
        <v>761</v>
      </c>
      <c r="B249">
        <v>240</v>
      </c>
      <c r="C249">
        <v>240</v>
      </c>
      <c r="D249" s="5">
        <v>1</v>
      </c>
    </row>
    <row r="250" spans="1:4">
      <c r="A250" t="s">
        <v>618</v>
      </c>
      <c r="B250">
        <v>241</v>
      </c>
      <c r="C250">
        <v>241</v>
      </c>
      <c r="D250" s="5">
        <v>1</v>
      </c>
    </row>
    <row r="251" spans="1:4">
      <c r="A251" t="s">
        <v>621</v>
      </c>
      <c r="B251">
        <v>242</v>
      </c>
      <c r="C251">
        <v>242</v>
      </c>
      <c r="D251" s="5">
        <v>1</v>
      </c>
    </row>
    <row r="252" spans="1:4">
      <c r="A252" t="s">
        <v>625</v>
      </c>
      <c r="B252">
        <v>243</v>
      </c>
      <c r="C252">
        <v>243</v>
      </c>
      <c r="D252" s="5">
        <v>1</v>
      </c>
    </row>
    <row r="253" spans="1:4">
      <c r="A253" t="s">
        <v>628</v>
      </c>
      <c r="B253">
        <v>244</v>
      </c>
      <c r="C253">
        <v>244</v>
      </c>
      <c r="D253" s="5">
        <v>1</v>
      </c>
    </row>
    <row r="254" spans="1:4">
      <c r="A254" t="s">
        <v>776</v>
      </c>
      <c r="B254">
        <v>245</v>
      </c>
      <c r="C254">
        <v>245</v>
      </c>
      <c r="D254" s="5">
        <v>1</v>
      </c>
    </row>
    <row r="255" spans="1:4">
      <c r="A255" t="s">
        <v>779</v>
      </c>
      <c r="B255">
        <v>246</v>
      </c>
      <c r="C255">
        <v>246</v>
      </c>
      <c r="D255" s="5">
        <v>1</v>
      </c>
    </row>
    <row r="256" spans="1:4">
      <c r="A256" t="s">
        <v>631</v>
      </c>
      <c r="B256">
        <v>247</v>
      </c>
      <c r="C256">
        <v>247</v>
      </c>
      <c r="D256" s="5">
        <v>1</v>
      </c>
    </row>
    <row r="257" spans="1:4">
      <c r="A257" t="s">
        <v>633</v>
      </c>
      <c r="B257">
        <v>248</v>
      </c>
      <c r="C257">
        <v>248</v>
      </c>
      <c r="D257" s="5">
        <v>1</v>
      </c>
    </row>
    <row r="258" spans="1:4">
      <c r="A258" t="s">
        <v>637</v>
      </c>
      <c r="B258">
        <v>249</v>
      </c>
      <c r="C258">
        <v>249</v>
      </c>
      <c r="D258" s="5">
        <v>1</v>
      </c>
    </row>
    <row r="259" spans="1:4">
      <c r="A259" t="s">
        <v>641</v>
      </c>
      <c r="B259">
        <v>250</v>
      </c>
      <c r="C259">
        <v>250</v>
      </c>
      <c r="D259" s="5">
        <v>1</v>
      </c>
    </row>
    <row r="260" spans="1:4">
      <c r="A260" t="s">
        <v>643</v>
      </c>
      <c r="B260">
        <v>251</v>
      </c>
      <c r="C260">
        <v>251</v>
      </c>
      <c r="D260" s="5">
        <v>1</v>
      </c>
    </row>
    <row r="261" spans="1:4">
      <c r="A261" t="s">
        <v>645</v>
      </c>
      <c r="B261">
        <v>252</v>
      </c>
      <c r="C261">
        <v>252</v>
      </c>
      <c r="D261" s="5">
        <v>1</v>
      </c>
    </row>
    <row r="262" spans="1:4">
      <c r="A262" t="s">
        <v>646</v>
      </c>
      <c r="B262">
        <v>253</v>
      </c>
      <c r="C262">
        <v>253</v>
      </c>
      <c r="D262" s="5">
        <v>1</v>
      </c>
    </row>
    <row r="263" spans="1:4">
      <c r="A263" t="s">
        <v>648</v>
      </c>
      <c r="B263">
        <v>254</v>
      </c>
      <c r="C263">
        <v>254</v>
      </c>
      <c r="D263" s="5">
        <v>1</v>
      </c>
    </row>
    <row r="264" spans="1:4">
      <c r="A264" t="s">
        <v>653</v>
      </c>
      <c r="B264">
        <v>255</v>
      </c>
      <c r="C264">
        <v>255</v>
      </c>
      <c r="D264" s="5">
        <v>1</v>
      </c>
    </row>
    <row r="265" spans="1:4">
      <c r="A265" t="s">
        <v>657</v>
      </c>
      <c r="B265">
        <v>256</v>
      </c>
      <c r="C265">
        <v>256</v>
      </c>
      <c r="D265" s="5">
        <v>1</v>
      </c>
    </row>
    <row r="266" spans="1:4">
      <c r="A266" t="s">
        <v>662</v>
      </c>
      <c r="B266">
        <v>257</v>
      </c>
      <c r="C266">
        <v>257</v>
      </c>
      <c r="D266" s="5">
        <v>1</v>
      </c>
    </row>
    <row r="267" spans="1:4">
      <c r="A267" t="s">
        <v>665</v>
      </c>
      <c r="B267">
        <v>258</v>
      </c>
      <c r="C267">
        <v>258</v>
      </c>
      <c r="D267" s="5">
        <v>1</v>
      </c>
    </row>
    <row r="268" spans="1:4">
      <c r="A268" t="s">
        <v>669</v>
      </c>
      <c r="B268">
        <v>259</v>
      </c>
      <c r="C268">
        <v>259</v>
      </c>
      <c r="D268" s="5">
        <v>1</v>
      </c>
    </row>
    <row r="269" spans="1:4">
      <c r="A269" t="s">
        <v>674</v>
      </c>
      <c r="B269">
        <v>260</v>
      </c>
      <c r="C269">
        <v>260</v>
      </c>
      <c r="D269" s="5">
        <v>1</v>
      </c>
    </row>
    <row r="270" spans="1:4">
      <c r="A270" t="s">
        <v>677</v>
      </c>
      <c r="B270">
        <v>261</v>
      </c>
      <c r="C270">
        <v>261</v>
      </c>
      <c r="D270" s="5">
        <v>1</v>
      </c>
    </row>
    <row r="271" spans="1:4">
      <c r="A271" t="s">
        <v>680</v>
      </c>
      <c r="B271">
        <v>262</v>
      </c>
      <c r="C271">
        <v>262</v>
      </c>
      <c r="D271" s="5">
        <v>1</v>
      </c>
    </row>
    <row r="272" spans="1:4">
      <c r="A272" t="s">
        <v>683</v>
      </c>
      <c r="B272">
        <v>263</v>
      </c>
      <c r="C272">
        <v>263</v>
      </c>
      <c r="D272" s="5">
        <v>1</v>
      </c>
    </row>
    <row r="273" spans="1:4">
      <c r="A273" t="s">
        <v>688</v>
      </c>
      <c r="B273">
        <v>264</v>
      </c>
      <c r="C273">
        <v>264</v>
      </c>
      <c r="D273" s="5">
        <v>1</v>
      </c>
    </row>
    <row r="274" spans="1:4">
      <c r="A274" t="s">
        <v>690</v>
      </c>
      <c r="B274">
        <v>265</v>
      </c>
      <c r="C274">
        <v>265</v>
      </c>
      <c r="D274" s="5">
        <v>1</v>
      </c>
    </row>
    <row r="275" spans="1:4">
      <c r="A275" t="s">
        <v>694</v>
      </c>
      <c r="B275">
        <v>266</v>
      </c>
      <c r="C275">
        <v>266</v>
      </c>
      <c r="D275" s="5">
        <v>1</v>
      </c>
    </row>
    <row r="276" spans="1:4">
      <c r="A276" t="s">
        <v>697</v>
      </c>
      <c r="B276">
        <v>267</v>
      </c>
      <c r="C276">
        <v>267</v>
      </c>
      <c r="D276" s="5">
        <v>1</v>
      </c>
    </row>
    <row r="277" spans="1:4">
      <c r="A277" t="s">
        <v>700</v>
      </c>
      <c r="B277">
        <v>268</v>
      </c>
      <c r="C277">
        <v>268</v>
      </c>
      <c r="D277" s="5">
        <v>1</v>
      </c>
    </row>
    <row r="278" spans="1:4">
      <c r="A278" t="s">
        <v>703</v>
      </c>
      <c r="B278">
        <v>269</v>
      </c>
      <c r="C278">
        <v>269</v>
      </c>
      <c r="D278" s="5">
        <v>1</v>
      </c>
    </row>
    <row r="279" spans="1:4">
      <c r="A279" t="s">
        <v>705</v>
      </c>
      <c r="B279">
        <v>270</v>
      </c>
      <c r="C279">
        <v>270</v>
      </c>
      <c r="D279" s="5">
        <v>1</v>
      </c>
    </row>
    <row r="280" spans="1:4">
      <c r="A280" t="s">
        <v>707</v>
      </c>
      <c r="B280">
        <v>271</v>
      </c>
      <c r="C280">
        <v>271</v>
      </c>
      <c r="D280" s="5">
        <v>1</v>
      </c>
    </row>
    <row r="281" spans="1:4">
      <c r="A281" t="s">
        <v>710</v>
      </c>
      <c r="B281">
        <v>272</v>
      </c>
      <c r="C281">
        <v>272</v>
      </c>
      <c r="D281" s="5">
        <v>1</v>
      </c>
    </row>
    <row r="282" spans="1:4">
      <c r="A282" t="s">
        <v>713</v>
      </c>
      <c r="B282">
        <v>273</v>
      </c>
      <c r="C282">
        <v>273</v>
      </c>
      <c r="D282" s="5">
        <v>1</v>
      </c>
    </row>
    <row r="283" spans="1:4">
      <c r="A283" t="s">
        <v>715</v>
      </c>
      <c r="B283">
        <v>274</v>
      </c>
      <c r="C283">
        <v>274</v>
      </c>
      <c r="D283" s="5">
        <v>1</v>
      </c>
    </row>
    <row r="284" spans="1:4">
      <c r="A284" t="s">
        <v>717</v>
      </c>
      <c r="B284">
        <v>275</v>
      </c>
      <c r="C284">
        <v>275</v>
      </c>
      <c r="D284" s="5">
        <v>1</v>
      </c>
    </row>
    <row r="285" spans="1:4">
      <c r="A285" t="s">
        <v>815</v>
      </c>
      <c r="B285">
        <v>276</v>
      </c>
      <c r="C285">
        <v>276</v>
      </c>
      <c r="D285" s="5">
        <v>1</v>
      </c>
    </row>
    <row r="286" spans="1:4">
      <c r="A286" t="s">
        <v>719</v>
      </c>
      <c r="B286">
        <v>277</v>
      </c>
      <c r="C286">
        <v>277</v>
      </c>
      <c r="D286" s="5">
        <v>1</v>
      </c>
    </row>
    <row r="287" spans="1:4">
      <c r="A287" t="s">
        <v>722</v>
      </c>
      <c r="B287">
        <v>278</v>
      </c>
      <c r="C287">
        <v>278</v>
      </c>
      <c r="D287" s="5">
        <v>1</v>
      </c>
    </row>
    <row r="288" spans="1:4">
      <c r="A288" t="s">
        <v>726</v>
      </c>
      <c r="B288">
        <v>279</v>
      </c>
      <c r="C288">
        <v>279</v>
      </c>
      <c r="D288" s="5">
        <v>1</v>
      </c>
    </row>
    <row r="289" spans="1:4">
      <c r="A289" t="s">
        <v>728</v>
      </c>
      <c r="B289">
        <v>280</v>
      </c>
      <c r="C289">
        <v>280</v>
      </c>
      <c r="D289" s="5">
        <v>1</v>
      </c>
    </row>
    <row r="290" spans="1:4">
      <c r="A290" t="s">
        <v>816</v>
      </c>
      <c r="B290">
        <v>281</v>
      </c>
      <c r="C290">
        <v>281</v>
      </c>
      <c r="D290" s="5">
        <v>1</v>
      </c>
    </row>
    <row r="291" spans="1:4">
      <c r="A291" t="s">
        <v>817</v>
      </c>
      <c r="B291">
        <v>282</v>
      </c>
      <c r="C291">
        <v>282</v>
      </c>
      <c r="D291" s="5">
        <v>1</v>
      </c>
    </row>
    <row r="292" spans="1:4">
      <c r="A292" t="s">
        <v>730</v>
      </c>
      <c r="B292">
        <v>283</v>
      </c>
      <c r="C292">
        <v>283</v>
      </c>
      <c r="D292" s="5">
        <v>1</v>
      </c>
    </row>
    <row r="293" spans="1:4">
      <c r="A293" t="s">
        <v>733</v>
      </c>
      <c r="B293">
        <v>284</v>
      </c>
      <c r="C293">
        <v>284</v>
      </c>
      <c r="D293" s="5">
        <v>1</v>
      </c>
    </row>
    <row r="294" spans="1:4">
      <c r="A294" t="s">
        <v>737</v>
      </c>
      <c r="B294">
        <v>285</v>
      </c>
      <c r="C294">
        <v>285</v>
      </c>
      <c r="D294" s="5">
        <v>1</v>
      </c>
    </row>
    <row r="295" spans="1:4">
      <c r="A295" t="s">
        <v>818</v>
      </c>
      <c r="B295">
        <v>286</v>
      </c>
      <c r="C295">
        <v>286</v>
      </c>
      <c r="D295" s="5">
        <v>1</v>
      </c>
    </row>
    <row r="296" spans="1:4">
      <c r="A296" t="s">
        <v>739</v>
      </c>
      <c r="B296">
        <v>287</v>
      </c>
      <c r="C296">
        <v>287</v>
      </c>
      <c r="D296" s="5">
        <v>1</v>
      </c>
    </row>
    <row r="297" spans="1:4">
      <c r="A297" t="s">
        <v>741</v>
      </c>
      <c r="B297">
        <v>288</v>
      </c>
      <c r="C297">
        <v>288</v>
      </c>
      <c r="D297" s="5">
        <v>1</v>
      </c>
    </row>
    <row r="298" spans="1:4">
      <c r="A298" t="s">
        <v>743</v>
      </c>
      <c r="B298">
        <v>289</v>
      </c>
      <c r="C298">
        <v>289</v>
      </c>
      <c r="D298" s="5">
        <v>1</v>
      </c>
    </row>
    <row r="299" spans="1:4">
      <c r="A299" t="s">
        <v>745</v>
      </c>
      <c r="B299">
        <v>290</v>
      </c>
      <c r="C299">
        <v>290</v>
      </c>
      <c r="D299" s="5">
        <v>1</v>
      </c>
    </row>
    <row r="300" spans="1:4">
      <c r="A300" t="s">
        <v>747</v>
      </c>
      <c r="B300">
        <v>291</v>
      </c>
      <c r="C300">
        <v>291</v>
      </c>
      <c r="D300" s="5">
        <v>1</v>
      </c>
    </row>
    <row r="301" spans="1:4">
      <c r="A301" t="s">
        <v>749</v>
      </c>
      <c r="B301">
        <v>292</v>
      </c>
      <c r="C301">
        <v>292</v>
      </c>
      <c r="D301" s="5">
        <v>1</v>
      </c>
    </row>
    <row r="302" spans="1:4">
      <c r="A302" t="s">
        <v>819</v>
      </c>
      <c r="B302">
        <v>293</v>
      </c>
      <c r="C302">
        <v>293</v>
      </c>
      <c r="D302" s="5">
        <v>1</v>
      </c>
    </row>
    <row r="303" spans="1:4">
      <c r="A303" t="s">
        <v>820</v>
      </c>
      <c r="B303">
        <v>294</v>
      </c>
      <c r="C303">
        <v>294</v>
      </c>
      <c r="D303" s="5">
        <v>1</v>
      </c>
    </row>
    <row r="304" spans="1:4">
      <c r="A304" t="s">
        <v>753</v>
      </c>
      <c r="B304">
        <v>295</v>
      </c>
      <c r="C304">
        <v>295</v>
      </c>
      <c r="D304" s="5">
        <v>1</v>
      </c>
    </row>
    <row r="305" spans="1:4">
      <c r="A305" t="s">
        <v>757</v>
      </c>
      <c r="B305">
        <v>296</v>
      </c>
      <c r="C305">
        <v>296</v>
      </c>
      <c r="D305" s="5">
        <v>1</v>
      </c>
    </row>
    <row r="306" spans="1:4">
      <c r="A306" t="s">
        <v>821</v>
      </c>
      <c r="B306">
        <v>297</v>
      </c>
      <c r="C306">
        <v>297</v>
      </c>
      <c r="D306" s="5">
        <v>1</v>
      </c>
    </row>
    <row r="307" spans="1:4">
      <c r="A307" t="s">
        <v>822</v>
      </c>
      <c r="B307">
        <v>298</v>
      </c>
      <c r="C307">
        <v>298</v>
      </c>
      <c r="D307" s="5">
        <v>1</v>
      </c>
    </row>
    <row r="308" spans="1:4">
      <c r="A308" t="s">
        <v>762</v>
      </c>
      <c r="B308">
        <v>299</v>
      </c>
      <c r="C308">
        <v>299</v>
      </c>
      <c r="D308" s="5">
        <v>1</v>
      </c>
    </row>
    <row r="309" spans="1:4">
      <c r="A309" t="s">
        <v>765</v>
      </c>
      <c r="B309">
        <v>300</v>
      </c>
      <c r="C309">
        <v>300</v>
      </c>
      <c r="D309" s="5">
        <v>1</v>
      </c>
    </row>
    <row r="310" spans="1:4">
      <c r="A310" t="s">
        <v>767</v>
      </c>
      <c r="B310">
        <v>301</v>
      </c>
      <c r="C310">
        <v>301</v>
      </c>
      <c r="D310" s="5">
        <v>1</v>
      </c>
    </row>
    <row r="311" spans="1:4">
      <c r="A311" t="s">
        <v>770</v>
      </c>
      <c r="B311">
        <v>302</v>
      </c>
      <c r="C311">
        <v>302</v>
      </c>
      <c r="D311" s="5">
        <v>1</v>
      </c>
    </row>
    <row r="312" spans="1:4">
      <c r="A312" t="s">
        <v>772</v>
      </c>
      <c r="B312">
        <v>303</v>
      </c>
      <c r="C312">
        <v>303</v>
      </c>
      <c r="D312" s="5">
        <v>1</v>
      </c>
    </row>
    <row r="313" spans="1:4">
      <c r="A313" t="s">
        <v>777</v>
      </c>
      <c r="B313">
        <v>304</v>
      </c>
      <c r="C313">
        <v>304</v>
      </c>
      <c r="D313" s="5">
        <v>1</v>
      </c>
    </row>
    <row r="314" spans="1:4">
      <c r="A314" t="s">
        <v>780</v>
      </c>
      <c r="B314">
        <v>305</v>
      </c>
      <c r="C314">
        <v>305</v>
      </c>
      <c r="D314" s="5">
        <v>1</v>
      </c>
    </row>
    <row r="315" spans="1:4">
      <c r="A315" t="s">
        <v>782</v>
      </c>
      <c r="B315">
        <v>306</v>
      </c>
      <c r="C315">
        <v>306</v>
      </c>
      <c r="D315" s="5">
        <v>1</v>
      </c>
    </row>
    <row r="316" spans="1:4">
      <c r="A316" t="s">
        <v>786</v>
      </c>
      <c r="B316">
        <v>307</v>
      </c>
      <c r="C316">
        <v>307</v>
      </c>
      <c r="D316" s="5">
        <v>1</v>
      </c>
    </row>
    <row r="317" spans="1:4">
      <c r="A317" t="s">
        <v>823</v>
      </c>
      <c r="B317">
        <v>308</v>
      </c>
      <c r="C317">
        <v>308</v>
      </c>
      <c r="D317" s="5">
        <v>1</v>
      </c>
    </row>
    <row r="318" spans="1:4">
      <c r="A318" t="s">
        <v>790</v>
      </c>
      <c r="B318">
        <v>309</v>
      </c>
      <c r="C318">
        <v>309</v>
      </c>
      <c r="D318" s="5">
        <v>1</v>
      </c>
    </row>
    <row r="319" spans="1:4">
      <c r="A319" t="s">
        <v>824</v>
      </c>
      <c r="B319">
        <v>310</v>
      </c>
      <c r="C319">
        <v>310</v>
      </c>
      <c r="D319" s="5">
        <v>1</v>
      </c>
    </row>
    <row r="320" spans="1:4">
      <c r="A320" t="s">
        <v>825</v>
      </c>
      <c r="B320">
        <v>311</v>
      </c>
      <c r="C320">
        <v>311</v>
      </c>
      <c r="D320" s="5">
        <v>1</v>
      </c>
    </row>
    <row r="321" spans="1:4">
      <c r="A321" t="s">
        <v>793</v>
      </c>
      <c r="B321">
        <v>312</v>
      </c>
      <c r="C321">
        <v>312</v>
      </c>
      <c r="D321" s="5">
        <v>1</v>
      </c>
    </row>
    <row r="322" spans="1:4">
      <c r="A322" t="s">
        <v>796</v>
      </c>
      <c r="B322">
        <v>313</v>
      </c>
      <c r="C322">
        <v>313</v>
      </c>
      <c r="D322" s="5">
        <v>1</v>
      </c>
    </row>
    <row r="323" spans="1:4">
      <c r="A323" t="s">
        <v>799</v>
      </c>
      <c r="B323">
        <v>314</v>
      </c>
      <c r="C323">
        <v>314</v>
      </c>
      <c r="D323" s="5">
        <v>1</v>
      </c>
    </row>
    <row r="324" spans="1:4">
      <c r="A324" t="s">
        <v>826</v>
      </c>
      <c r="B324">
        <v>315</v>
      </c>
      <c r="C324">
        <v>315</v>
      </c>
      <c r="D324" s="5">
        <v>1</v>
      </c>
    </row>
    <row r="325" spans="1:4">
      <c r="A325" t="s">
        <v>802</v>
      </c>
      <c r="B325">
        <v>316</v>
      </c>
      <c r="C325">
        <v>316</v>
      </c>
      <c r="D325" s="5">
        <v>1</v>
      </c>
    </row>
    <row r="326" spans="1:4">
      <c r="A326" t="s">
        <v>805</v>
      </c>
      <c r="B326">
        <v>317</v>
      </c>
      <c r="C326">
        <v>317</v>
      </c>
      <c r="D326" s="5">
        <v>1</v>
      </c>
    </row>
    <row r="327" spans="1:4">
      <c r="A327" t="s">
        <v>808</v>
      </c>
      <c r="B327">
        <v>318</v>
      </c>
      <c r="C327">
        <v>318</v>
      </c>
      <c r="D327" s="5">
        <v>1</v>
      </c>
    </row>
    <row r="328" spans="1:4">
      <c r="A328" t="s">
        <v>811</v>
      </c>
      <c r="B328">
        <v>319</v>
      </c>
      <c r="C328">
        <v>319</v>
      </c>
      <c r="D328" s="5">
        <v>1</v>
      </c>
    </row>
    <row r="329" spans="1:4">
      <c r="A329" t="s">
        <v>812</v>
      </c>
      <c r="B329">
        <v>320</v>
      </c>
      <c r="C329">
        <v>320</v>
      </c>
      <c r="D329" s="5">
        <v>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I1"/>
  <sheetViews>
    <sheetView tabSelected="1" workbookViewId="0">
      <selection activeCell="A21" sqref="A21"/>
    </sheetView>
  </sheetViews>
  <sheetFormatPr defaultRowHeight="14.4"/>
  <cols>
    <col min="1" max="1" width="51" bestFit="1" customWidth="1"/>
    <col min="2" max="2" width="16.77734375" bestFit="1" customWidth="1"/>
    <col min="3" max="3" width="10.44140625" bestFit="1" customWidth="1"/>
    <col min="4" max="4" width="26.33203125" bestFit="1" customWidth="1"/>
    <col min="5" max="5" width="15.88671875" style="12" bestFit="1" customWidth="1"/>
    <col min="6" max="34" width="18.77734375" customWidth="1"/>
    <col min="35" max="35" width="18.77734375" style="14" customWidth="1"/>
    <col min="36" max="149" width="18.77734375" customWidth="1"/>
  </cols>
  <sheetData>
    <row r="1" spans="1:35">
      <c r="A1" s="10" t="s">
        <v>0</v>
      </c>
      <c r="B1" s="10" t="s">
        <v>1</v>
      </c>
      <c r="C1" s="10" t="s">
        <v>2</v>
      </c>
      <c r="D1" s="10" t="s">
        <v>3</v>
      </c>
      <c r="E1" s="11" t="s">
        <v>848</v>
      </c>
      <c r="F1" s="10" t="s">
        <v>849</v>
      </c>
      <c r="G1" s="10" t="s">
        <v>850</v>
      </c>
      <c r="H1" s="10" t="s">
        <v>854</v>
      </c>
      <c r="I1" s="10" t="s">
        <v>877</v>
      </c>
      <c r="J1" s="10" t="s">
        <v>855</v>
      </c>
      <c r="K1" s="10" t="s">
        <v>869</v>
      </c>
      <c r="L1" s="10" t="s">
        <v>866</v>
      </c>
      <c r="M1" s="10" t="s">
        <v>867</v>
      </c>
      <c r="N1" s="10" t="s">
        <v>868</v>
      </c>
      <c r="O1" s="10" t="s">
        <v>870</v>
      </c>
      <c r="P1" s="10" t="s">
        <v>871</v>
      </c>
      <c r="Q1" s="10" t="s">
        <v>872</v>
      </c>
      <c r="R1" s="10" t="s">
        <v>873</v>
      </c>
      <c r="S1" s="10" t="s">
        <v>874</v>
      </c>
      <c r="T1" s="10" t="s">
        <v>875</v>
      </c>
      <c r="U1" s="10" t="s">
        <v>876</v>
      </c>
      <c r="V1" s="10" t="s">
        <v>851</v>
      </c>
      <c r="W1" s="10" t="s">
        <v>853</v>
      </c>
      <c r="X1" s="10" t="s">
        <v>852</v>
      </c>
      <c r="Y1" s="10" t="s">
        <v>856</v>
      </c>
      <c r="Z1" s="10" t="s">
        <v>857</v>
      </c>
      <c r="AA1" s="10" t="s">
        <v>858</v>
      </c>
      <c r="AB1" s="10" t="s">
        <v>859</v>
      </c>
      <c r="AC1" s="10" t="s">
        <v>860</v>
      </c>
      <c r="AD1" s="10" t="s">
        <v>861</v>
      </c>
      <c r="AE1" s="10" t="s">
        <v>862</v>
      </c>
      <c r="AF1" s="10" t="s">
        <v>863</v>
      </c>
      <c r="AG1" s="10" t="s">
        <v>864</v>
      </c>
      <c r="AH1" s="10" t="s">
        <v>865</v>
      </c>
      <c r="AI1" s="13" t="s">
        <v>4</v>
      </c>
    </row>
  </sheetData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A330"/>
  <sheetViews>
    <sheetView topLeftCell="J124" workbookViewId="0">
      <selection activeCell="V259" sqref="V259"/>
    </sheetView>
  </sheetViews>
  <sheetFormatPr defaultRowHeight="14.4"/>
  <cols>
    <col min="1" max="1" width="53.21875" bestFit="1" customWidth="1"/>
    <col min="2" max="2" width="14.109375" bestFit="1" customWidth="1"/>
    <col min="3" max="3" width="9" bestFit="1" customWidth="1"/>
    <col min="4" max="4" width="12.5546875" style="7" bestFit="1" customWidth="1"/>
    <col min="5" max="5" width="13.21875" style="7" bestFit="1" customWidth="1"/>
    <col min="6" max="6" width="14.44140625" style="7" bestFit="1" customWidth="1"/>
    <col min="7" max="8" width="32.5546875" bestFit="1" customWidth="1"/>
    <col min="9" max="9" width="120.33203125" bestFit="1" customWidth="1"/>
    <col min="10" max="10" width="14.44140625" bestFit="1" customWidth="1"/>
    <col min="11" max="11" width="13.21875" bestFit="1" customWidth="1"/>
    <col min="12" max="12" width="14.44140625" style="7" bestFit="1" customWidth="1"/>
    <col min="13" max="13" width="8.88671875" style="9" customWidth="1"/>
    <col min="15" max="15" width="9.5546875" bestFit="1" customWidth="1"/>
  </cols>
  <sheetData>
    <row r="1" spans="1:27">
      <c r="O1" s="7">
        <v>46053</v>
      </c>
      <c r="P1">
        <v>100</v>
      </c>
    </row>
    <row r="2" spans="1:27">
      <c r="A2" t="s">
        <v>0</v>
      </c>
      <c r="B2" t="s">
        <v>1</v>
      </c>
      <c r="C2" t="s">
        <v>6</v>
      </c>
      <c r="D2" s="7" t="s">
        <v>7</v>
      </c>
      <c r="E2" s="7" t="s">
        <v>8</v>
      </c>
      <c r="F2" s="7" t="s">
        <v>9</v>
      </c>
      <c r="G2" t="s">
        <v>10</v>
      </c>
      <c r="H2" t="s">
        <v>11</v>
      </c>
      <c r="I2" t="s">
        <v>12</v>
      </c>
      <c r="J2" t="s">
        <v>13</v>
      </c>
      <c r="K2" t="s">
        <v>14</v>
      </c>
      <c r="L2" s="7" t="s">
        <v>15</v>
      </c>
      <c r="M2" s="9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X2" t="s">
        <v>0</v>
      </c>
      <c r="Y2" t="s">
        <v>1</v>
      </c>
      <c r="Z2" t="s">
        <v>20</v>
      </c>
      <c r="AA2" t="s">
        <v>21</v>
      </c>
    </row>
    <row r="3" spans="1:27">
      <c r="A3" t="s">
        <v>22</v>
      </c>
      <c r="B3">
        <v>332</v>
      </c>
      <c r="C3">
        <v>332</v>
      </c>
      <c r="D3" s="7" t="s">
        <v>23</v>
      </c>
      <c r="E3" s="7">
        <v>45804</v>
      </c>
      <c r="F3" s="7">
        <v>46538</v>
      </c>
      <c r="G3">
        <v>90000000</v>
      </c>
      <c r="H3" t="s">
        <v>24</v>
      </c>
      <c r="I3" t="s">
        <v>25</v>
      </c>
      <c r="K3">
        <v>30000000000</v>
      </c>
      <c r="L3" s="7">
        <v>46538</v>
      </c>
      <c r="M3" s="9">
        <v>0.31</v>
      </c>
      <c r="N3">
        <v>101</v>
      </c>
      <c r="O3">
        <v>4</v>
      </c>
      <c r="P3" s="8">
        <f t="shared" ref="P3:P66" si="0">YIELD($O$1,L3,M3,N3,$P$1,O3)</f>
        <v>0.300039532659437</v>
      </c>
      <c r="Q3" t="str">
        <f t="array" ref="Q3:R3">VLOOKUP(A3,$X$3:$AA$330,{3,4},0)</f>
        <v>Industry Loss</v>
      </c>
      <c r="R3" t="str">
        <v>Annual Aggregate</v>
      </c>
      <c r="X3" t="s">
        <v>22</v>
      </c>
      <c r="Y3">
        <v>332</v>
      </c>
      <c r="Z3" t="s">
        <v>26</v>
      </c>
      <c r="AA3" t="s">
        <v>27</v>
      </c>
    </row>
    <row r="4" spans="1:27">
      <c r="A4" t="s">
        <v>28</v>
      </c>
      <c r="B4">
        <v>333</v>
      </c>
      <c r="C4">
        <v>333</v>
      </c>
      <c r="D4" s="7" t="s">
        <v>29</v>
      </c>
      <c r="E4" s="7">
        <v>45359</v>
      </c>
      <c r="F4" s="7">
        <v>46453</v>
      </c>
      <c r="G4">
        <v>475000000</v>
      </c>
      <c r="H4" t="s">
        <v>30</v>
      </c>
      <c r="I4" t="s">
        <v>31</v>
      </c>
      <c r="J4">
        <v>0</v>
      </c>
      <c r="K4">
        <v>2000000000</v>
      </c>
      <c r="L4" s="7">
        <v>46453</v>
      </c>
      <c r="M4" s="9">
        <v>0.14360000000000001</v>
      </c>
      <c r="N4">
        <v>100.2</v>
      </c>
      <c r="O4">
        <v>4</v>
      </c>
      <c r="P4" s="8">
        <f t="shared" si="0"/>
        <v>0.14145527079484246</v>
      </c>
      <c r="Q4" t="str">
        <f t="array" ref="Q4:R4">VLOOKUP(A4,$X$3:$AA$330,{3,4},0)</f>
        <v>Indemnity</v>
      </c>
      <c r="R4" t="str">
        <v>Per Occurrence</v>
      </c>
      <c r="X4" t="s">
        <v>28</v>
      </c>
      <c r="Y4">
        <v>333</v>
      </c>
      <c r="Z4" t="s">
        <v>32</v>
      </c>
      <c r="AA4" t="s">
        <v>33</v>
      </c>
    </row>
    <row r="5" spans="1:27">
      <c r="A5" t="s">
        <v>34</v>
      </c>
      <c r="B5">
        <v>2</v>
      </c>
      <c r="C5">
        <v>2</v>
      </c>
      <c r="D5" s="7" t="s">
        <v>35</v>
      </c>
      <c r="E5" s="7">
        <v>45078</v>
      </c>
      <c r="F5" s="7">
        <v>46173</v>
      </c>
      <c r="G5">
        <v>125000000</v>
      </c>
      <c r="H5" t="s">
        <v>36</v>
      </c>
      <c r="I5" t="s">
        <v>37</v>
      </c>
      <c r="K5">
        <v>1150000000</v>
      </c>
      <c r="L5" s="7">
        <v>46173</v>
      </c>
      <c r="M5" s="9">
        <v>7.2599999999999998E-2</v>
      </c>
      <c r="N5">
        <v>101</v>
      </c>
      <c r="O5">
        <v>4</v>
      </c>
      <c r="P5" s="8">
        <f t="shared" si="0"/>
        <v>4.2166566478047493E-2</v>
      </c>
      <c r="Q5" t="str">
        <f t="array" ref="Q5:R5">VLOOKUP(A5,$X$3:$AA$330,{3,4},0)</f>
        <v>Indemnity</v>
      </c>
      <c r="R5" t="str">
        <v>Per Occurrence</v>
      </c>
      <c r="X5" t="s">
        <v>38</v>
      </c>
      <c r="Y5">
        <v>334</v>
      </c>
      <c r="Z5" t="s">
        <v>26</v>
      </c>
      <c r="AA5" t="s">
        <v>33</v>
      </c>
    </row>
    <row r="6" spans="1:27">
      <c r="A6" t="s">
        <v>39</v>
      </c>
      <c r="B6">
        <v>4</v>
      </c>
      <c r="C6">
        <v>4</v>
      </c>
      <c r="D6" s="7" t="s">
        <v>40</v>
      </c>
      <c r="E6" s="7">
        <v>45444</v>
      </c>
      <c r="F6" s="7">
        <v>46538</v>
      </c>
      <c r="G6">
        <v>125000000</v>
      </c>
      <c r="H6" t="s">
        <v>36</v>
      </c>
      <c r="I6" t="s">
        <v>37</v>
      </c>
      <c r="K6">
        <v>400000000</v>
      </c>
      <c r="L6" s="7">
        <v>46538</v>
      </c>
      <c r="M6" s="9">
        <v>5.3900000000000003E-2</v>
      </c>
      <c r="N6">
        <v>100.25</v>
      </c>
      <c r="O6">
        <v>4</v>
      </c>
      <c r="P6" s="8">
        <f t="shared" si="0"/>
        <v>5.1932098317363472E-2</v>
      </c>
      <c r="Q6" t="str">
        <f t="array" ref="Q6:R6">VLOOKUP(A6,$X$3:$AA$330,{3,4},0)</f>
        <v>Indemnity</v>
      </c>
      <c r="R6" t="str">
        <v>Per Occurrence</v>
      </c>
      <c r="X6" t="s">
        <v>41</v>
      </c>
      <c r="Y6">
        <v>335</v>
      </c>
      <c r="Z6" t="s">
        <v>26</v>
      </c>
      <c r="AA6" t="s">
        <v>27</v>
      </c>
    </row>
    <row r="7" spans="1:27">
      <c r="A7" t="s">
        <v>42</v>
      </c>
      <c r="B7">
        <v>5</v>
      </c>
      <c r="C7">
        <v>5</v>
      </c>
      <c r="D7" s="7" t="s">
        <v>43</v>
      </c>
      <c r="E7" s="7">
        <v>45444</v>
      </c>
      <c r="F7" s="7">
        <v>46538</v>
      </c>
      <c r="G7">
        <v>100000000</v>
      </c>
      <c r="H7" t="s">
        <v>36</v>
      </c>
      <c r="I7" t="s">
        <v>37</v>
      </c>
      <c r="K7">
        <v>750000000</v>
      </c>
      <c r="L7" s="7">
        <v>46538</v>
      </c>
      <c r="M7" s="9">
        <v>8.3500000000000005E-2</v>
      </c>
      <c r="N7">
        <v>100.65</v>
      </c>
      <c r="O7">
        <v>4</v>
      </c>
      <c r="P7" s="8">
        <f t="shared" si="0"/>
        <v>7.8282775991882672E-2</v>
      </c>
      <c r="Q7" t="str">
        <f t="array" ref="Q7:R7">VLOOKUP(A7,$X$3:$AA$330,{3,4},0)</f>
        <v>Indemnity</v>
      </c>
      <c r="R7" t="str">
        <v>Per Occurrence</v>
      </c>
      <c r="X7" t="s">
        <v>44</v>
      </c>
      <c r="Y7">
        <v>336</v>
      </c>
      <c r="Z7" t="s">
        <v>32</v>
      </c>
      <c r="AA7" t="s">
        <v>33</v>
      </c>
    </row>
    <row r="8" spans="1:27">
      <c r="A8" t="s">
        <v>45</v>
      </c>
      <c r="B8">
        <v>6</v>
      </c>
      <c r="C8">
        <v>6</v>
      </c>
      <c r="D8" s="7" t="s">
        <v>46</v>
      </c>
      <c r="E8" s="7">
        <v>45885</v>
      </c>
      <c r="F8" s="7">
        <v>46996</v>
      </c>
      <c r="G8">
        <v>100000000</v>
      </c>
      <c r="H8" t="s">
        <v>47</v>
      </c>
      <c r="I8" t="s">
        <v>48</v>
      </c>
      <c r="K8">
        <v>5000000000</v>
      </c>
      <c r="L8" s="7">
        <v>46996</v>
      </c>
      <c r="M8" s="9">
        <v>0.11</v>
      </c>
      <c r="N8">
        <v>102.3</v>
      </c>
      <c r="O8">
        <v>4</v>
      </c>
      <c r="P8" s="8">
        <f t="shared" si="0"/>
        <v>9.9756932105917753E-2</v>
      </c>
      <c r="Q8" t="str">
        <f t="array" ref="Q8:R8">VLOOKUP(A8,$X$3:$AA$330,{3,4},0)</f>
        <v>Industry Loss</v>
      </c>
      <c r="R8" t="str">
        <v>Per Occurrence</v>
      </c>
      <c r="X8" t="s">
        <v>49</v>
      </c>
      <c r="Y8">
        <v>337</v>
      </c>
      <c r="Z8" t="s">
        <v>32</v>
      </c>
      <c r="AA8" t="s">
        <v>27</v>
      </c>
    </row>
    <row r="9" spans="1:27">
      <c r="A9" t="s">
        <v>50</v>
      </c>
      <c r="B9">
        <v>8</v>
      </c>
      <c r="C9">
        <v>8</v>
      </c>
      <c r="D9" s="7" t="s">
        <v>51</v>
      </c>
      <c r="E9" s="7">
        <v>45444</v>
      </c>
      <c r="F9" s="7">
        <v>46538</v>
      </c>
      <c r="G9">
        <v>100000000</v>
      </c>
      <c r="H9" t="s">
        <v>52</v>
      </c>
      <c r="I9" t="s">
        <v>53</v>
      </c>
      <c r="K9">
        <v>600000000</v>
      </c>
      <c r="L9" s="7">
        <v>46538</v>
      </c>
      <c r="M9" s="9">
        <v>7.306E-2</v>
      </c>
      <c r="N9">
        <v>102.6</v>
      </c>
      <c r="O9">
        <v>4</v>
      </c>
      <c r="P9" s="8">
        <f t="shared" si="0"/>
        <v>5.2717691687783862E-2</v>
      </c>
      <c r="Q9" t="str">
        <f t="array" ref="Q9:R9">VLOOKUP(A9,$X$3:$AA$330,{3,4},0)</f>
        <v>Industry Loss</v>
      </c>
      <c r="R9" t="str">
        <v>Per Occurrence</v>
      </c>
      <c r="X9" t="s">
        <v>5</v>
      </c>
      <c r="Y9">
        <v>1</v>
      </c>
      <c r="Z9" t="s">
        <v>32</v>
      </c>
      <c r="AA9" t="s">
        <v>33</v>
      </c>
    </row>
    <row r="10" spans="1:27">
      <c r="A10" t="s">
        <v>54</v>
      </c>
      <c r="B10">
        <v>9</v>
      </c>
      <c r="C10">
        <v>9</v>
      </c>
      <c r="D10" s="7" t="s">
        <v>55</v>
      </c>
      <c r="E10" s="7">
        <v>45444</v>
      </c>
      <c r="F10" s="7">
        <v>46538</v>
      </c>
      <c r="G10">
        <v>50000000</v>
      </c>
      <c r="H10" t="s">
        <v>52</v>
      </c>
      <c r="I10" t="s">
        <v>53</v>
      </c>
      <c r="K10">
        <v>420000000</v>
      </c>
      <c r="L10" s="7">
        <v>46538</v>
      </c>
      <c r="M10" s="9">
        <v>0.11323999999999999</v>
      </c>
      <c r="N10">
        <v>101.6</v>
      </c>
      <c r="O10">
        <v>4</v>
      </c>
      <c r="P10" s="8">
        <f t="shared" si="0"/>
        <v>0.10020784547332065</v>
      </c>
      <c r="Q10" t="str">
        <f t="array" ref="Q10:R10">VLOOKUP(A10,$X$3:$AA$330,{3,4},0)</f>
        <v>Industry Loss</v>
      </c>
      <c r="R10" t="str">
        <v>Per Occurrence and Annual Aggregate</v>
      </c>
      <c r="X10" t="s">
        <v>34</v>
      </c>
      <c r="Y10">
        <v>2</v>
      </c>
      <c r="Z10" t="s">
        <v>32</v>
      </c>
      <c r="AA10" t="s">
        <v>33</v>
      </c>
    </row>
    <row r="11" spans="1:27">
      <c r="A11" t="s">
        <v>56</v>
      </c>
      <c r="B11">
        <v>10</v>
      </c>
      <c r="C11">
        <v>10</v>
      </c>
      <c r="D11" s="7" t="s">
        <v>57</v>
      </c>
      <c r="E11" s="7">
        <v>45017</v>
      </c>
      <c r="F11" s="7">
        <v>46112</v>
      </c>
      <c r="G11">
        <v>500000000</v>
      </c>
      <c r="H11" t="s">
        <v>58</v>
      </c>
      <c r="I11" t="s">
        <v>53</v>
      </c>
      <c r="K11">
        <v>16626000000</v>
      </c>
      <c r="L11" s="7">
        <v>46112</v>
      </c>
      <c r="M11" s="9">
        <v>0.11</v>
      </c>
      <c r="N11">
        <v>100.1</v>
      </c>
      <c r="O11">
        <v>4</v>
      </c>
      <c r="P11" s="8">
        <f t="shared" si="0"/>
        <v>0.10295330803497826</v>
      </c>
      <c r="Q11" t="str">
        <f t="array" ref="Q11:R11">VLOOKUP(A11,$X$3:$AA$330,{3,4},0)</f>
        <v>Industry Loss</v>
      </c>
      <c r="R11" t="str">
        <v>Annual Aggregate</v>
      </c>
      <c r="X11" t="s">
        <v>59</v>
      </c>
      <c r="Y11">
        <v>3</v>
      </c>
      <c r="Z11" t="s">
        <v>32</v>
      </c>
      <c r="AA11" t="s">
        <v>33</v>
      </c>
    </row>
    <row r="12" spans="1:27">
      <c r="A12" t="s">
        <v>60</v>
      </c>
      <c r="B12">
        <v>11</v>
      </c>
      <c r="C12">
        <v>11</v>
      </c>
      <c r="D12" s="7" t="s">
        <v>61</v>
      </c>
      <c r="E12" s="7">
        <v>45658</v>
      </c>
      <c r="F12" s="7">
        <v>46752</v>
      </c>
      <c r="G12">
        <v>125000000</v>
      </c>
      <c r="H12" t="s">
        <v>62</v>
      </c>
      <c r="I12" t="s">
        <v>63</v>
      </c>
      <c r="K12">
        <v>100000000</v>
      </c>
      <c r="L12" s="7">
        <v>46752</v>
      </c>
      <c r="M12" s="9">
        <v>0.05</v>
      </c>
      <c r="N12">
        <v>102.6</v>
      </c>
      <c r="O12">
        <v>4</v>
      </c>
      <c r="P12" s="8">
        <f t="shared" si="0"/>
        <v>3.5895317016069843E-2</v>
      </c>
      <c r="Q12" t="str">
        <f t="array" ref="Q12:R12">VLOOKUP(A12,$X$3:$AA$330,{3,4},0)</f>
        <v>Industry Loss</v>
      </c>
      <c r="R12" t="str">
        <v>Annual Aggregate</v>
      </c>
      <c r="X12" t="s">
        <v>39</v>
      </c>
      <c r="Y12">
        <v>4</v>
      </c>
      <c r="Z12" t="s">
        <v>32</v>
      </c>
      <c r="AA12" t="s">
        <v>33</v>
      </c>
    </row>
    <row r="13" spans="1:27">
      <c r="A13" t="s">
        <v>64</v>
      </c>
      <c r="B13">
        <v>14</v>
      </c>
      <c r="C13">
        <v>14</v>
      </c>
      <c r="D13" s="7" t="s">
        <v>65</v>
      </c>
      <c r="E13" s="7">
        <v>45377</v>
      </c>
      <c r="F13" s="7">
        <v>46471</v>
      </c>
      <c r="G13">
        <v>450000000</v>
      </c>
      <c r="H13" t="s">
        <v>66</v>
      </c>
      <c r="I13" t="s">
        <v>67</v>
      </c>
      <c r="J13">
        <v>0</v>
      </c>
      <c r="K13">
        <v>450000000</v>
      </c>
      <c r="L13" s="7">
        <v>46471</v>
      </c>
      <c r="M13" s="9">
        <v>8.702E-2</v>
      </c>
      <c r="N13">
        <v>103.1</v>
      </c>
      <c r="O13">
        <v>4</v>
      </c>
      <c r="P13" s="8">
        <f t="shared" si="0"/>
        <v>5.8907616543021943E-2</v>
      </c>
      <c r="Q13" t="str">
        <f t="array" ref="Q13:R13">VLOOKUP(A13,$X$3:$AA$330,{3,4},0)</f>
        <v>Indemnity</v>
      </c>
      <c r="R13" t="str">
        <v>Annual Aggregate</v>
      </c>
      <c r="X13" t="s">
        <v>42</v>
      </c>
      <c r="Y13">
        <v>5</v>
      </c>
      <c r="Z13" t="s">
        <v>32</v>
      </c>
      <c r="AA13" t="s">
        <v>33</v>
      </c>
    </row>
    <row r="14" spans="1:27">
      <c r="A14" t="s">
        <v>68</v>
      </c>
      <c r="B14">
        <v>15</v>
      </c>
      <c r="C14">
        <v>15</v>
      </c>
      <c r="D14" s="7" t="s">
        <v>69</v>
      </c>
      <c r="E14" s="7">
        <v>45383</v>
      </c>
      <c r="F14" s="7">
        <v>46477</v>
      </c>
      <c r="G14">
        <v>105000000</v>
      </c>
      <c r="H14" t="s">
        <v>70</v>
      </c>
      <c r="I14" t="s">
        <v>71</v>
      </c>
      <c r="K14">
        <v>650000000</v>
      </c>
      <c r="L14" s="7">
        <v>46477</v>
      </c>
      <c r="M14" s="9">
        <v>5.1900000000000002E-2</v>
      </c>
      <c r="N14">
        <v>103.6</v>
      </c>
      <c r="O14">
        <v>4</v>
      </c>
      <c r="P14" s="8">
        <f t="shared" si="0"/>
        <v>2.058508077494671E-2</v>
      </c>
      <c r="Q14" t="str">
        <f t="array" ref="Q14:R14">VLOOKUP(A14,$X$3:$AA$330,{3,4},0)</f>
        <v>Indemnity</v>
      </c>
      <c r="R14" t="str">
        <v>Per Occurrence</v>
      </c>
      <c r="X14" t="s">
        <v>45</v>
      </c>
      <c r="Y14">
        <v>6</v>
      </c>
      <c r="Z14" t="s">
        <v>26</v>
      </c>
      <c r="AA14" t="s">
        <v>33</v>
      </c>
    </row>
    <row r="15" spans="1:27">
      <c r="A15" t="s">
        <v>72</v>
      </c>
      <c r="B15">
        <v>16</v>
      </c>
      <c r="C15">
        <v>16</v>
      </c>
      <c r="D15" s="7" t="s">
        <v>73</v>
      </c>
      <c r="E15" s="7">
        <v>45352</v>
      </c>
      <c r="F15" s="7">
        <v>46446</v>
      </c>
      <c r="G15">
        <v>100000000</v>
      </c>
      <c r="H15" t="s">
        <v>74</v>
      </c>
      <c r="I15" t="s">
        <v>75</v>
      </c>
      <c r="K15">
        <v>200000000</v>
      </c>
      <c r="L15" s="7">
        <v>46446</v>
      </c>
      <c r="M15" s="9">
        <v>6.4799999999999996E-2</v>
      </c>
      <c r="N15">
        <v>101.15</v>
      </c>
      <c r="O15">
        <v>4</v>
      </c>
      <c r="P15" s="8">
        <f t="shared" si="0"/>
        <v>5.3778199413613927E-2</v>
      </c>
      <c r="Q15" t="str">
        <f t="array" ref="Q15:R15">VLOOKUP(A15,$X$3:$AA$330,{3,4},0)</f>
        <v>Industry Loss</v>
      </c>
      <c r="R15" t="str">
        <v>Per Occurrence</v>
      </c>
      <c r="X15" t="s">
        <v>76</v>
      </c>
      <c r="Y15">
        <v>7</v>
      </c>
      <c r="Z15" t="s">
        <v>26</v>
      </c>
      <c r="AA15" t="s">
        <v>77</v>
      </c>
    </row>
    <row r="16" spans="1:27">
      <c r="A16" t="s">
        <v>78</v>
      </c>
      <c r="B16">
        <v>17</v>
      </c>
      <c r="C16">
        <v>17</v>
      </c>
      <c r="D16" s="7" t="s">
        <v>79</v>
      </c>
      <c r="E16" s="7">
        <v>45292</v>
      </c>
      <c r="F16" s="7">
        <v>46752</v>
      </c>
      <c r="G16">
        <v>200000000</v>
      </c>
      <c r="H16" t="s">
        <v>80</v>
      </c>
      <c r="I16" t="s">
        <v>81</v>
      </c>
      <c r="J16">
        <v>0</v>
      </c>
      <c r="K16">
        <v>420000000</v>
      </c>
      <c r="L16" s="7">
        <v>46752</v>
      </c>
      <c r="M16" s="9">
        <v>7.0000000000000007E-2</v>
      </c>
      <c r="N16">
        <v>101.95</v>
      </c>
      <c r="O16">
        <v>4</v>
      </c>
      <c r="P16" s="8">
        <f t="shared" si="0"/>
        <v>5.9147698171153222E-2</v>
      </c>
      <c r="Q16" t="str">
        <f t="array" ref="Q16:R16">VLOOKUP(A16,$X$3:$AA$330,{3,4},0)</f>
        <v>Industry Loss</v>
      </c>
      <c r="R16" t="str">
        <v>Per Occurrence</v>
      </c>
      <c r="X16" t="s">
        <v>50</v>
      </c>
      <c r="Y16">
        <v>8</v>
      </c>
      <c r="Z16" t="s">
        <v>26</v>
      </c>
      <c r="AA16" t="s">
        <v>33</v>
      </c>
    </row>
    <row r="17" spans="1:27">
      <c r="A17" t="s">
        <v>82</v>
      </c>
      <c r="B17">
        <v>327</v>
      </c>
      <c r="C17">
        <v>327</v>
      </c>
      <c r="D17" s="7" t="s">
        <v>83</v>
      </c>
      <c r="E17" s="7">
        <v>45292</v>
      </c>
      <c r="F17" s="7">
        <v>46387</v>
      </c>
      <c r="G17">
        <v>50000000</v>
      </c>
      <c r="H17" t="s">
        <v>84</v>
      </c>
      <c r="I17" t="s">
        <v>37</v>
      </c>
      <c r="K17">
        <v>600000000</v>
      </c>
      <c r="L17" s="7">
        <v>46387</v>
      </c>
      <c r="M17" s="9">
        <v>8.9200000000000002E-2</v>
      </c>
      <c r="N17">
        <v>102</v>
      </c>
      <c r="O17">
        <v>4</v>
      </c>
      <c r="P17" s="8">
        <f t="shared" si="0"/>
        <v>6.6483214129282819E-2</v>
      </c>
      <c r="Q17" t="str">
        <f t="array" ref="Q17:R17">VLOOKUP(A17,$X$3:$AA$330,{3,4},0)</f>
        <v>Indemnity</v>
      </c>
      <c r="R17" t="str">
        <v>Per Occurrence</v>
      </c>
      <c r="X17" t="s">
        <v>54</v>
      </c>
      <c r="Y17">
        <v>9</v>
      </c>
      <c r="Z17" t="s">
        <v>26</v>
      </c>
      <c r="AA17" t="s">
        <v>77</v>
      </c>
    </row>
    <row r="18" spans="1:27">
      <c r="A18" t="s">
        <v>85</v>
      </c>
      <c r="B18">
        <v>331</v>
      </c>
      <c r="C18">
        <v>331</v>
      </c>
      <c r="D18" s="7" t="s">
        <v>86</v>
      </c>
      <c r="E18" s="7">
        <v>45658</v>
      </c>
      <c r="F18" s="7">
        <v>46752</v>
      </c>
      <c r="G18">
        <v>75000000</v>
      </c>
      <c r="H18" t="s">
        <v>84</v>
      </c>
      <c r="I18" t="s">
        <v>37</v>
      </c>
      <c r="K18">
        <v>600000000</v>
      </c>
      <c r="L18" s="7">
        <v>46752</v>
      </c>
      <c r="M18" s="9">
        <v>8.2500000000000004E-2</v>
      </c>
      <c r="N18">
        <v>99.85</v>
      </c>
      <c r="O18">
        <v>4</v>
      </c>
      <c r="P18" s="8">
        <f t="shared" si="0"/>
        <v>8.3327976891849453E-2</v>
      </c>
      <c r="Q18" t="str">
        <f t="array" ref="Q18:R18">VLOOKUP(A18,$X$3:$AA$330,{3,4},0)</f>
        <v>Indemnity</v>
      </c>
      <c r="R18" t="str">
        <v>Per Occurrence</v>
      </c>
      <c r="X18" t="s">
        <v>56</v>
      </c>
      <c r="Y18">
        <v>10</v>
      </c>
      <c r="Z18" t="s">
        <v>26</v>
      </c>
      <c r="AA18" t="s">
        <v>27</v>
      </c>
    </row>
    <row r="19" spans="1:27">
      <c r="A19" t="s">
        <v>87</v>
      </c>
      <c r="B19">
        <v>19</v>
      </c>
      <c r="C19">
        <v>19</v>
      </c>
      <c r="D19" s="7" t="s">
        <v>88</v>
      </c>
      <c r="E19" s="7">
        <v>45674</v>
      </c>
      <c r="F19" s="7">
        <v>46752</v>
      </c>
      <c r="G19">
        <v>150000000</v>
      </c>
      <c r="H19" t="s">
        <v>89</v>
      </c>
      <c r="I19" t="s">
        <v>90</v>
      </c>
      <c r="K19">
        <v>150000000</v>
      </c>
      <c r="L19" s="7">
        <v>46752</v>
      </c>
      <c r="M19" s="9">
        <v>2.9000000000000001E-2</v>
      </c>
      <c r="N19">
        <v>102.8</v>
      </c>
      <c r="O19">
        <v>4</v>
      </c>
      <c r="P19" s="8">
        <f t="shared" si="0"/>
        <v>1.4164743133366582E-2</v>
      </c>
      <c r="Q19" t="str">
        <f t="array" ref="Q19:R19">VLOOKUP(A19,$X$3:$AA$330,{3,4},0)</f>
        <v>Indemnity</v>
      </c>
      <c r="R19" t="str">
        <v>Per Occurrence</v>
      </c>
      <c r="X19" t="s">
        <v>60</v>
      </c>
      <c r="Y19">
        <v>11</v>
      </c>
      <c r="Z19" t="s">
        <v>26</v>
      </c>
      <c r="AA19" t="s">
        <v>27</v>
      </c>
    </row>
    <row r="20" spans="1:27">
      <c r="A20" t="s">
        <v>91</v>
      </c>
      <c r="B20">
        <v>21</v>
      </c>
      <c r="C20">
        <v>21</v>
      </c>
      <c r="D20" s="7" t="s">
        <v>92</v>
      </c>
      <c r="E20" s="7">
        <v>45809</v>
      </c>
      <c r="F20" s="7">
        <v>46752</v>
      </c>
      <c r="G20">
        <v>75000000</v>
      </c>
      <c r="H20" t="s">
        <v>93</v>
      </c>
      <c r="I20" t="s">
        <v>37</v>
      </c>
      <c r="J20">
        <v>0</v>
      </c>
      <c r="K20">
        <v>330000000</v>
      </c>
      <c r="L20" s="7">
        <v>46752</v>
      </c>
      <c r="M20" s="9">
        <v>3.7499999999999999E-2</v>
      </c>
      <c r="N20">
        <v>104.6</v>
      </c>
      <c r="O20">
        <v>4</v>
      </c>
      <c r="P20" s="8">
        <f t="shared" si="0"/>
        <v>1.3154914847344422E-2</v>
      </c>
      <c r="Q20" t="str">
        <f t="array" ref="Q20:R20">VLOOKUP(A20,$X$3:$AA$330,{3,4},0)</f>
        <v>Indemnity</v>
      </c>
      <c r="R20" t="str">
        <v>Per Occurrence</v>
      </c>
      <c r="X20" t="s">
        <v>94</v>
      </c>
      <c r="Y20">
        <v>12</v>
      </c>
      <c r="Z20" t="s">
        <v>26</v>
      </c>
      <c r="AA20" t="s">
        <v>27</v>
      </c>
    </row>
    <row r="21" spans="1:27">
      <c r="A21" t="s">
        <v>95</v>
      </c>
      <c r="B21">
        <v>22</v>
      </c>
      <c r="C21">
        <v>22</v>
      </c>
      <c r="D21" s="7" t="s">
        <v>96</v>
      </c>
      <c r="E21" s="7">
        <v>45809</v>
      </c>
      <c r="F21" s="7">
        <v>46752</v>
      </c>
      <c r="G21">
        <v>200000000</v>
      </c>
      <c r="H21" t="s">
        <v>93</v>
      </c>
      <c r="I21" t="s">
        <v>37</v>
      </c>
      <c r="J21">
        <v>0</v>
      </c>
      <c r="K21">
        <v>200000000</v>
      </c>
      <c r="L21" s="7">
        <v>46752</v>
      </c>
      <c r="M21" s="9">
        <v>5.5E-2</v>
      </c>
      <c r="N21">
        <v>102.85</v>
      </c>
      <c r="O21">
        <v>4</v>
      </c>
      <c r="P21" s="8">
        <f t="shared" si="0"/>
        <v>3.9479371493042557E-2</v>
      </c>
      <c r="Q21" t="str">
        <f t="array" ref="Q21:R21">VLOOKUP(A21,$X$3:$AA$330,{3,4},0)</f>
        <v>Indemnity</v>
      </c>
      <c r="R21" t="str">
        <v>Per Occurrence</v>
      </c>
      <c r="X21" t="s">
        <v>97</v>
      </c>
      <c r="Y21">
        <v>13</v>
      </c>
      <c r="Z21" t="s">
        <v>32</v>
      </c>
      <c r="AA21" t="s">
        <v>27</v>
      </c>
    </row>
    <row r="22" spans="1:27">
      <c r="A22" t="s">
        <v>98</v>
      </c>
      <c r="B22">
        <v>23</v>
      </c>
      <c r="C22">
        <v>23</v>
      </c>
      <c r="D22" s="7" t="s">
        <v>99</v>
      </c>
      <c r="E22" s="7">
        <v>45748</v>
      </c>
      <c r="F22" s="7">
        <v>47208</v>
      </c>
      <c r="G22">
        <v>350000000</v>
      </c>
      <c r="H22" t="s">
        <v>100</v>
      </c>
      <c r="I22" t="s">
        <v>101</v>
      </c>
      <c r="J22">
        <v>0</v>
      </c>
      <c r="K22">
        <v>950000000</v>
      </c>
      <c r="L22" s="7">
        <v>47208</v>
      </c>
      <c r="M22" s="9">
        <v>5.3600000000000002E-2</v>
      </c>
      <c r="N22">
        <v>103.75</v>
      </c>
      <c r="O22">
        <v>4</v>
      </c>
      <c r="P22" s="8">
        <f t="shared" si="0"/>
        <v>4.0908806987923041E-2</v>
      </c>
      <c r="Q22" t="str">
        <f t="array" ref="Q22:R22">VLOOKUP(A22,$X$3:$AA$330,{3,4},0)</f>
        <v>Indemnity</v>
      </c>
      <c r="R22" t="str">
        <v>Per Occurrence</v>
      </c>
      <c r="X22" t="s">
        <v>64</v>
      </c>
      <c r="Y22">
        <v>14</v>
      </c>
      <c r="Z22" t="s">
        <v>32</v>
      </c>
      <c r="AA22" t="s">
        <v>27</v>
      </c>
    </row>
    <row r="23" spans="1:27">
      <c r="A23" t="s">
        <v>102</v>
      </c>
      <c r="B23">
        <v>24</v>
      </c>
      <c r="C23">
        <v>24</v>
      </c>
      <c r="D23" s="7" t="s">
        <v>103</v>
      </c>
      <c r="E23" s="7">
        <v>45658</v>
      </c>
      <c r="F23" s="7">
        <v>47208</v>
      </c>
      <c r="G23">
        <v>300000000</v>
      </c>
      <c r="H23" t="s">
        <v>100</v>
      </c>
      <c r="I23" t="s">
        <v>101</v>
      </c>
      <c r="J23">
        <v>0</v>
      </c>
      <c r="K23">
        <v>1999375000</v>
      </c>
      <c r="L23" s="7">
        <v>47208</v>
      </c>
      <c r="M23" s="9">
        <v>3.9899999999999998E-2</v>
      </c>
      <c r="N23">
        <v>101.85</v>
      </c>
      <c r="O23">
        <v>4</v>
      </c>
      <c r="P23" s="8">
        <f t="shared" si="0"/>
        <v>3.3712833916210466E-2</v>
      </c>
      <c r="Q23" t="str">
        <f t="array" ref="Q23:R23">VLOOKUP(A23,$X$3:$AA$330,{3,4},0)</f>
        <v>Indemnity</v>
      </c>
      <c r="R23" t="str">
        <v>Per Occurrence</v>
      </c>
      <c r="X23" t="s">
        <v>68</v>
      </c>
      <c r="Y23">
        <v>15</v>
      </c>
      <c r="Z23" t="s">
        <v>32</v>
      </c>
      <c r="AA23" t="s">
        <v>33</v>
      </c>
    </row>
    <row r="24" spans="1:27">
      <c r="A24" t="s">
        <v>104</v>
      </c>
      <c r="B24">
        <v>26</v>
      </c>
      <c r="C24">
        <v>26</v>
      </c>
      <c r="D24" s="7" t="s">
        <v>105</v>
      </c>
      <c r="E24" s="7">
        <v>45809</v>
      </c>
      <c r="F24" s="7">
        <v>47269</v>
      </c>
      <c r="G24">
        <v>50000000</v>
      </c>
      <c r="H24" t="s">
        <v>106</v>
      </c>
      <c r="I24" t="s">
        <v>37</v>
      </c>
      <c r="J24">
        <v>0</v>
      </c>
      <c r="K24">
        <v>800000000</v>
      </c>
      <c r="L24" s="7">
        <v>47269</v>
      </c>
      <c r="M24" s="9">
        <v>0.13</v>
      </c>
      <c r="N24">
        <v>102.8</v>
      </c>
      <c r="O24">
        <v>4</v>
      </c>
      <c r="P24" s="8">
        <f t="shared" si="0"/>
        <v>0.11965117882521288</v>
      </c>
      <c r="Q24" t="str">
        <f t="array" ref="Q24:R24">VLOOKUP(A24,$X$3:$AA$330,{3,4},0)</f>
        <v>Indemnity</v>
      </c>
      <c r="R24" t="str">
        <v>Annual Aggregate</v>
      </c>
      <c r="X24" t="s">
        <v>72</v>
      </c>
      <c r="Y24">
        <v>16</v>
      </c>
      <c r="Z24" t="s">
        <v>26</v>
      </c>
      <c r="AA24" t="s">
        <v>33</v>
      </c>
    </row>
    <row r="25" spans="1:27">
      <c r="A25" t="s">
        <v>107</v>
      </c>
      <c r="B25">
        <v>27</v>
      </c>
      <c r="C25">
        <v>27</v>
      </c>
      <c r="D25" s="7" t="s">
        <v>108</v>
      </c>
      <c r="E25" s="7">
        <v>45809</v>
      </c>
      <c r="F25" s="7">
        <v>47269</v>
      </c>
      <c r="G25">
        <v>150000000</v>
      </c>
      <c r="H25" t="s">
        <v>106</v>
      </c>
      <c r="I25" t="s">
        <v>37</v>
      </c>
      <c r="J25">
        <v>0</v>
      </c>
      <c r="K25">
        <v>1100000000</v>
      </c>
      <c r="L25" s="7">
        <v>47269</v>
      </c>
      <c r="M25" s="9">
        <v>7.7499999999999999E-2</v>
      </c>
      <c r="N25">
        <v>99.3</v>
      </c>
      <c r="O25">
        <v>4</v>
      </c>
      <c r="P25" s="8">
        <f t="shared" si="0"/>
        <v>7.9898131982206813E-2</v>
      </c>
      <c r="Q25" t="str">
        <f t="array" ref="Q25:R25">VLOOKUP(A25,$X$3:$AA$330,{3,4},0)</f>
        <v>Indemnity</v>
      </c>
      <c r="R25" t="str">
        <v>Annual Aggregate</v>
      </c>
      <c r="X25" t="s">
        <v>78</v>
      </c>
      <c r="Y25">
        <v>17</v>
      </c>
      <c r="Z25" t="s">
        <v>26</v>
      </c>
      <c r="AA25" t="s">
        <v>33</v>
      </c>
    </row>
    <row r="26" spans="1:27">
      <c r="A26" t="s">
        <v>109</v>
      </c>
      <c r="B26">
        <v>28</v>
      </c>
      <c r="C26">
        <v>28</v>
      </c>
      <c r="D26" s="7" t="s">
        <v>110</v>
      </c>
      <c r="E26" s="7">
        <v>45809</v>
      </c>
      <c r="F26" s="7">
        <v>47269</v>
      </c>
      <c r="G26">
        <v>225000000</v>
      </c>
      <c r="H26" t="s">
        <v>106</v>
      </c>
      <c r="I26" t="s">
        <v>37</v>
      </c>
      <c r="J26">
        <v>0</v>
      </c>
      <c r="K26">
        <v>450000000</v>
      </c>
      <c r="L26" s="7">
        <v>47269</v>
      </c>
      <c r="M26" s="9">
        <v>5.7500000000000002E-2</v>
      </c>
      <c r="N26">
        <v>103.1</v>
      </c>
      <c r="O26">
        <v>4</v>
      </c>
      <c r="P26" s="8">
        <f t="shared" si="0"/>
        <v>4.7385201043520356E-2</v>
      </c>
      <c r="Q26" t="str">
        <f t="array" ref="Q26:R26">VLOOKUP(A26,$X$3:$AA$330,{3,4},0)</f>
        <v>Indemnity</v>
      </c>
      <c r="R26" t="str">
        <v>Annual Aggregate</v>
      </c>
      <c r="X26" t="s">
        <v>82</v>
      </c>
      <c r="Y26">
        <v>327</v>
      </c>
      <c r="Z26" t="s">
        <v>32</v>
      </c>
      <c r="AA26" t="s">
        <v>33</v>
      </c>
    </row>
    <row r="27" spans="1:27">
      <c r="A27" t="s">
        <v>111</v>
      </c>
      <c r="B27">
        <v>29</v>
      </c>
      <c r="C27">
        <v>29</v>
      </c>
      <c r="D27" s="7" t="s">
        <v>112</v>
      </c>
      <c r="E27" s="7">
        <v>45292</v>
      </c>
      <c r="F27" s="7">
        <v>46387</v>
      </c>
      <c r="G27">
        <v>200000000</v>
      </c>
      <c r="H27" t="s">
        <v>113</v>
      </c>
      <c r="I27" t="s">
        <v>114</v>
      </c>
      <c r="J27">
        <v>0</v>
      </c>
      <c r="K27">
        <v>330000000</v>
      </c>
      <c r="L27" s="7">
        <v>46387</v>
      </c>
      <c r="M27" s="9">
        <v>7.4999999999999997E-2</v>
      </c>
      <c r="N27">
        <v>102.925</v>
      </c>
      <c r="O27">
        <v>4</v>
      </c>
      <c r="P27" s="8">
        <f t="shared" si="0"/>
        <v>4.2275852899259045E-2</v>
      </c>
      <c r="Q27" t="str">
        <f t="array" ref="Q27:R27">VLOOKUP(A27,$X$3:$AA$330,{3,4},0)</f>
        <v>Industry Loss</v>
      </c>
      <c r="R27" t="str">
        <v>Per Occurrence</v>
      </c>
      <c r="X27" t="s">
        <v>85</v>
      </c>
      <c r="Y27">
        <v>331</v>
      </c>
      <c r="Z27" t="s">
        <v>32</v>
      </c>
      <c r="AA27" t="s">
        <v>33</v>
      </c>
    </row>
    <row r="28" spans="1:27">
      <c r="A28" t="s">
        <v>115</v>
      </c>
      <c r="B28">
        <v>30</v>
      </c>
      <c r="C28">
        <v>30</v>
      </c>
      <c r="D28" s="7" t="s">
        <v>116</v>
      </c>
      <c r="E28" s="7">
        <v>45666</v>
      </c>
      <c r="F28" s="7">
        <v>46752</v>
      </c>
      <c r="G28">
        <v>250000000</v>
      </c>
      <c r="H28" t="s">
        <v>117</v>
      </c>
      <c r="I28" t="s">
        <v>118</v>
      </c>
      <c r="K28">
        <v>250000000</v>
      </c>
      <c r="L28" s="7">
        <v>46752</v>
      </c>
      <c r="M28" s="9">
        <v>0.04</v>
      </c>
      <c r="N28">
        <v>102.75</v>
      </c>
      <c r="O28">
        <v>4</v>
      </c>
      <c r="P28" s="8">
        <f t="shared" si="0"/>
        <v>2.5253159718891763E-2</v>
      </c>
      <c r="Q28" t="str">
        <f t="array" ref="Q28:R28">VLOOKUP(A28,$X$3:$AA$330,{3,4},0)</f>
        <v>Industry Loss</v>
      </c>
      <c r="R28" t="str">
        <v>Annual Aggregate</v>
      </c>
      <c r="X28" t="s">
        <v>119</v>
      </c>
      <c r="Y28">
        <v>18</v>
      </c>
      <c r="Z28" t="s">
        <v>26</v>
      </c>
      <c r="AA28" t="s">
        <v>33</v>
      </c>
    </row>
    <row r="29" spans="1:27">
      <c r="A29" t="s">
        <v>120</v>
      </c>
      <c r="B29">
        <v>33</v>
      </c>
      <c r="C29">
        <v>33</v>
      </c>
      <c r="D29" s="7" t="s">
        <v>121</v>
      </c>
      <c r="E29" s="7">
        <v>44896</v>
      </c>
      <c r="F29" s="7">
        <v>46356</v>
      </c>
      <c r="G29">
        <v>60000000</v>
      </c>
      <c r="H29" t="s">
        <v>122</v>
      </c>
      <c r="I29" t="s">
        <v>37</v>
      </c>
      <c r="J29">
        <v>0</v>
      </c>
      <c r="K29">
        <v>1300000000</v>
      </c>
      <c r="L29" s="7">
        <v>46356</v>
      </c>
      <c r="M29" s="9">
        <v>0.1066</v>
      </c>
      <c r="N29">
        <v>100</v>
      </c>
      <c r="O29">
        <v>4</v>
      </c>
      <c r="P29" s="8">
        <f t="shared" si="0"/>
        <v>0.1065010447377069</v>
      </c>
      <c r="Q29" t="str">
        <f t="array" ref="Q29:R29">VLOOKUP(A29,$X$3:$AA$330,{3,4},0)</f>
        <v>Indemnity</v>
      </c>
      <c r="R29" t="str">
        <v>Per Occurrence</v>
      </c>
      <c r="X29" t="s">
        <v>87</v>
      </c>
      <c r="Y29">
        <v>19</v>
      </c>
      <c r="Z29" t="s">
        <v>32</v>
      </c>
      <c r="AA29" t="s">
        <v>33</v>
      </c>
    </row>
    <row r="30" spans="1:27">
      <c r="A30" t="s">
        <v>123</v>
      </c>
      <c r="B30">
        <v>34</v>
      </c>
      <c r="C30">
        <v>34</v>
      </c>
      <c r="D30" s="7" t="s">
        <v>124</v>
      </c>
      <c r="E30" s="7">
        <v>44896</v>
      </c>
      <c r="F30" s="7">
        <v>46356</v>
      </c>
      <c r="G30">
        <v>135000000</v>
      </c>
      <c r="H30" t="s">
        <v>122</v>
      </c>
      <c r="I30" t="s">
        <v>37</v>
      </c>
      <c r="J30">
        <v>0</v>
      </c>
      <c r="K30">
        <v>500000000</v>
      </c>
      <c r="L30" s="7">
        <v>46356</v>
      </c>
      <c r="M30" s="9">
        <v>7.5899999999999995E-2</v>
      </c>
      <c r="N30">
        <v>104.5</v>
      </c>
      <c r="O30">
        <v>4</v>
      </c>
      <c r="P30" s="8">
        <f t="shared" si="0"/>
        <v>2.1263197023999661E-2</v>
      </c>
      <c r="Q30" t="str">
        <f t="array" ref="Q30:R30">VLOOKUP(A30,$X$3:$AA$330,{3,4},0)</f>
        <v>Indemnity</v>
      </c>
      <c r="R30" t="str">
        <v>Per Occurrence</v>
      </c>
      <c r="X30" t="s">
        <v>125</v>
      </c>
      <c r="Y30">
        <v>20</v>
      </c>
      <c r="Z30" t="s">
        <v>32</v>
      </c>
      <c r="AA30" t="s">
        <v>27</v>
      </c>
    </row>
    <row r="31" spans="1:27">
      <c r="A31" t="s">
        <v>126</v>
      </c>
      <c r="B31">
        <v>35</v>
      </c>
      <c r="C31">
        <v>35</v>
      </c>
      <c r="D31" s="7" t="s">
        <v>127</v>
      </c>
      <c r="E31" s="7">
        <v>45261</v>
      </c>
      <c r="F31" s="7">
        <v>46721</v>
      </c>
      <c r="G31">
        <v>150000000</v>
      </c>
      <c r="H31" t="s">
        <v>128</v>
      </c>
      <c r="I31" t="s">
        <v>37</v>
      </c>
      <c r="J31">
        <v>0</v>
      </c>
      <c r="K31">
        <v>1300000000</v>
      </c>
      <c r="L31" s="7">
        <v>46721</v>
      </c>
      <c r="M31" s="9">
        <v>8.6999999999999994E-2</v>
      </c>
      <c r="N31">
        <v>104.65</v>
      </c>
      <c r="O31">
        <v>4</v>
      </c>
      <c r="P31" s="8">
        <f t="shared" si="0"/>
        <v>6.0005195905753428E-2</v>
      </c>
      <c r="Q31" t="str">
        <f t="array" ref="Q31:R31">VLOOKUP(A31,$X$3:$AA$330,{3,4},0)</f>
        <v>Indemnity</v>
      </c>
      <c r="R31" t="str">
        <v>Per Occurrence</v>
      </c>
      <c r="X31" t="s">
        <v>91</v>
      </c>
      <c r="Y31">
        <v>21</v>
      </c>
      <c r="Z31" t="s">
        <v>32</v>
      </c>
      <c r="AA31" t="s">
        <v>33</v>
      </c>
    </row>
    <row r="32" spans="1:27">
      <c r="A32" t="s">
        <v>129</v>
      </c>
      <c r="B32">
        <v>36</v>
      </c>
      <c r="C32">
        <v>36</v>
      </c>
      <c r="D32" s="7" t="s">
        <v>130</v>
      </c>
      <c r="E32" s="7">
        <v>45261</v>
      </c>
      <c r="F32" s="7">
        <v>46721</v>
      </c>
      <c r="G32">
        <v>200000000</v>
      </c>
      <c r="H32" t="s">
        <v>128</v>
      </c>
      <c r="I32" t="s">
        <v>37</v>
      </c>
      <c r="K32">
        <v>600000000</v>
      </c>
      <c r="L32" s="7">
        <v>46721</v>
      </c>
      <c r="M32" s="9">
        <v>5.9700000000000003E-2</v>
      </c>
      <c r="N32">
        <v>105.2</v>
      </c>
      <c r="O32">
        <v>4</v>
      </c>
      <c r="P32" s="8">
        <f t="shared" si="0"/>
        <v>3.0423231021959152E-2</v>
      </c>
      <c r="Q32" t="str">
        <f t="array" ref="Q32:R32">VLOOKUP(A32,$X$3:$AA$330,{3,4},0)</f>
        <v>Indemnity</v>
      </c>
      <c r="R32" t="str">
        <v>Per Occurrence</v>
      </c>
      <c r="X32" t="s">
        <v>95</v>
      </c>
      <c r="Y32">
        <v>22</v>
      </c>
      <c r="Z32" t="s">
        <v>32</v>
      </c>
      <c r="AA32" t="s">
        <v>33</v>
      </c>
    </row>
    <row r="33" spans="1:27">
      <c r="A33" t="s">
        <v>131</v>
      </c>
      <c r="B33">
        <v>37</v>
      </c>
      <c r="C33">
        <v>37</v>
      </c>
      <c r="D33" s="7" t="s">
        <v>132</v>
      </c>
      <c r="E33" s="7">
        <v>45627</v>
      </c>
      <c r="F33" s="7">
        <v>47087</v>
      </c>
      <c r="G33">
        <v>75000000</v>
      </c>
      <c r="H33" t="s">
        <v>133</v>
      </c>
      <c r="I33" t="s">
        <v>37</v>
      </c>
      <c r="J33">
        <v>0</v>
      </c>
      <c r="K33">
        <v>1100000000</v>
      </c>
      <c r="L33" s="7">
        <v>47087</v>
      </c>
      <c r="M33" s="9">
        <v>0.13420000000000001</v>
      </c>
      <c r="N33">
        <v>105.4</v>
      </c>
      <c r="O33">
        <v>4</v>
      </c>
      <c r="P33" s="8">
        <f t="shared" si="0"/>
        <v>0.11166213980877157</v>
      </c>
      <c r="Q33" t="str">
        <f t="array" ref="Q33:R33">VLOOKUP(A33,$X$3:$AA$330,{3,4},0)</f>
        <v>Indemnity</v>
      </c>
      <c r="R33" t="str">
        <v>Per Occurrence</v>
      </c>
      <c r="X33" t="s">
        <v>98</v>
      </c>
      <c r="Y33">
        <v>23</v>
      </c>
      <c r="Z33" t="s">
        <v>32</v>
      </c>
      <c r="AA33" t="s">
        <v>33</v>
      </c>
    </row>
    <row r="34" spans="1:27">
      <c r="A34" t="s">
        <v>134</v>
      </c>
      <c r="B34">
        <v>38</v>
      </c>
      <c r="C34">
        <v>38</v>
      </c>
      <c r="D34" s="7" t="s">
        <v>135</v>
      </c>
      <c r="E34" s="7">
        <v>45627</v>
      </c>
      <c r="F34" s="7">
        <v>47087</v>
      </c>
      <c r="G34">
        <v>200000000</v>
      </c>
      <c r="H34" t="s">
        <v>133</v>
      </c>
      <c r="I34" t="s">
        <v>37</v>
      </c>
      <c r="J34">
        <v>0</v>
      </c>
      <c r="K34">
        <v>1300000000</v>
      </c>
      <c r="L34" s="7">
        <v>47087</v>
      </c>
      <c r="M34" s="9">
        <v>6.9400000000000003E-2</v>
      </c>
      <c r="N34">
        <v>107.85</v>
      </c>
      <c r="O34">
        <v>4</v>
      </c>
      <c r="P34" s="8">
        <f t="shared" si="0"/>
        <v>3.9951278606777128E-2</v>
      </c>
      <c r="Q34" t="str">
        <f t="array" ref="Q34:R34">VLOOKUP(A34,$X$3:$AA$330,{3,4},0)</f>
        <v>Indemnity</v>
      </c>
      <c r="R34" t="str">
        <v>Per Occurrence</v>
      </c>
      <c r="X34" t="s">
        <v>102</v>
      </c>
      <c r="Y34">
        <v>24</v>
      </c>
      <c r="Z34" t="s">
        <v>32</v>
      </c>
      <c r="AA34" t="s">
        <v>33</v>
      </c>
    </row>
    <row r="35" spans="1:27">
      <c r="A35" t="s">
        <v>136</v>
      </c>
      <c r="B35">
        <v>39</v>
      </c>
      <c r="C35">
        <v>39</v>
      </c>
      <c r="D35" s="7" t="s">
        <v>137</v>
      </c>
      <c r="E35" s="7">
        <v>45627</v>
      </c>
      <c r="F35" s="7">
        <v>47087</v>
      </c>
      <c r="G35">
        <v>175000000</v>
      </c>
      <c r="H35" t="s">
        <v>133</v>
      </c>
      <c r="I35" t="s">
        <v>37</v>
      </c>
      <c r="J35">
        <v>0</v>
      </c>
      <c r="K35">
        <v>500000000</v>
      </c>
      <c r="L35" s="7">
        <v>47087</v>
      </c>
      <c r="M35" s="9">
        <v>5.3800000000000001E-2</v>
      </c>
      <c r="N35">
        <v>108.35</v>
      </c>
      <c r="O35">
        <v>4</v>
      </c>
      <c r="P35" s="8">
        <f t="shared" si="0"/>
        <v>2.3258947861490846E-2</v>
      </c>
      <c r="Q35" t="str">
        <f t="array" ref="Q35:R35">VLOOKUP(A35,$X$3:$AA$330,{3,4},0)</f>
        <v>Indemnity</v>
      </c>
      <c r="R35" t="str">
        <v>Per Occurrence</v>
      </c>
      <c r="X35" t="s">
        <v>138</v>
      </c>
      <c r="Y35">
        <v>25</v>
      </c>
      <c r="Z35" t="s">
        <v>26</v>
      </c>
      <c r="AA35" t="s">
        <v>33</v>
      </c>
    </row>
    <row r="36" spans="1:27">
      <c r="A36" t="s">
        <v>139</v>
      </c>
      <c r="B36">
        <v>40</v>
      </c>
      <c r="C36">
        <v>40</v>
      </c>
      <c r="D36" s="7" t="s">
        <v>140</v>
      </c>
      <c r="E36" s="7">
        <v>45839</v>
      </c>
      <c r="F36" s="7">
        <v>47299</v>
      </c>
      <c r="G36">
        <v>250000000</v>
      </c>
      <c r="H36" t="s">
        <v>141</v>
      </c>
      <c r="I36" t="s">
        <v>142</v>
      </c>
      <c r="K36">
        <v>500000000</v>
      </c>
      <c r="L36" s="7">
        <v>47299</v>
      </c>
      <c r="M36" s="9">
        <v>3.7499999999999999E-2</v>
      </c>
      <c r="N36">
        <v>107.75</v>
      </c>
      <c r="O36">
        <v>4</v>
      </c>
      <c r="P36" s="8">
        <f t="shared" si="0"/>
        <v>1.422018148499416E-2</v>
      </c>
      <c r="Q36" t="str">
        <f t="array" ref="Q36:R36">VLOOKUP(A36,$X$3:$AA$330,{3,4},0)</f>
        <v>Indemnity</v>
      </c>
      <c r="R36" t="str">
        <v>Per Occurrence</v>
      </c>
      <c r="X36" t="s">
        <v>104</v>
      </c>
      <c r="Y36">
        <v>26</v>
      </c>
      <c r="Z36" t="s">
        <v>32</v>
      </c>
      <c r="AA36" t="s">
        <v>27</v>
      </c>
    </row>
    <row r="37" spans="1:27">
      <c r="A37" t="s">
        <v>143</v>
      </c>
      <c r="B37">
        <v>41</v>
      </c>
      <c r="C37">
        <v>41</v>
      </c>
      <c r="D37" s="7" t="s">
        <v>144</v>
      </c>
      <c r="E37" s="7">
        <v>45108</v>
      </c>
      <c r="F37" s="7">
        <v>46568</v>
      </c>
      <c r="G37">
        <v>100000000</v>
      </c>
      <c r="H37" t="s">
        <v>141</v>
      </c>
      <c r="I37" t="s">
        <v>142</v>
      </c>
      <c r="K37">
        <v>300000000</v>
      </c>
      <c r="L37" s="7">
        <v>46568</v>
      </c>
      <c r="M37" s="9">
        <v>5.0500000000000003E-2</v>
      </c>
      <c r="N37">
        <v>100</v>
      </c>
      <c r="O37">
        <v>4</v>
      </c>
      <c r="P37" s="8">
        <f t="shared" si="0"/>
        <v>5.0487061623138256E-2</v>
      </c>
      <c r="Q37" t="str">
        <f t="array" ref="Q37:R37">VLOOKUP(A37,$X$3:$AA$330,{3,4},0)</f>
        <v>Indemnity</v>
      </c>
      <c r="R37" t="str">
        <v>Per Occurrence</v>
      </c>
      <c r="X37" t="s">
        <v>107</v>
      </c>
      <c r="Y37">
        <v>27</v>
      </c>
      <c r="Z37" t="s">
        <v>32</v>
      </c>
      <c r="AA37" t="s">
        <v>27</v>
      </c>
    </row>
    <row r="38" spans="1:27">
      <c r="A38" t="s">
        <v>145</v>
      </c>
      <c r="B38">
        <v>44</v>
      </c>
      <c r="C38">
        <v>44</v>
      </c>
      <c r="D38" s="7" t="s">
        <v>146</v>
      </c>
      <c r="E38" s="7">
        <v>45474</v>
      </c>
      <c r="F38" s="7">
        <v>46568</v>
      </c>
      <c r="G38">
        <v>100000000</v>
      </c>
      <c r="H38" t="s">
        <v>147</v>
      </c>
      <c r="I38" t="s">
        <v>148</v>
      </c>
      <c r="K38">
        <v>500000000</v>
      </c>
      <c r="L38" s="7">
        <v>46568</v>
      </c>
      <c r="M38" s="9">
        <v>4.9250000000000002E-2</v>
      </c>
      <c r="N38">
        <v>101.25</v>
      </c>
      <c r="O38">
        <v>4</v>
      </c>
      <c r="P38" s="8">
        <f t="shared" si="0"/>
        <v>4.0119230039523349E-2</v>
      </c>
      <c r="Q38" t="str">
        <f t="array" ref="Q38:R38">VLOOKUP(A38,$X$3:$AA$330,{3,4},0)</f>
        <v>Indemnity</v>
      </c>
      <c r="R38" t="str">
        <v>Annual Aggregate</v>
      </c>
      <c r="X38" t="s">
        <v>109</v>
      </c>
      <c r="Y38">
        <v>28</v>
      </c>
      <c r="Z38" t="s">
        <v>32</v>
      </c>
      <c r="AA38" t="s">
        <v>27</v>
      </c>
    </row>
    <row r="39" spans="1:27">
      <c r="A39" t="s">
        <v>149</v>
      </c>
      <c r="B39">
        <v>45</v>
      </c>
      <c r="C39">
        <v>45</v>
      </c>
      <c r="D39" s="7" t="s">
        <v>150</v>
      </c>
      <c r="E39" s="7">
        <v>45839</v>
      </c>
      <c r="F39" s="7">
        <v>46934</v>
      </c>
      <c r="G39">
        <v>225000000</v>
      </c>
      <c r="H39" t="s">
        <v>147</v>
      </c>
      <c r="I39" t="s">
        <v>148</v>
      </c>
      <c r="K39">
        <v>600000000</v>
      </c>
      <c r="L39" s="7">
        <v>46934</v>
      </c>
      <c r="M39" s="9">
        <v>3.5000000000000003E-2</v>
      </c>
      <c r="N39">
        <v>104.2</v>
      </c>
      <c r="O39">
        <v>4</v>
      </c>
      <c r="P39" s="8">
        <f t="shared" si="0"/>
        <v>1.7217476573205413E-2</v>
      </c>
      <c r="Q39" t="str">
        <f t="array" ref="Q39:R39">VLOOKUP(A39,$X$3:$AA$330,{3,4},0)</f>
        <v>Indemnity</v>
      </c>
      <c r="R39" t="str">
        <v>Annual Aggregate</v>
      </c>
      <c r="X39" t="s">
        <v>111</v>
      </c>
      <c r="Y39">
        <v>29</v>
      </c>
      <c r="Z39" t="s">
        <v>26</v>
      </c>
      <c r="AA39" t="s">
        <v>33</v>
      </c>
    </row>
    <row r="40" spans="1:27">
      <c r="A40" t="s">
        <v>151</v>
      </c>
      <c r="B40">
        <v>46</v>
      </c>
      <c r="C40">
        <v>46</v>
      </c>
      <c r="D40" s="7" t="s">
        <v>152</v>
      </c>
      <c r="E40" s="7">
        <v>44713</v>
      </c>
      <c r="F40" s="7">
        <v>46173</v>
      </c>
      <c r="G40">
        <v>35000000</v>
      </c>
      <c r="H40" t="s">
        <v>122</v>
      </c>
      <c r="I40" t="s">
        <v>153</v>
      </c>
      <c r="J40">
        <v>0</v>
      </c>
      <c r="K40">
        <v>550000000</v>
      </c>
      <c r="L40" s="7">
        <v>46173</v>
      </c>
      <c r="M40" s="9">
        <v>0.12520000000000001</v>
      </c>
      <c r="N40">
        <v>103.15</v>
      </c>
      <c r="O40">
        <v>4</v>
      </c>
      <c r="P40" s="8">
        <f t="shared" si="0"/>
        <v>2.9800148598951585E-2</v>
      </c>
      <c r="Q40" t="str">
        <f t="array" ref="Q40:R40">VLOOKUP(A40,$X$3:$AA$330,{3,4},0)</f>
        <v>NULL</v>
      </c>
      <c r="R40" t="str">
        <v>NULL</v>
      </c>
      <c r="X40" t="s">
        <v>115</v>
      </c>
      <c r="Y40">
        <v>30</v>
      </c>
      <c r="Z40" t="s">
        <v>26</v>
      </c>
      <c r="AA40" t="s">
        <v>27</v>
      </c>
    </row>
    <row r="41" spans="1:27">
      <c r="A41" t="s">
        <v>154</v>
      </c>
      <c r="B41">
        <v>47</v>
      </c>
      <c r="C41">
        <v>47</v>
      </c>
      <c r="D41" s="7" t="s">
        <v>155</v>
      </c>
      <c r="E41" s="7">
        <v>44713</v>
      </c>
      <c r="F41" s="7">
        <v>46173</v>
      </c>
      <c r="G41">
        <v>60000000</v>
      </c>
      <c r="H41" t="s">
        <v>122</v>
      </c>
      <c r="I41" t="s">
        <v>153</v>
      </c>
      <c r="J41">
        <v>0</v>
      </c>
      <c r="K41">
        <v>600000000</v>
      </c>
      <c r="L41" s="7">
        <v>46173</v>
      </c>
      <c r="M41" s="9">
        <v>7.6799999999999993E-2</v>
      </c>
      <c r="N41">
        <v>102.35</v>
      </c>
      <c r="O41">
        <v>4</v>
      </c>
      <c r="P41" s="8">
        <f t="shared" si="0"/>
        <v>6.1633822312980356E-3</v>
      </c>
      <c r="Q41" t="str">
        <f t="array" ref="Q41:R41">VLOOKUP(A41,$X$3:$AA$330,{3,4},0)</f>
        <v>NULL</v>
      </c>
      <c r="R41" t="str">
        <v>NULL</v>
      </c>
      <c r="X41" t="s">
        <v>156</v>
      </c>
      <c r="Y41">
        <v>31</v>
      </c>
      <c r="Z41" t="s">
        <v>153</v>
      </c>
      <c r="AA41" t="s">
        <v>153</v>
      </c>
    </row>
    <row r="42" spans="1:27">
      <c r="A42" t="s">
        <v>157</v>
      </c>
      <c r="B42">
        <v>50</v>
      </c>
      <c r="C42">
        <v>50</v>
      </c>
      <c r="D42" s="7" t="s">
        <v>158</v>
      </c>
      <c r="E42" s="7">
        <v>45078</v>
      </c>
      <c r="F42" s="7">
        <v>46538</v>
      </c>
      <c r="G42">
        <v>125000000</v>
      </c>
      <c r="H42" t="s">
        <v>128</v>
      </c>
      <c r="I42" t="s">
        <v>37</v>
      </c>
      <c r="J42">
        <v>0</v>
      </c>
      <c r="K42">
        <v>600000000</v>
      </c>
      <c r="L42" s="7">
        <v>46538</v>
      </c>
      <c r="M42" s="9">
        <v>0.1104</v>
      </c>
      <c r="N42">
        <v>102.9</v>
      </c>
      <c r="O42">
        <v>4</v>
      </c>
      <c r="P42" s="8">
        <f t="shared" si="0"/>
        <v>8.7074314622914428E-2</v>
      </c>
      <c r="Q42" t="str">
        <f t="array" ref="Q42:R42">VLOOKUP(A42,$X$3:$AA$330,{3,4},0)</f>
        <v>Indemnity</v>
      </c>
      <c r="R42" t="str">
        <v>Annual Aggregate</v>
      </c>
      <c r="X42" t="s">
        <v>159</v>
      </c>
      <c r="Y42">
        <v>32</v>
      </c>
      <c r="Z42" t="s">
        <v>153</v>
      </c>
      <c r="AA42" t="s">
        <v>153</v>
      </c>
    </row>
    <row r="43" spans="1:27">
      <c r="A43" t="s">
        <v>160</v>
      </c>
      <c r="B43">
        <v>51</v>
      </c>
      <c r="C43">
        <v>51</v>
      </c>
      <c r="D43" s="7" t="s">
        <v>161</v>
      </c>
      <c r="E43" s="7">
        <v>45078</v>
      </c>
      <c r="F43" s="7">
        <v>46538</v>
      </c>
      <c r="G43">
        <v>275000000</v>
      </c>
      <c r="H43" t="s">
        <v>128</v>
      </c>
      <c r="I43" t="s">
        <v>37</v>
      </c>
      <c r="J43">
        <v>0</v>
      </c>
      <c r="K43">
        <v>900000000</v>
      </c>
      <c r="L43" s="7">
        <v>46538</v>
      </c>
      <c r="M43" s="9">
        <v>6.7599999999999993E-2</v>
      </c>
      <c r="N43">
        <v>107.2</v>
      </c>
      <c r="O43">
        <v>4</v>
      </c>
      <c r="P43" s="8">
        <f t="shared" si="0"/>
        <v>1.3036738902225254E-2</v>
      </c>
      <c r="Q43" t="str">
        <f t="array" ref="Q43:R43">VLOOKUP(A43,$X$3:$AA$330,{3,4},0)</f>
        <v>Indemnity</v>
      </c>
      <c r="R43" t="str">
        <v>Annual Aggregate</v>
      </c>
      <c r="X43" t="s">
        <v>120</v>
      </c>
      <c r="Y43">
        <v>33</v>
      </c>
      <c r="Z43" t="s">
        <v>32</v>
      </c>
      <c r="AA43" t="s">
        <v>33</v>
      </c>
    </row>
    <row r="44" spans="1:27">
      <c r="A44" t="s">
        <v>162</v>
      </c>
      <c r="B44">
        <v>52</v>
      </c>
      <c r="C44">
        <v>52</v>
      </c>
      <c r="D44" s="7" t="s">
        <v>163</v>
      </c>
      <c r="E44" s="7">
        <v>45444</v>
      </c>
      <c r="F44" s="7">
        <v>46904</v>
      </c>
      <c r="G44">
        <v>50000000</v>
      </c>
      <c r="H44" t="s">
        <v>133</v>
      </c>
      <c r="I44" t="s">
        <v>37</v>
      </c>
      <c r="J44">
        <v>0</v>
      </c>
      <c r="K44">
        <v>600000000</v>
      </c>
      <c r="L44" s="7">
        <v>46904</v>
      </c>
      <c r="M44" s="9">
        <v>9.6500000000000002E-2</v>
      </c>
      <c r="N44">
        <v>99.000846999999993</v>
      </c>
      <c r="O44">
        <v>4</v>
      </c>
      <c r="P44" s="8">
        <f t="shared" si="0"/>
        <v>0.10132931816341607</v>
      </c>
      <c r="Q44" t="str">
        <f t="array" ref="Q44:R44">VLOOKUP(A44,$X$3:$AA$330,{3,4},0)</f>
        <v>Indemnity</v>
      </c>
      <c r="R44" t="str">
        <v>Annual Aggregate</v>
      </c>
      <c r="X44" t="s">
        <v>123</v>
      </c>
      <c r="Y44">
        <v>34</v>
      </c>
      <c r="Z44" t="s">
        <v>32</v>
      </c>
      <c r="AA44" t="s">
        <v>33</v>
      </c>
    </row>
    <row r="45" spans="1:27">
      <c r="A45" t="s">
        <v>164</v>
      </c>
      <c r="B45">
        <v>53</v>
      </c>
      <c r="C45">
        <v>53</v>
      </c>
      <c r="D45" s="7" t="s">
        <v>165</v>
      </c>
      <c r="E45" s="7">
        <v>45444</v>
      </c>
      <c r="F45" s="7">
        <v>46904</v>
      </c>
      <c r="G45">
        <v>75000000</v>
      </c>
      <c r="H45" t="s">
        <v>133</v>
      </c>
      <c r="I45" t="s">
        <v>37</v>
      </c>
      <c r="J45">
        <v>0</v>
      </c>
      <c r="K45">
        <v>900000000</v>
      </c>
      <c r="L45" s="7">
        <v>46904</v>
      </c>
      <c r="M45" s="9">
        <v>5.9799999999999999E-2</v>
      </c>
      <c r="N45">
        <v>99.014825999999999</v>
      </c>
      <c r="O45">
        <v>4</v>
      </c>
      <c r="P45" s="8">
        <f t="shared" si="0"/>
        <v>6.4368656796735327E-2</v>
      </c>
      <c r="Q45" t="str">
        <f t="array" ref="Q45:R45">VLOOKUP(A45,$X$3:$AA$330,{3,4},0)</f>
        <v>Indemnity</v>
      </c>
      <c r="R45" t="str">
        <v>Annual Aggregate</v>
      </c>
      <c r="X45" t="s">
        <v>126</v>
      </c>
      <c r="Y45">
        <v>35</v>
      </c>
      <c r="Z45" t="s">
        <v>32</v>
      </c>
      <c r="AA45" t="s">
        <v>33</v>
      </c>
    </row>
    <row r="46" spans="1:27">
      <c r="A46" t="s">
        <v>166</v>
      </c>
      <c r="B46">
        <v>54</v>
      </c>
      <c r="C46">
        <v>54</v>
      </c>
      <c r="D46" s="7" t="s">
        <v>167</v>
      </c>
      <c r="E46" s="7">
        <v>45839</v>
      </c>
      <c r="F46" s="7">
        <v>46934</v>
      </c>
      <c r="G46">
        <v>110000000</v>
      </c>
      <c r="H46" t="s">
        <v>168</v>
      </c>
      <c r="I46" t="s">
        <v>169</v>
      </c>
      <c r="K46">
        <v>125000000</v>
      </c>
      <c r="L46" s="7">
        <v>46934</v>
      </c>
      <c r="M46" s="9">
        <v>4.2500000000000003E-2</v>
      </c>
      <c r="N46">
        <v>98.982583000000005</v>
      </c>
      <c r="O46">
        <v>4</v>
      </c>
      <c r="P46" s="8">
        <f t="shared" si="0"/>
        <v>4.6972054293853739E-2</v>
      </c>
      <c r="Q46" t="str">
        <f t="array" ref="Q46:R46">VLOOKUP(A46,$X$3:$AA$330,{3,4},0)</f>
        <v>Indemnity</v>
      </c>
      <c r="R46" t="str">
        <v>Per Occurrence</v>
      </c>
      <c r="X46" t="s">
        <v>129</v>
      </c>
      <c r="Y46">
        <v>36</v>
      </c>
      <c r="Z46" t="s">
        <v>32</v>
      </c>
      <c r="AA46" t="s">
        <v>33</v>
      </c>
    </row>
    <row r="47" spans="1:27">
      <c r="A47" t="s">
        <v>170</v>
      </c>
      <c r="B47">
        <v>57</v>
      </c>
      <c r="C47">
        <v>57</v>
      </c>
      <c r="D47" s="7" t="s">
        <v>171</v>
      </c>
      <c r="E47" s="7">
        <v>45839</v>
      </c>
      <c r="F47" s="7">
        <v>46934</v>
      </c>
      <c r="G47">
        <v>80000000</v>
      </c>
      <c r="H47" t="s">
        <v>168</v>
      </c>
      <c r="I47" t="s">
        <v>172</v>
      </c>
      <c r="K47">
        <v>400000000</v>
      </c>
      <c r="L47" s="7">
        <v>46934</v>
      </c>
      <c r="M47" s="9">
        <v>0.105</v>
      </c>
      <c r="N47">
        <v>99.597986000000006</v>
      </c>
      <c r="O47">
        <v>4</v>
      </c>
      <c r="P47" s="8">
        <f t="shared" si="0"/>
        <v>0.10687309381597142</v>
      </c>
      <c r="Q47" t="str">
        <f t="array" ref="Q47:R47">VLOOKUP(A47,$X$3:$AA$330,{3,4},0)</f>
        <v>Indemnity</v>
      </c>
      <c r="R47" t="str">
        <v>Per Occurrence</v>
      </c>
      <c r="X47" t="s">
        <v>131</v>
      </c>
      <c r="Y47">
        <v>37</v>
      </c>
      <c r="Z47" t="s">
        <v>32</v>
      </c>
      <c r="AA47" t="s">
        <v>33</v>
      </c>
    </row>
    <row r="48" spans="1:27">
      <c r="A48" t="s">
        <v>173</v>
      </c>
      <c r="B48">
        <v>58</v>
      </c>
      <c r="C48">
        <v>58</v>
      </c>
      <c r="D48" s="7" t="s">
        <v>174</v>
      </c>
      <c r="E48" s="7">
        <v>45839</v>
      </c>
      <c r="F48" s="7">
        <v>46568</v>
      </c>
      <c r="G48">
        <v>150000000</v>
      </c>
      <c r="H48" t="s">
        <v>168</v>
      </c>
      <c r="I48" t="s">
        <v>172</v>
      </c>
      <c r="J48">
        <v>200000000</v>
      </c>
      <c r="K48">
        <v>200000000</v>
      </c>
      <c r="L48" s="7">
        <v>46568</v>
      </c>
      <c r="M48" s="9">
        <v>9.5000000000000001E-2</v>
      </c>
      <c r="N48">
        <v>99.601875000000007</v>
      </c>
      <c r="O48">
        <v>4</v>
      </c>
      <c r="P48" s="8">
        <f t="shared" si="0"/>
        <v>9.7995339518721497E-2</v>
      </c>
      <c r="Q48" t="str">
        <f t="array" ref="Q48:R48">VLOOKUP(A48,$X$3:$AA$330,{3,4},0)</f>
        <v>Indemnity</v>
      </c>
      <c r="R48" t="str">
        <v>Per Occurrence</v>
      </c>
      <c r="X48" t="s">
        <v>134</v>
      </c>
      <c r="Y48">
        <v>38</v>
      </c>
      <c r="Z48" t="s">
        <v>32</v>
      </c>
      <c r="AA48" t="s">
        <v>33</v>
      </c>
    </row>
    <row r="49" spans="1:27">
      <c r="A49" t="s">
        <v>175</v>
      </c>
      <c r="B49">
        <v>59</v>
      </c>
      <c r="C49">
        <v>59</v>
      </c>
      <c r="D49" s="7" t="s">
        <v>176</v>
      </c>
      <c r="E49" s="7">
        <v>45839</v>
      </c>
      <c r="F49" s="7">
        <v>46934</v>
      </c>
      <c r="G49">
        <v>150000000</v>
      </c>
      <c r="H49" t="s">
        <v>168</v>
      </c>
      <c r="I49" t="s">
        <v>177</v>
      </c>
      <c r="K49">
        <v>250000000</v>
      </c>
      <c r="L49" s="7">
        <v>46934</v>
      </c>
      <c r="M49" s="9">
        <v>7.0000000000000007E-2</v>
      </c>
      <c r="N49">
        <v>98.938749999999999</v>
      </c>
      <c r="O49">
        <v>4</v>
      </c>
      <c r="P49" s="8">
        <f t="shared" si="0"/>
        <v>7.4824791078834635E-2</v>
      </c>
      <c r="Q49" t="str">
        <f t="array" ref="Q49:R49">VLOOKUP(A49,$X$3:$AA$330,{3,4},0)</f>
        <v>Indemnity</v>
      </c>
      <c r="R49" t="str">
        <v>Per Occurrence</v>
      </c>
      <c r="X49" t="s">
        <v>136</v>
      </c>
      <c r="Y49">
        <v>39</v>
      </c>
      <c r="Z49" t="s">
        <v>32</v>
      </c>
      <c r="AA49" t="s">
        <v>33</v>
      </c>
    </row>
    <row r="50" spans="1:27">
      <c r="A50" t="s">
        <v>178</v>
      </c>
      <c r="B50">
        <v>60</v>
      </c>
      <c r="C50">
        <v>60</v>
      </c>
      <c r="D50" s="7" t="s">
        <v>179</v>
      </c>
      <c r="E50" s="7">
        <v>45066</v>
      </c>
      <c r="F50" s="7">
        <v>46142</v>
      </c>
      <c r="G50">
        <v>100000000</v>
      </c>
      <c r="H50" t="s">
        <v>180</v>
      </c>
      <c r="I50" t="s">
        <v>181</v>
      </c>
      <c r="J50">
        <v>0</v>
      </c>
      <c r="K50">
        <v>100000000</v>
      </c>
      <c r="L50" s="7">
        <v>46142</v>
      </c>
      <c r="M50" s="9">
        <v>5.7500000000000002E-2</v>
      </c>
      <c r="N50">
        <v>98.933278000000001</v>
      </c>
      <c r="O50">
        <v>4</v>
      </c>
      <c r="P50" s="8">
        <f t="shared" si="0"/>
        <v>0.10124892455296995</v>
      </c>
      <c r="Q50" t="str">
        <f t="array" ref="Q50:R50">VLOOKUP(A50,$X$3:$AA$330,{3,4},0)</f>
        <v>2nd Gen Parametric</v>
      </c>
      <c r="R50" t="str">
        <v>Per Occurrence</v>
      </c>
      <c r="X50" t="s">
        <v>139</v>
      </c>
      <c r="Y50">
        <v>40</v>
      </c>
      <c r="Z50" t="s">
        <v>32</v>
      </c>
      <c r="AA50" t="s">
        <v>33</v>
      </c>
    </row>
    <row r="51" spans="1:27">
      <c r="A51" t="s">
        <v>182</v>
      </c>
      <c r="B51">
        <v>61</v>
      </c>
      <c r="C51">
        <v>61</v>
      </c>
      <c r="D51" s="7" t="s">
        <v>183</v>
      </c>
      <c r="E51" s="7">
        <v>45415</v>
      </c>
      <c r="F51" s="7">
        <v>46740</v>
      </c>
      <c r="G51">
        <v>150000000</v>
      </c>
      <c r="H51" t="s">
        <v>184</v>
      </c>
      <c r="I51" t="s">
        <v>185</v>
      </c>
      <c r="J51">
        <v>0</v>
      </c>
      <c r="K51">
        <v>150000000</v>
      </c>
      <c r="L51" s="7">
        <v>46740</v>
      </c>
      <c r="M51" s="9">
        <v>7.0000000000000007E-2</v>
      </c>
      <c r="N51">
        <v>98.908541999999997</v>
      </c>
      <c r="O51">
        <v>4</v>
      </c>
      <c r="P51" s="8">
        <f t="shared" si="0"/>
        <v>7.6252770304720247E-2</v>
      </c>
      <c r="Q51" t="str">
        <f t="array" ref="Q51:R51">VLOOKUP(A51,$X$3:$AA$330,{3,4},0)</f>
        <v>1st Gen Parametric</v>
      </c>
      <c r="R51" t="str">
        <v>Per Occurrence</v>
      </c>
      <c r="X51" t="s">
        <v>143</v>
      </c>
      <c r="Y51">
        <v>41</v>
      </c>
      <c r="Z51" t="s">
        <v>32</v>
      </c>
      <c r="AA51" t="s">
        <v>33</v>
      </c>
    </row>
    <row r="52" spans="1:27">
      <c r="A52" t="s">
        <v>186</v>
      </c>
      <c r="B52">
        <v>62</v>
      </c>
      <c r="C52">
        <v>62</v>
      </c>
      <c r="D52" s="7" t="s">
        <v>187</v>
      </c>
      <c r="E52" s="7">
        <v>45010</v>
      </c>
      <c r="F52" s="7">
        <v>46105</v>
      </c>
      <c r="G52">
        <v>350000000</v>
      </c>
      <c r="H52" t="s">
        <v>188</v>
      </c>
      <c r="I52" t="s">
        <v>189</v>
      </c>
      <c r="J52">
        <v>0</v>
      </c>
      <c r="K52">
        <v>350000000</v>
      </c>
      <c r="L52" s="7">
        <v>46105</v>
      </c>
      <c r="M52" s="9">
        <v>4.7500000000000001E-2</v>
      </c>
      <c r="N52">
        <v>98.920277999999996</v>
      </c>
      <c r="O52">
        <v>4</v>
      </c>
      <c r="P52" s="8">
        <f t="shared" si="0"/>
        <v>0.11930757421438082</v>
      </c>
      <c r="Q52" t="str">
        <f t="array" ref="Q52:R52">VLOOKUP(A52,$X$3:$AA$330,{3,4},0)</f>
        <v>1st Gen Parametric</v>
      </c>
      <c r="R52" t="str">
        <v>Per Occurrence</v>
      </c>
      <c r="X52" t="s">
        <v>190</v>
      </c>
      <c r="Y52">
        <v>42</v>
      </c>
      <c r="Z52" t="s">
        <v>32</v>
      </c>
      <c r="AA52" t="s">
        <v>27</v>
      </c>
    </row>
    <row r="53" spans="1:27">
      <c r="A53" t="s">
        <v>191</v>
      </c>
      <c r="B53">
        <v>63</v>
      </c>
      <c r="C53">
        <v>63</v>
      </c>
      <c r="D53" s="7" t="s">
        <v>192</v>
      </c>
      <c r="E53" s="7">
        <v>45779</v>
      </c>
      <c r="F53" s="7">
        <v>46843</v>
      </c>
      <c r="G53">
        <v>150000000</v>
      </c>
      <c r="H53" t="s">
        <v>193</v>
      </c>
      <c r="I53" t="s">
        <v>194</v>
      </c>
      <c r="K53">
        <v>300000000</v>
      </c>
      <c r="L53" s="7">
        <v>46843</v>
      </c>
      <c r="M53" s="9">
        <v>3.2500000000000001E-2</v>
      </c>
      <c r="N53">
        <v>100</v>
      </c>
      <c r="O53">
        <v>4</v>
      </c>
      <c r="P53" s="8">
        <f t="shared" si="0"/>
        <v>3.2496496438831263E-2</v>
      </c>
      <c r="Q53" t="str">
        <f t="array" ref="Q53:R53">VLOOKUP(A53,$X$3:$AA$330,{3,4},0)</f>
        <v>Indemnity</v>
      </c>
      <c r="R53" t="str">
        <v>Per Occurrence</v>
      </c>
      <c r="X53" t="s">
        <v>195</v>
      </c>
      <c r="Y53">
        <v>43</v>
      </c>
      <c r="Z53" t="s">
        <v>32</v>
      </c>
      <c r="AA53" t="s">
        <v>27</v>
      </c>
    </row>
    <row r="54" spans="1:27">
      <c r="A54" t="s">
        <v>196</v>
      </c>
      <c r="B54">
        <v>64</v>
      </c>
      <c r="C54">
        <v>64</v>
      </c>
      <c r="D54" s="7" t="s">
        <v>197</v>
      </c>
      <c r="E54" s="7">
        <v>45315</v>
      </c>
      <c r="F54" s="7">
        <v>46843</v>
      </c>
      <c r="G54">
        <v>400000000</v>
      </c>
      <c r="H54" t="s">
        <v>198</v>
      </c>
      <c r="I54" t="s">
        <v>101</v>
      </c>
      <c r="J54">
        <v>0</v>
      </c>
      <c r="K54">
        <v>1000000000</v>
      </c>
      <c r="L54" s="7">
        <v>46843</v>
      </c>
      <c r="M54" s="9">
        <v>5.5599999999999997E-2</v>
      </c>
      <c r="N54">
        <v>98.930750000000003</v>
      </c>
      <c r="O54">
        <v>4</v>
      </c>
      <c r="P54" s="8">
        <f t="shared" si="0"/>
        <v>6.0893556265075977E-2</v>
      </c>
      <c r="Q54" t="str">
        <f t="array" ref="Q54:R54">VLOOKUP(A54,$X$3:$AA$330,{3,4},0)</f>
        <v>Indemnity</v>
      </c>
      <c r="R54" t="str">
        <v>Per Occurrence</v>
      </c>
      <c r="X54" t="s">
        <v>145</v>
      </c>
      <c r="Y54">
        <v>44</v>
      </c>
      <c r="Z54" t="s">
        <v>32</v>
      </c>
      <c r="AA54" t="s">
        <v>27</v>
      </c>
    </row>
    <row r="55" spans="1:27">
      <c r="A55" t="s">
        <v>199</v>
      </c>
      <c r="B55">
        <v>65</v>
      </c>
      <c r="C55">
        <v>65</v>
      </c>
      <c r="D55" s="7" t="s">
        <v>200</v>
      </c>
      <c r="E55" s="7">
        <v>45017</v>
      </c>
      <c r="F55" s="7">
        <v>46477</v>
      </c>
      <c r="G55">
        <v>100000000</v>
      </c>
      <c r="H55" t="s">
        <v>198</v>
      </c>
      <c r="I55" t="s">
        <v>101</v>
      </c>
      <c r="J55">
        <v>0</v>
      </c>
      <c r="K55">
        <v>750000000</v>
      </c>
      <c r="L55" s="7">
        <v>46477</v>
      </c>
      <c r="M55" s="9">
        <v>5.4699999999999999E-2</v>
      </c>
      <c r="N55">
        <v>98.954999999999998</v>
      </c>
      <c r="O55">
        <v>4</v>
      </c>
      <c r="P55" s="8">
        <f t="shared" si="0"/>
        <v>6.4045818586521433E-2</v>
      </c>
      <c r="Q55" t="str">
        <f t="array" ref="Q55:R55">VLOOKUP(A55,$X$3:$AA$330,{3,4},0)</f>
        <v>Indemnity</v>
      </c>
      <c r="R55" t="str">
        <v>Per Occurrence</v>
      </c>
      <c r="X55" t="s">
        <v>149</v>
      </c>
      <c r="Y55">
        <v>45</v>
      </c>
      <c r="Z55" t="s">
        <v>32</v>
      </c>
      <c r="AA55" t="s">
        <v>27</v>
      </c>
    </row>
    <row r="56" spans="1:27">
      <c r="A56" t="s">
        <v>201</v>
      </c>
      <c r="B56">
        <v>66</v>
      </c>
      <c r="C56">
        <v>66</v>
      </c>
      <c r="D56" s="7" t="s">
        <v>202</v>
      </c>
      <c r="E56" s="7">
        <v>45017</v>
      </c>
      <c r="F56" s="7">
        <v>46477</v>
      </c>
      <c r="G56">
        <v>150000000</v>
      </c>
      <c r="H56" t="s">
        <v>198</v>
      </c>
      <c r="I56" t="s">
        <v>101</v>
      </c>
      <c r="J56">
        <v>0</v>
      </c>
      <c r="K56">
        <v>500000000</v>
      </c>
      <c r="L56" s="7">
        <v>46477</v>
      </c>
      <c r="M56" s="9">
        <v>0.15840000000000001</v>
      </c>
      <c r="N56">
        <v>99.988167000000004</v>
      </c>
      <c r="O56">
        <v>4</v>
      </c>
      <c r="P56" s="8">
        <f t="shared" si="0"/>
        <v>0.15835019353307789</v>
      </c>
      <c r="Q56" t="str">
        <f t="array" ref="Q56:R56">VLOOKUP(A56,$X$3:$AA$330,{3,4},0)</f>
        <v>Indemnity</v>
      </c>
      <c r="R56" t="str">
        <v>Annual Aggregate</v>
      </c>
      <c r="X56" t="s">
        <v>151</v>
      </c>
      <c r="Y56">
        <v>46</v>
      </c>
      <c r="Z56" t="s">
        <v>153</v>
      </c>
      <c r="AA56" t="s">
        <v>153</v>
      </c>
    </row>
    <row r="57" spans="1:27">
      <c r="A57" t="s">
        <v>203</v>
      </c>
      <c r="B57">
        <v>67</v>
      </c>
      <c r="C57">
        <v>67</v>
      </c>
      <c r="D57" s="7" t="s">
        <v>204</v>
      </c>
      <c r="E57" s="7">
        <v>44903</v>
      </c>
      <c r="F57" s="7">
        <v>46477</v>
      </c>
      <c r="G57">
        <v>100000000</v>
      </c>
      <c r="H57" t="s">
        <v>198</v>
      </c>
      <c r="I57" t="s">
        <v>101</v>
      </c>
      <c r="J57">
        <v>0</v>
      </c>
      <c r="K57">
        <v>250000000</v>
      </c>
      <c r="L57" s="7">
        <v>46477</v>
      </c>
      <c r="M57" s="9">
        <v>5.9900000000000002E-2</v>
      </c>
      <c r="N57">
        <v>99.905332999999999</v>
      </c>
      <c r="O57">
        <v>4</v>
      </c>
      <c r="P57" s="8">
        <f t="shared" si="0"/>
        <v>6.0724252558470707E-2</v>
      </c>
      <c r="Q57" t="str">
        <f t="array" ref="Q57:R57">VLOOKUP(A57,$X$3:$AA$330,{3,4},0)</f>
        <v>Indemnity</v>
      </c>
      <c r="R57" t="str">
        <v>Per Occurrence</v>
      </c>
      <c r="X57" t="s">
        <v>154</v>
      </c>
      <c r="Y57">
        <v>47</v>
      </c>
      <c r="Z57" t="s">
        <v>153</v>
      </c>
      <c r="AA57" t="s">
        <v>153</v>
      </c>
    </row>
    <row r="58" spans="1:27">
      <c r="A58" t="s">
        <v>205</v>
      </c>
      <c r="B58">
        <v>68</v>
      </c>
      <c r="C58">
        <v>68</v>
      </c>
      <c r="D58" s="7" t="s">
        <v>206</v>
      </c>
      <c r="E58" s="7">
        <v>44652</v>
      </c>
      <c r="F58" s="7">
        <v>46112</v>
      </c>
      <c r="G58">
        <v>200000000</v>
      </c>
      <c r="H58" t="s">
        <v>198</v>
      </c>
      <c r="I58" t="s">
        <v>101</v>
      </c>
      <c r="J58">
        <v>0</v>
      </c>
      <c r="K58">
        <v>750000000</v>
      </c>
      <c r="L58" s="7">
        <v>46112</v>
      </c>
      <c r="M58" s="9">
        <v>3.3399999999999999E-2</v>
      </c>
      <c r="N58">
        <v>99.021319000000005</v>
      </c>
      <c r="O58">
        <v>4</v>
      </c>
      <c r="P58" s="8">
        <f t="shared" si="0"/>
        <v>9.27705765683495E-2</v>
      </c>
      <c r="Q58" t="str">
        <f t="array" ref="Q58:R58">VLOOKUP(A58,$X$3:$AA$330,{3,4},0)</f>
        <v>Indemnity</v>
      </c>
      <c r="R58" t="str">
        <v>Per Occurrence</v>
      </c>
      <c r="X58" t="s">
        <v>207</v>
      </c>
      <c r="Y58">
        <v>48</v>
      </c>
      <c r="Z58" t="s">
        <v>153</v>
      </c>
      <c r="AA58" t="s">
        <v>153</v>
      </c>
    </row>
    <row r="59" spans="1:27">
      <c r="A59" t="s">
        <v>208</v>
      </c>
      <c r="B59">
        <v>69</v>
      </c>
      <c r="C59">
        <v>69</v>
      </c>
      <c r="D59" s="7" t="s">
        <v>202</v>
      </c>
      <c r="E59" s="7">
        <v>44652</v>
      </c>
      <c r="F59" s="7">
        <v>46112</v>
      </c>
      <c r="G59">
        <v>175000000</v>
      </c>
      <c r="H59" t="s">
        <v>198</v>
      </c>
      <c r="I59" t="s">
        <v>101</v>
      </c>
      <c r="J59">
        <v>0</v>
      </c>
      <c r="K59">
        <v>500000000</v>
      </c>
      <c r="L59" s="7">
        <v>46112</v>
      </c>
      <c r="M59" s="9">
        <v>0.1081</v>
      </c>
      <c r="N59">
        <v>99.014583000000002</v>
      </c>
      <c r="O59">
        <v>4</v>
      </c>
      <c r="P59" s="8">
        <f t="shared" si="0"/>
        <v>0.16736658479419445</v>
      </c>
      <c r="Q59" t="str">
        <f t="array" ref="Q59:R59">VLOOKUP(A59,$X$3:$AA$330,{3,4},0)</f>
        <v>Indemnity</v>
      </c>
      <c r="R59" t="str">
        <v>Per Occurrence and Annual Aggregate</v>
      </c>
      <c r="X59" t="s">
        <v>209</v>
      </c>
      <c r="Y59">
        <v>49</v>
      </c>
      <c r="Z59" t="s">
        <v>32</v>
      </c>
      <c r="AA59" t="s">
        <v>27</v>
      </c>
    </row>
    <row r="60" spans="1:27">
      <c r="A60" t="s">
        <v>210</v>
      </c>
      <c r="B60">
        <v>70</v>
      </c>
      <c r="C60">
        <v>70</v>
      </c>
      <c r="D60" s="7" t="s">
        <v>211</v>
      </c>
      <c r="E60" s="7">
        <v>44652</v>
      </c>
      <c r="F60" s="7">
        <v>46112</v>
      </c>
      <c r="G60">
        <v>175000000</v>
      </c>
      <c r="H60" t="s">
        <v>198</v>
      </c>
      <c r="I60" t="s">
        <v>37</v>
      </c>
      <c r="J60">
        <v>0</v>
      </c>
      <c r="K60">
        <v>500000000</v>
      </c>
      <c r="L60" s="7">
        <v>46112</v>
      </c>
      <c r="M60" s="9">
        <v>0.1232</v>
      </c>
      <c r="N60">
        <v>99.646944000000005</v>
      </c>
      <c r="O60">
        <v>4</v>
      </c>
      <c r="P60" s="8">
        <f t="shared" si="0"/>
        <v>0.14341728586457195</v>
      </c>
      <c r="Q60" t="str">
        <f t="array" ref="Q60:R60">VLOOKUP(A60,$X$3:$AA$330,{3,4},0)</f>
        <v>Indemnity</v>
      </c>
      <c r="R60" t="str">
        <v>Annual Aggregate</v>
      </c>
      <c r="X60" t="s">
        <v>157</v>
      </c>
      <c r="Y60">
        <v>50</v>
      </c>
      <c r="Z60" t="s">
        <v>32</v>
      </c>
      <c r="AA60" t="s">
        <v>27</v>
      </c>
    </row>
    <row r="61" spans="1:27">
      <c r="A61" t="s">
        <v>212</v>
      </c>
      <c r="B61">
        <v>71</v>
      </c>
      <c r="C61">
        <v>71</v>
      </c>
      <c r="D61" s="7" t="s">
        <v>213</v>
      </c>
      <c r="E61" s="7">
        <v>45748</v>
      </c>
      <c r="F61" s="7">
        <v>46843</v>
      </c>
      <c r="G61">
        <v>175000000</v>
      </c>
      <c r="H61" t="s">
        <v>100</v>
      </c>
      <c r="I61" t="s">
        <v>101</v>
      </c>
      <c r="J61">
        <v>0</v>
      </c>
      <c r="K61">
        <v>998636875</v>
      </c>
      <c r="L61" s="7">
        <v>46843</v>
      </c>
      <c r="M61" s="9">
        <v>0.04</v>
      </c>
      <c r="N61">
        <v>99.648235999999997</v>
      </c>
      <c r="O61">
        <v>4</v>
      </c>
      <c r="P61" s="8">
        <f t="shared" si="0"/>
        <v>4.1700830278302362E-2</v>
      </c>
      <c r="Q61" t="str">
        <f t="array" ref="Q61:R61">VLOOKUP(A61,$X$3:$AA$330,{3,4},0)</f>
        <v>Indemnity</v>
      </c>
      <c r="R61" t="str">
        <v>Per Occurrence</v>
      </c>
      <c r="X61" t="s">
        <v>160</v>
      </c>
      <c r="Y61">
        <v>51</v>
      </c>
      <c r="Z61" t="s">
        <v>32</v>
      </c>
      <c r="AA61" t="s">
        <v>27</v>
      </c>
    </row>
    <row r="62" spans="1:27">
      <c r="A62" t="s">
        <v>214</v>
      </c>
      <c r="B62">
        <v>72</v>
      </c>
      <c r="C62">
        <v>72</v>
      </c>
      <c r="D62" s="7" t="s">
        <v>215</v>
      </c>
      <c r="E62" s="7">
        <v>45748</v>
      </c>
      <c r="F62" s="7">
        <v>46843</v>
      </c>
      <c r="G62">
        <v>100000000</v>
      </c>
      <c r="H62" t="s">
        <v>100</v>
      </c>
      <c r="I62" t="s">
        <v>101</v>
      </c>
      <c r="J62">
        <v>0</v>
      </c>
      <c r="K62">
        <v>1999375000</v>
      </c>
      <c r="L62" s="7">
        <v>46843</v>
      </c>
      <c r="M62" s="9">
        <v>4.4999999999999998E-2</v>
      </c>
      <c r="N62">
        <v>99.570389000000006</v>
      </c>
      <c r="O62">
        <v>4</v>
      </c>
      <c r="P62" s="8">
        <f t="shared" si="0"/>
        <v>4.7090193241945744E-2</v>
      </c>
      <c r="Q62" t="str">
        <f t="array" ref="Q62:R62">VLOOKUP(A62,$X$3:$AA$330,{3,4},0)</f>
        <v>Indemnity</v>
      </c>
      <c r="R62" t="str">
        <v>Per Occurrence</v>
      </c>
      <c r="X62" t="s">
        <v>162</v>
      </c>
      <c r="Y62">
        <v>52</v>
      </c>
      <c r="Z62" t="s">
        <v>32</v>
      </c>
      <c r="AA62" t="s">
        <v>27</v>
      </c>
    </row>
    <row r="63" spans="1:27">
      <c r="A63" t="s">
        <v>216</v>
      </c>
      <c r="B63">
        <v>73</v>
      </c>
      <c r="C63">
        <v>73</v>
      </c>
      <c r="D63" s="7" t="s">
        <v>217</v>
      </c>
      <c r="E63" s="7">
        <v>45748</v>
      </c>
      <c r="F63" s="7">
        <v>47573</v>
      </c>
      <c r="G63">
        <v>175000000</v>
      </c>
      <c r="H63" t="s">
        <v>100</v>
      </c>
      <c r="I63" t="s">
        <v>101</v>
      </c>
      <c r="J63">
        <v>0</v>
      </c>
      <c r="K63">
        <v>998636875</v>
      </c>
      <c r="L63" s="7">
        <v>47573</v>
      </c>
      <c r="M63" s="9">
        <v>4.2500000000000003E-2</v>
      </c>
      <c r="N63">
        <v>99.498889000000005</v>
      </c>
      <c r="O63">
        <v>4</v>
      </c>
      <c r="P63" s="8">
        <f t="shared" si="0"/>
        <v>4.3818961422437706E-2</v>
      </c>
      <c r="Q63" t="str">
        <f t="array" ref="Q63:R63">VLOOKUP(A63,$X$3:$AA$330,{3,4},0)</f>
        <v>Indemnity</v>
      </c>
      <c r="R63" t="str">
        <v>Per Occurrence</v>
      </c>
      <c r="X63" t="s">
        <v>164</v>
      </c>
      <c r="Y63">
        <v>53</v>
      </c>
      <c r="Z63" t="s">
        <v>32</v>
      </c>
      <c r="AA63" t="s">
        <v>27</v>
      </c>
    </row>
    <row r="64" spans="1:27">
      <c r="A64" t="s">
        <v>218</v>
      </c>
      <c r="B64">
        <v>74</v>
      </c>
      <c r="C64">
        <v>74</v>
      </c>
      <c r="D64" s="7" t="s">
        <v>219</v>
      </c>
      <c r="E64" s="7">
        <v>45748</v>
      </c>
      <c r="F64" s="7">
        <v>47573</v>
      </c>
      <c r="G64">
        <v>300000000</v>
      </c>
      <c r="H64" t="s">
        <v>100</v>
      </c>
      <c r="I64" t="s">
        <v>101</v>
      </c>
      <c r="J64">
        <v>0</v>
      </c>
      <c r="K64">
        <v>1999375000</v>
      </c>
      <c r="L64" s="7">
        <v>47573</v>
      </c>
      <c r="M64" s="9">
        <v>4.7500000000000001E-2</v>
      </c>
      <c r="N64">
        <v>99.518638999999993</v>
      </c>
      <c r="O64">
        <v>4</v>
      </c>
      <c r="P64" s="8">
        <f t="shared" si="0"/>
        <v>4.8779386999965681E-2</v>
      </c>
      <c r="Q64" t="str">
        <f t="array" ref="Q64:R64">VLOOKUP(A64,$X$3:$AA$330,{3,4},0)</f>
        <v>Indemnity</v>
      </c>
      <c r="R64" t="str">
        <v>Per Occurrence</v>
      </c>
      <c r="X64" t="s">
        <v>166</v>
      </c>
      <c r="Y64">
        <v>54</v>
      </c>
      <c r="Z64" t="s">
        <v>32</v>
      </c>
      <c r="AA64" t="s">
        <v>33</v>
      </c>
    </row>
    <row r="65" spans="1:27">
      <c r="A65" t="s">
        <v>220</v>
      </c>
      <c r="B65">
        <v>75</v>
      </c>
      <c r="C65">
        <v>75</v>
      </c>
      <c r="D65" s="7" t="s">
        <v>221</v>
      </c>
      <c r="E65" s="7">
        <v>45915</v>
      </c>
      <c r="F65" s="7">
        <v>47026</v>
      </c>
      <c r="G65">
        <v>60000000</v>
      </c>
      <c r="H65" t="s">
        <v>222</v>
      </c>
      <c r="I65" t="s">
        <v>223</v>
      </c>
      <c r="J65">
        <v>0</v>
      </c>
      <c r="K65">
        <v>65000000000</v>
      </c>
      <c r="L65" s="7">
        <v>47026</v>
      </c>
      <c r="M65" s="9">
        <v>2.5000000000000001E-2</v>
      </c>
      <c r="N65">
        <v>99.529832999999996</v>
      </c>
      <c r="O65">
        <v>4</v>
      </c>
      <c r="P65" s="8">
        <f t="shared" si="0"/>
        <v>2.6831048705801178E-2</v>
      </c>
      <c r="Q65" t="str">
        <f t="array" ref="Q65:R65">VLOOKUP(A65,$X$3:$AA$330,{3,4},0)</f>
        <v>Industry Loss</v>
      </c>
      <c r="R65" t="str">
        <v>Annual Aggregate</v>
      </c>
      <c r="X65" t="s">
        <v>224</v>
      </c>
      <c r="Y65">
        <v>55</v>
      </c>
      <c r="Z65" t="s">
        <v>32</v>
      </c>
      <c r="AA65" t="s">
        <v>33</v>
      </c>
    </row>
    <row r="66" spans="1:27">
      <c r="A66" t="s">
        <v>225</v>
      </c>
      <c r="B66">
        <v>76</v>
      </c>
      <c r="C66">
        <v>76</v>
      </c>
      <c r="D66" s="7" t="s">
        <v>226</v>
      </c>
      <c r="E66" s="7">
        <v>45915</v>
      </c>
      <c r="F66" s="7">
        <v>47026</v>
      </c>
      <c r="G66">
        <v>40000000</v>
      </c>
      <c r="H66" t="s">
        <v>222</v>
      </c>
      <c r="I66" t="s">
        <v>223</v>
      </c>
      <c r="J66">
        <v>0</v>
      </c>
      <c r="K66">
        <v>24000000000</v>
      </c>
      <c r="L66" s="7">
        <v>47026</v>
      </c>
      <c r="M66" s="9">
        <v>3.7499999999999999E-2</v>
      </c>
      <c r="N66">
        <v>99.577250000000006</v>
      </c>
      <c r="O66">
        <v>4</v>
      </c>
      <c r="P66" s="8">
        <f t="shared" si="0"/>
        <v>3.9173273872250364E-2</v>
      </c>
      <c r="Q66" t="str">
        <f t="array" ref="Q66:R66">VLOOKUP(A66,$X$3:$AA$330,{3,4},0)</f>
        <v>Industry Loss</v>
      </c>
      <c r="R66" t="str">
        <v>Annual Aggregate</v>
      </c>
      <c r="X66" t="s">
        <v>227</v>
      </c>
      <c r="Y66">
        <v>56</v>
      </c>
      <c r="Z66" t="s">
        <v>32</v>
      </c>
      <c r="AA66" t="s">
        <v>33</v>
      </c>
    </row>
    <row r="67" spans="1:27">
      <c r="A67" t="s">
        <v>228</v>
      </c>
      <c r="B67">
        <v>77</v>
      </c>
      <c r="C67">
        <v>77</v>
      </c>
      <c r="D67" s="7" t="s">
        <v>229</v>
      </c>
      <c r="E67" s="7">
        <v>45415</v>
      </c>
      <c r="F67" s="7">
        <v>46509</v>
      </c>
      <c r="G67">
        <v>60000000</v>
      </c>
      <c r="H67" t="s">
        <v>230</v>
      </c>
      <c r="I67" t="s">
        <v>231</v>
      </c>
      <c r="K67">
        <v>1043000000</v>
      </c>
      <c r="L67" s="7">
        <v>46509</v>
      </c>
      <c r="M67" s="9">
        <v>0.14249999999999999</v>
      </c>
      <c r="N67">
        <v>99.764624999999995</v>
      </c>
      <c r="O67">
        <v>4</v>
      </c>
      <c r="P67" s="8">
        <f t="shared" ref="P67:P130" si="1">YIELD($O$1,L67,M67,N67,$P$1,O67)</f>
        <v>0.14458157727805357</v>
      </c>
      <c r="Q67" t="str">
        <f t="array" ref="Q67:R67">VLOOKUP(A67,$X$3:$AA$330,{3,4},0)</f>
        <v>Industry Loss</v>
      </c>
      <c r="R67" t="str">
        <v>Annual Aggregate</v>
      </c>
      <c r="X67" t="s">
        <v>170</v>
      </c>
      <c r="Y67">
        <v>57</v>
      </c>
      <c r="Z67" t="s">
        <v>32</v>
      </c>
      <c r="AA67" t="s">
        <v>33</v>
      </c>
    </row>
    <row r="68" spans="1:27">
      <c r="A68" t="s">
        <v>232</v>
      </c>
      <c r="B68">
        <v>78</v>
      </c>
      <c r="C68">
        <v>78</v>
      </c>
      <c r="D68" s="7" t="s">
        <v>233</v>
      </c>
      <c r="E68" s="7">
        <v>45415</v>
      </c>
      <c r="F68" s="7">
        <v>46509</v>
      </c>
      <c r="G68">
        <v>30000000</v>
      </c>
      <c r="H68" t="s">
        <v>230</v>
      </c>
      <c r="I68" t="s">
        <v>231</v>
      </c>
      <c r="K68">
        <v>1156000000</v>
      </c>
      <c r="L68" s="7">
        <v>46509</v>
      </c>
      <c r="M68" s="9">
        <v>0.22</v>
      </c>
      <c r="N68">
        <v>99.775000000000006</v>
      </c>
      <c r="O68">
        <v>4</v>
      </c>
      <c r="P68" s="8">
        <f t="shared" si="1"/>
        <v>0.22209111312670318</v>
      </c>
      <c r="Q68" t="str">
        <f t="array" ref="Q68:R68">VLOOKUP(A68,$X$3:$AA$330,{3,4},0)</f>
        <v>Industry Loss</v>
      </c>
      <c r="R68" t="str">
        <v>Annual Aggregate</v>
      </c>
      <c r="X68" t="s">
        <v>173</v>
      </c>
      <c r="Y68">
        <v>58</v>
      </c>
      <c r="Z68" t="s">
        <v>32</v>
      </c>
      <c r="AA68" t="s">
        <v>33</v>
      </c>
    </row>
    <row r="69" spans="1:27">
      <c r="A69" t="s">
        <v>234</v>
      </c>
      <c r="B69">
        <v>79</v>
      </c>
      <c r="C69">
        <v>79</v>
      </c>
      <c r="D69" s="7" t="s">
        <v>235</v>
      </c>
      <c r="E69" s="7">
        <v>45093</v>
      </c>
      <c r="F69" s="7">
        <v>46173</v>
      </c>
      <c r="G69">
        <v>75000000</v>
      </c>
      <c r="H69" t="s">
        <v>236</v>
      </c>
      <c r="I69" t="s">
        <v>237</v>
      </c>
      <c r="K69">
        <v>175000000</v>
      </c>
      <c r="L69" s="7">
        <v>46173</v>
      </c>
      <c r="M69" s="9">
        <v>5.3199999999999997E-2</v>
      </c>
      <c r="N69">
        <v>99.820667</v>
      </c>
      <c r="O69">
        <v>4</v>
      </c>
      <c r="P69" s="8">
        <f t="shared" si="1"/>
        <v>5.8606387276057208E-2</v>
      </c>
      <c r="Q69" t="str">
        <f t="array" ref="Q69:R69">VLOOKUP(A69,$X$3:$AA$330,{3,4},0)</f>
        <v>Industry Loss</v>
      </c>
      <c r="R69" t="str">
        <v>Per Occurrence</v>
      </c>
      <c r="X69" t="s">
        <v>175</v>
      </c>
      <c r="Y69">
        <v>59</v>
      </c>
      <c r="Z69" t="s">
        <v>32</v>
      </c>
      <c r="AA69" t="s">
        <v>33</v>
      </c>
    </row>
    <row r="70" spans="1:27">
      <c r="A70" t="s">
        <v>238</v>
      </c>
      <c r="B70">
        <v>81</v>
      </c>
      <c r="C70">
        <v>81</v>
      </c>
      <c r="D70" s="7" t="s">
        <v>239</v>
      </c>
      <c r="E70" s="7">
        <v>45292</v>
      </c>
      <c r="F70" s="7">
        <v>46387</v>
      </c>
      <c r="G70">
        <v>125000000</v>
      </c>
      <c r="H70" t="s">
        <v>84</v>
      </c>
      <c r="I70" t="s">
        <v>37</v>
      </c>
      <c r="K70">
        <v>875000000</v>
      </c>
      <c r="L70" s="7">
        <v>46387</v>
      </c>
      <c r="M70" s="9">
        <v>5.8000000000000003E-2</v>
      </c>
      <c r="N70">
        <v>99.747</v>
      </c>
      <c r="O70">
        <v>4</v>
      </c>
      <c r="P70" s="8">
        <f t="shared" si="1"/>
        <v>6.0831142968341023E-2</v>
      </c>
      <c r="Q70" t="str">
        <f t="array" ref="Q70:R70">VLOOKUP(A70,$X$3:$AA$330,{3,4},0)</f>
        <v>Indemnity</v>
      </c>
      <c r="R70" t="str">
        <v>Per Occurrence</v>
      </c>
      <c r="X70" t="s">
        <v>178</v>
      </c>
      <c r="Y70">
        <v>60</v>
      </c>
      <c r="Z70" t="s">
        <v>240</v>
      </c>
      <c r="AA70" t="s">
        <v>33</v>
      </c>
    </row>
    <row r="71" spans="1:27">
      <c r="A71" t="s">
        <v>241</v>
      </c>
      <c r="B71">
        <v>82</v>
      </c>
      <c r="C71">
        <v>82</v>
      </c>
      <c r="D71" s="7" t="s">
        <v>83</v>
      </c>
      <c r="E71" s="7">
        <v>45292</v>
      </c>
      <c r="F71" s="7">
        <v>46387</v>
      </c>
      <c r="G71">
        <v>50000000</v>
      </c>
      <c r="H71" t="s">
        <v>84</v>
      </c>
      <c r="I71" t="s">
        <v>37</v>
      </c>
      <c r="K71">
        <v>600000000</v>
      </c>
      <c r="L71" s="7">
        <v>46387</v>
      </c>
      <c r="M71" s="9">
        <v>8.9200000000000002E-2</v>
      </c>
      <c r="N71">
        <v>99.188056000000003</v>
      </c>
      <c r="O71">
        <v>4</v>
      </c>
      <c r="P71" s="8">
        <f t="shared" si="1"/>
        <v>9.8502545497207883E-2</v>
      </c>
      <c r="Q71" t="str">
        <f t="array" ref="Q71:R71">VLOOKUP(A71,$X$3:$AA$330,{3,4},0)</f>
        <v>Indemnity</v>
      </c>
      <c r="R71" t="str">
        <v>Per Occurrence</v>
      </c>
      <c r="X71" t="s">
        <v>182</v>
      </c>
      <c r="Y71">
        <v>61</v>
      </c>
      <c r="Z71" t="s">
        <v>242</v>
      </c>
      <c r="AA71" t="s">
        <v>33</v>
      </c>
    </row>
    <row r="72" spans="1:27">
      <c r="A72" t="s">
        <v>243</v>
      </c>
      <c r="B72">
        <v>83</v>
      </c>
      <c r="C72">
        <v>83</v>
      </c>
      <c r="D72" s="7" t="s">
        <v>244</v>
      </c>
      <c r="E72" s="7">
        <v>45658</v>
      </c>
      <c r="F72" s="7">
        <v>46752</v>
      </c>
      <c r="G72">
        <v>200000000</v>
      </c>
      <c r="H72" t="s">
        <v>84</v>
      </c>
      <c r="I72" t="s">
        <v>37</v>
      </c>
      <c r="K72">
        <v>200000000</v>
      </c>
      <c r="L72" s="7">
        <v>46752</v>
      </c>
      <c r="M72" s="9">
        <v>5.5E-2</v>
      </c>
      <c r="N72">
        <v>100</v>
      </c>
      <c r="O72">
        <v>4</v>
      </c>
      <c r="P72" s="8">
        <f t="shared" si="1"/>
        <v>5.498846742805797E-2</v>
      </c>
      <c r="Q72" t="str">
        <f t="array" ref="Q72:R72">VLOOKUP(A72,$X$3:$AA$330,{3,4},0)</f>
        <v>Indemnity</v>
      </c>
      <c r="R72" t="str">
        <v>Per Occurrence</v>
      </c>
      <c r="X72" t="s">
        <v>186</v>
      </c>
      <c r="Y72">
        <v>62</v>
      </c>
      <c r="Z72" t="s">
        <v>242</v>
      </c>
      <c r="AA72" t="s">
        <v>33</v>
      </c>
    </row>
    <row r="73" spans="1:27">
      <c r="A73" t="s">
        <v>245</v>
      </c>
      <c r="B73">
        <v>84</v>
      </c>
      <c r="C73">
        <v>84</v>
      </c>
      <c r="D73" s="7" t="s">
        <v>86</v>
      </c>
      <c r="E73" s="7">
        <v>45658</v>
      </c>
      <c r="F73" s="7">
        <v>46752</v>
      </c>
      <c r="G73">
        <v>75000000</v>
      </c>
      <c r="H73" t="s">
        <v>84</v>
      </c>
      <c r="I73" t="s">
        <v>37</v>
      </c>
      <c r="K73">
        <v>600000000</v>
      </c>
      <c r="L73" s="7">
        <v>46752</v>
      </c>
      <c r="M73" s="9">
        <v>8.2500000000000004E-2</v>
      </c>
      <c r="N73">
        <v>99.893056000000001</v>
      </c>
      <c r="O73">
        <v>4</v>
      </c>
      <c r="P73" s="8">
        <f t="shared" si="1"/>
        <v>8.3082523869350056E-2</v>
      </c>
      <c r="Q73" t="str">
        <f t="array" ref="Q73:R73">VLOOKUP(A73,$X$3:$AA$330,{3,4},0)</f>
        <v>Indemnity</v>
      </c>
      <c r="R73" t="str">
        <v>Per Occurrence</v>
      </c>
      <c r="X73" t="s">
        <v>191</v>
      </c>
      <c r="Y73">
        <v>63</v>
      </c>
      <c r="Z73" t="s">
        <v>32</v>
      </c>
      <c r="AA73" t="s">
        <v>33</v>
      </c>
    </row>
    <row r="74" spans="1:27">
      <c r="A74" t="s">
        <v>246</v>
      </c>
      <c r="B74">
        <v>85</v>
      </c>
      <c r="C74">
        <v>85</v>
      </c>
      <c r="D74" s="7" t="s">
        <v>247</v>
      </c>
      <c r="E74" s="7">
        <v>45839</v>
      </c>
      <c r="F74" s="7">
        <v>47299</v>
      </c>
      <c r="G74">
        <v>105000000</v>
      </c>
      <c r="H74" t="s">
        <v>248</v>
      </c>
      <c r="I74" t="s">
        <v>118</v>
      </c>
      <c r="K74">
        <v>1920000000</v>
      </c>
      <c r="L74" s="7">
        <v>47299</v>
      </c>
      <c r="M74" s="9">
        <v>3.7499999999999999E-2</v>
      </c>
      <c r="N74">
        <v>99.232485999999994</v>
      </c>
      <c r="O74">
        <v>4</v>
      </c>
      <c r="P74" s="8">
        <f t="shared" si="1"/>
        <v>3.9910943188813559E-2</v>
      </c>
      <c r="Q74" t="str">
        <f t="array" ref="Q74:R74">VLOOKUP(A74,$X$3:$AA$330,{3,4},0)</f>
        <v>Industry Loss</v>
      </c>
      <c r="R74" t="str">
        <v>Annual Aggregate</v>
      </c>
      <c r="X74" t="s">
        <v>196</v>
      </c>
      <c r="Y74">
        <v>64</v>
      </c>
      <c r="Z74" t="s">
        <v>32</v>
      </c>
      <c r="AA74" t="s">
        <v>33</v>
      </c>
    </row>
    <row r="75" spans="1:27">
      <c r="A75" t="s">
        <v>249</v>
      </c>
      <c r="B75">
        <v>86</v>
      </c>
      <c r="C75">
        <v>86</v>
      </c>
      <c r="D75" s="7" t="s">
        <v>250</v>
      </c>
      <c r="E75" s="7">
        <v>45839</v>
      </c>
      <c r="F75" s="7">
        <v>47299</v>
      </c>
      <c r="G75">
        <v>120000000</v>
      </c>
      <c r="H75" t="s">
        <v>248</v>
      </c>
      <c r="I75" t="s">
        <v>118</v>
      </c>
      <c r="K75">
        <v>1516000000</v>
      </c>
      <c r="L75" s="7">
        <v>47299</v>
      </c>
      <c r="M75" s="9">
        <v>6.25E-2</v>
      </c>
      <c r="N75">
        <v>99.245000000000005</v>
      </c>
      <c r="O75">
        <v>4</v>
      </c>
      <c r="P75" s="8">
        <f t="shared" si="1"/>
        <v>6.4972733741811409E-2</v>
      </c>
      <c r="Q75" t="str">
        <f t="array" ref="Q75:R75">VLOOKUP(A75,$X$3:$AA$330,{3,4},0)</f>
        <v>Industry Loss</v>
      </c>
      <c r="R75" t="str">
        <v>Annual Aggregate</v>
      </c>
      <c r="X75" t="s">
        <v>199</v>
      </c>
      <c r="Y75">
        <v>65</v>
      </c>
      <c r="Z75" t="s">
        <v>32</v>
      </c>
      <c r="AA75" t="s">
        <v>33</v>
      </c>
    </row>
    <row r="76" spans="1:27">
      <c r="A76" t="s">
        <v>251</v>
      </c>
      <c r="B76">
        <v>87</v>
      </c>
      <c r="C76">
        <v>87</v>
      </c>
      <c r="D76" s="7" t="s">
        <v>252</v>
      </c>
      <c r="E76" s="7">
        <v>45839</v>
      </c>
      <c r="F76" s="7">
        <v>47299</v>
      </c>
      <c r="G76">
        <v>170000000</v>
      </c>
      <c r="H76" t="s">
        <v>248</v>
      </c>
      <c r="I76" t="s">
        <v>118</v>
      </c>
      <c r="K76">
        <v>2295000000</v>
      </c>
      <c r="L76" s="7">
        <v>47299</v>
      </c>
      <c r="M76" s="9">
        <v>0.04</v>
      </c>
      <c r="N76">
        <v>99.245000000000005</v>
      </c>
      <c r="O76">
        <v>4</v>
      </c>
      <c r="P76" s="8">
        <f t="shared" si="1"/>
        <v>4.2381574559949731E-2</v>
      </c>
      <c r="Q76" t="str">
        <f t="array" ref="Q76:R76">VLOOKUP(A76,$X$3:$AA$330,{3,4},0)</f>
        <v>Industry Loss</v>
      </c>
      <c r="R76" t="str">
        <v>Per Occurrence</v>
      </c>
      <c r="X76" t="s">
        <v>201</v>
      </c>
      <c r="Y76">
        <v>66</v>
      </c>
      <c r="Z76" t="s">
        <v>32</v>
      </c>
      <c r="AA76" t="s">
        <v>27</v>
      </c>
    </row>
    <row r="77" spans="1:27">
      <c r="A77" t="s">
        <v>253</v>
      </c>
      <c r="B77">
        <v>88</v>
      </c>
      <c r="C77">
        <v>88</v>
      </c>
      <c r="D77" s="7" t="s">
        <v>254</v>
      </c>
      <c r="E77" s="7">
        <v>45839</v>
      </c>
      <c r="F77" s="7">
        <v>47299</v>
      </c>
      <c r="G77">
        <v>105000000</v>
      </c>
      <c r="H77" t="s">
        <v>248</v>
      </c>
      <c r="I77" t="s">
        <v>118</v>
      </c>
      <c r="K77">
        <v>1995000000</v>
      </c>
      <c r="L77" s="7">
        <v>47299</v>
      </c>
      <c r="M77" s="9">
        <v>6.5000000000000002E-2</v>
      </c>
      <c r="N77">
        <v>101</v>
      </c>
      <c r="O77">
        <v>4</v>
      </c>
      <c r="P77" s="8">
        <f t="shared" si="1"/>
        <v>6.1722249969417518E-2</v>
      </c>
      <c r="Q77" t="str">
        <f t="array" ref="Q77:R77">VLOOKUP(A77,$X$3:$AA$330,{3,4},0)</f>
        <v>Industry Loss</v>
      </c>
      <c r="R77" t="str">
        <v>Per Occurrence</v>
      </c>
      <c r="X77" t="s">
        <v>203</v>
      </c>
      <c r="Y77">
        <v>67</v>
      </c>
      <c r="Z77" t="s">
        <v>32</v>
      </c>
      <c r="AA77" t="s">
        <v>33</v>
      </c>
    </row>
    <row r="78" spans="1:27">
      <c r="A78" t="s">
        <v>255</v>
      </c>
      <c r="B78">
        <v>89</v>
      </c>
      <c r="C78">
        <v>89</v>
      </c>
      <c r="D78" s="7" t="s">
        <v>256</v>
      </c>
      <c r="E78" s="7">
        <v>45839</v>
      </c>
      <c r="F78" s="7">
        <v>47664</v>
      </c>
      <c r="G78">
        <v>105000000</v>
      </c>
      <c r="H78" t="s">
        <v>248</v>
      </c>
      <c r="I78" t="s">
        <v>118</v>
      </c>
      <c r="K78">
        <v>1920000000</v>
      </c>
      <c r="L78" s="7">
        <v>47664</v>
      </c>
      <c r="M78" s="9">
        <v>3.7499999999999999E-2</v>
      </c>
      <c r="N78">
        <v>100.2</v>
      </c>
      <c r="O78">
        <v>4</v>
      </c>
      <c r="P78" s="8">
        <f t="shared" si="1"/>
        <v>3.7004707833058488E-2</v>
      </c>
      <c r="Q78" t="str">
        <f t="array" ref="Q78:R78">VLOOKUP(A78,$X$3:$AA$330,{3,4},0)</f>
        <v>Industry Loss</v>
      </c>
      <c r="R78" t="str">
        <v>Annual Aggregate</v>
      </c>
      <c r="X78" t="s">
        <v>205</v>
      </c>
      <c r="Y78">
        <v>68</v>
      </c>
      <c r="Z78" t="s">
        <v>32</v>
      </c>
      <c r="AA78" t="s">
        <v>33</v>
      </c>
    </row>
    <row r="79" spans="1:27">
      <c r="A79" t="s">
        <v>257</v>
      </c>
      <c r="B79">
        <v>90</v>
      </c>
      <c r="C79">
        <v>90</v>
      </c>
      <c r="D79" s="7" t="s">
        <v>258</v>
      </c>
      <c r="E79" s="7">
        <v>45839</v>
      </c>
      <c r="F79" s="7">
        <v>47664</v>
      </c>
      <c r="G79">
        <v>120000000</v>
      </c>
      <c r="H79" t="s">
        <v>248</v>
      </c>
      <c r="I79" t="s">
        <v>118</v>
      </c>
      <c r="K79">
        <v>1516000000</v>
      </c>
      <c r="L79" s="7">
        <v>47664</v>
      </c>
      <c r="M79" s="9">
        <v>6.25E-2</v>
      </c>
      <c r="N79">
        <v>102.85</v>
      </c>
      <c r="O79">
        <v>4</v>
      </c>
      <c r="P79" s="8">
        <f t="shared" si="1"/>
        <v>5.5178679106767409E-2</v>
      </c>
      <c r="Q79" t="str">
        <f t="array" ref="Q79:R79">VLOOKUP(A79,$X$3:$AA$330,{3,4},0)</f>
        <v>Industry Loss</v>
      </c>
      <c r="R79" t="str">
        <v>Annual Aggregate</v>
      </c>
      <c r="X79" t="s">
        <v>208</v>
      </c>
      <c r="Y79">
        <v>69</v>
      </c>
      <c r="Z79" t="s">
        <v>32</v>
      </c>
      <c r="AA79" t="s">
        <v>77</v>
      </c>
    </row>
    <row r="80" spans="1:27">
      <c r="A80" t="s">
        <v>259</v>
      </c>
      <c r="B80">
        <v>91</v>
      </c>
      <c r="C80">
        <v>91</v>
      </c>
      <c r="D80" s="7" t="s">
        <v>260</v>
      </c>
      <c r="E80" s="7">
        <v>45839</v>
      </c>
      <c r="F80" s="7">
        <v>47664</v>
      </c>
      <c r="G80">
        <v>170000000</v>
      </c>
      <c r="H80" t="s">
        <v>248</v>
      </c>
      <c r="I80" t="s">
        <v>118</v>
      </c>
      <c r="K80">
        <v>2295000000</v>
      </c>
      <c r="L80" s="7">
        <v>47664</v>
      </c>
      <c r="M80" s="9">
        <v>0.04</v>
      </c>
      <c r="N80">
        <v>101</v>
      </c>
      <c r="O80">
        <v>4</v>
      </c>
      <c r="P80" s="8">
        <f t="shared" si="1"/>
        <v>3.7529877891704734E-2</v>
      </c>
      <c r="Q80" t="str">
        <f t="array" ref="Q80:R80">VLOOKUP(A80,$X$3:$AA$330,{3,4},0)</f>
        <v>Industry Loss</v>
      </c>
      <c r="R80" t="str">
        <v>Per Occurrence</v>
      </c>
      <c r="X80" t="s">
        <v>210</v>
      </c>
      <c r="Y80">
        <v>70</v>
      </c>
      <c r="Z80" t="s">
        <v>32</v>
      </c>
      <c r="AA80" t="s">
        <v>27</v>
      </c>
    </row>
    <row r="81" spans="1:27">
      <c r="A81" t="s">
        <v>261</v>
      </c>
      <c r="B81">
        <v>92</v>
      </c>
      <c r="C81">
        <v>92</v>
      </c>
      <c r="D81" s="7" t="s">
        <v>262</v>
      </c>
      <c r="E81" s="7">
        <v>45839</v>
      </c>
      <c r="F81" s="7">
        <v>47664</v>
      </c>
      <c r="G81">
        <v>105000000</v>
      </c>
      <c r="H81" t="s">
        <v>248</v>
      </c>
      <c r="I81" t="s">
        <v>118</v>
      </c>
      <c r="K81">
        <v>1995000000</v>
      </c>
      <c r="L81" s="7">
        <v>47664</v>
      </c>
      <c r="M81" s="9">
        <v>6.5000000000000002E-2</v>
      </c>
      <c r="N81">
        <v>103.95</v>
      </c>
      <c r="O81">
        <v>4</v>
      </c>
      <c r="P81" s="8">
        <f t="shared" si="1"/>
        <v>5.4862161048507281E-2</v>
      </c>
      <c r="Q81" t="str">
        <f t="array" ref="Q81:R81">VLOOKUP(A81,$X$3:$AA$330,{3,4},0)</f>
        <v>Industry Loss</v>
      </c>
      <c r="R81" t="str">
        <v>Per Occurrence</v>
      </c>
      <c r="X81" t="s">
        <v>212</v>
      </c>
      <c r="Y81">
        <v>71</v>
      </c>
      <c r="Z81" t="s">
        <v>32</v>
      </c>
      <c r="AA81" t="s">
        <v>33</v>
      </c>
    </row>
    <row r="82" spans="1:27">
      <c r="A82" t="s">
        <v>263</v>
      </c>
      <c r="B82">
        <v>93</v>
      </c>
      <c r="C82">
        <v>93</v>
      </c>
      <c r="D82" s="7" t="s">
        <v>264</v>
      </c>
      <c r="E82" s="7">
        <v>45471</v>
      </c>
      <c r="F82" s="7">
        <v>46931</v>
      </c>
      <c r="G82">
        <v>75000000</v>
      </c>
      <c r="H82" t="s">
        <v>248</v>
      </c>
      <c r="I82" t="s">
        <v>118</v>
      </c>
      <c r="K82">
        <v>1507000000</v>
      </c>
      <c r="L82" s="7">
        <v>46931</v>
      </c>
      <c r="M82" s="9">
        <v>6.25E-2</v>
      </c>
      <c r="N82">
        <v>100.25</v>
      </c>
      <c r="O82">
        <v>4</v>
      </c>
      <c r="P82" s="8">
        <f t="shared" si="1"/>
        <v>6.1361631995581679E-2</v>
      </c>
      <c r="Q82" t="str">
        <f t="array" ref="Q82:R82">VLOOKUP(A82,$X$3:$AA$330,{3,4},0)</f>
        <v>Industry Loss</v>
      </c>
      <c r="R82" t="str">
        <v>Per Occurrence</v>
      </c>
      <c r="X82" t="s">
        <v>214</v>
      </c>
      <c r="Y82">
        <v>72</v>
      </c>
      <c r="Z82" t="s">
        <v>32</v>
      </c>
      <c r="AA82" t="s">
        <v>33</v>
      </c>
    </row>
    <row r="83" spans="1:27">
      <c r="A83" t="s">
        <v>265</v>
      </c>
      <c r="B83">
        <v>94</v>
      </c>
      <c r="C83">
        <v>94</v>
      </c>
      <c r="D83" s="7" t="s">
        <v>266</v>
      </c>
      <c r="E83" s="7">
        <v>45471</v>
      </c>
      <c r="F83" s="7">
        <v>46931</v>
      </c>
      <c r="G83">
        <v>125000000</v>
      </c>
      <c r="H83" t="s">
        <v>248</v>
      </c>
      <c r="I83" t="s">
        <v>118</v>
      </c>
      <c r="K83">
        <v>1597000000</v>
      </c>
      <c r="L83" s="7">
        <v>46931</v>
      </c>
      <c r="M83" s="9">
        <v>7.2499999999999995E-2</v>
      </c>
      <c r="N83">
        <v>100.65</v>
      </c>
      <c r="O83">
        <v>4</v>
      </c>
      <c r="P83" s="8">
        <f t="shared" si="1"/>
        <v>6.9525614505877062E-2</v>
      </c>
      <c r="Q83" t="str">
        <f t="array" ref="Q83:R83">VLOOKUP(A83,$X$3:$AA$330,{3,4},0)</f>
        <v>Industry Loss</v>
      </c>
      <c r="R83" t="str">
        <v>Per Occurrence</v>
      </c>
      <c r="X83" t="s">
        <v>216</v>
      </c>
      <c r="Y83">
        <v>73</v>
      </c>
      <c r="Z83" t="s">
        <v>32</v>
      </c>
      <c r="AA83" t="s">
        <v>33</v>
      </c>
    </row>
    <row r="84" spans="1:27">
      <c r="A84" t="s">
        <v>267</v>
      </c>
      <c r="B84">
        <v>95</v>
      </c>
      <c r="C84">
        <v>95</v>
      </c>
      <c r="D84" s="7" t="s">
        <v>268</v>
      </c>
      <c r="E84" s="7">
        <v>44300</v>
      </c>
      <c r="F84" s="7">
        <v>46125</v>
      </c>
      <c r="G84">
        <v>150000000</v>
      </c>
      <c r="H84" t="s">
        <v>269</v>
      </c>
      <c r="I84" t="s">
        <v>153</v>
      </c>
      <c r="J84">
        <v>0</v>
      </c>
      <c r="K84">
        <v>320000000</v>
      </c>
      <c r="L84" s="7">
        <v>46125</v>
      </c>
      <c r="M84" s="9">
        <v>0.1236</v>
      </c>
      <c r="N84">
        <v>102.3</v>
      </c>
      <c r="O84">
        <v>4</v>
      </c>
      <c r="P84" s="8">
        <f t="shared" si="1"/>
        <v>8.2416990038881848E-3</v>
      </c>
      <c r="Q84" t="str">
        <f t="array" ref="Q84:R84">VLOOKUP(A84,$X$3:$AA$330,{3,4},0)</f>
        <v>NULL</v>
      </c>
      <c r="R84" t="str">
        <v>NULL</v>
      </c>
      <c r="X84" t="s">
        <v>218</v>
      </c>
      <c r="Y84">
        <v>74</v>
      </c>
      <c r="Z84" t="s">
        <v>32</v>
      </c>
      <c r="AA84" t="s">
        <v>33</v>
      </c>
    </row>
    <row r="85" spans="1:27">
      <c r="A85" t="s">
        <v>270</v>
      </c>
      <c r="B85">
        <v>98</v>
      </c>
      <c r="C85">
        <v>98</v>
      </c>
      <c r="D85" s="7" t="s">
        <v>271</v>
      </c>
      <c r="E85" s="7">
        <v>45778</v>
      </c>
      <c r="F85" s="7">
        <v>47118</v>
      </c>
      <c r="G85">
        <v>110000000</v>
      </c>
      <c r="H85" t="s">
        <v>272</v>
      </c>
      <c r="I85" t="s">
        <v>273</v>
      </c>
      <c r="J85">
        <v>0</v>
      </c>
      <c r="K85">
        <v>125000000</v>
      </c>
      <c r="L85" s="7">
        <v>47118</v>
      </c>
      <c r="M85" s="9">
        <v>7.7499999999999999E-2</v>
      </c>
      <c r="N85">
        <v>101.6</v>
      </c>
      <c r="O85">
        <v>4</v>
      </c>
      <c r="P85" s="8">
        <f t="shared" si="1"/>
        <v>7.1360440360389854E-2</v>
      </c>
      <c r="Q85" t="str">
        <f t="array" ref="Q85:R85">VLOOKUP(A85,$X$3:$AA$330,{3,4},0)</f>
        <v>Indemnity</v>
      </c>
      <c r="R85" t="str">
        <v xml:space="preserve">Per Occurrence </v>
      </c>
      <c r="X85" t="s">
        <v>220</v>
      </c>
      <c r="Y85">
        <v>75</v>
      </c>
      <c r="Z85" t="s">
        <v>26</v>
      </c>
      <c r="AA85" t="s">
        <v>27</v>
      </c>
    </row>
    <row r="86" spans="1:27">
      <c r="A86" t="s">
        <v>274</v>
      </c>
      <c r="B86">
        <v>99</v>
      </c>
      <c r="C86">
        <v>99</v>
      </c>
      <c r="D86" s="7" t="s">
        <v>275</v>
      </c>
      <c r="E86" s="7">
        <v>45778</v>
      </c>
      <c r="F86" s="7">
        <v>47118</v>
      </c>
      <c r="G86">
        <v>200000000</v>
      </c>
      <c r="H86" t="s">
        <v>272</v>
      </c>
      <c r="I86" t="s">
        <v>273</v>
      </c>
      <c r="J86">
        <v>0</v>
      </c>
      <c r="K86">
        <v>225000000</v>
      </c>
      <c r="L86" s="7">
        <v>47118</v>
      </c>
      <c r="M86" s="9">
        <v>5.5E-2</v>
      </c>
      <c r="N86">
        <v>100.1</v>
      </c>
      <c r="O86">
        <v>4</v>
      </c>
      <c r="P86" s="8">
        <f t="shared" si="1"/>
        <v>5.4619050443529292E-2</v>
      </c>
      <c r="Q86" t="str">
        <f t="array" ref="Q86:R86">VLOOKUP(A86,$X$3:$AA$330,{3,4},0)</f>
        <v>Indemnity</v>
      </c>
      <c r="R86" t="str">
        <v xml:space="preserve">Per Occurrence </v>
      </c>
      <c r="X86" t="s">
        <v>225</v>
      </c>
      <c r="Y86">
        <v>76</v>
      </c>
      <c r="Z86" t="s">
        <v>26</v>
      </c>
      <c r="AA86" t="s">
        <v>27</v>
      </c>
    </row>
    <row r="87" spans="1:27">
      <c r="A87" t="s">
        <v>276</v>
      </c>
      <c r="B87">
        <v>100</v>
      </c>
      <c r="C87">
        <v>100</v>
      </c>
      <c r="D87" s="7" t="s">
        <v>277</v>
      </c>
      <c r="E87" s="7">
        <v>45667</v>
      </c>
      <c r="F87" s="7">
        <v>47127</v>
      </c>
      <c r="G87">
        <v>200000000</v>
      </c>
      <c r="H87" t="s">
        <v>278</v>
      </c>
      <c r="I87" t="s">
        <v>279</v>
      </c>
      <c r="K87">
        <v>185000000</v>
      </c>
      <c r="L87" s="7">
        <v>47127</v>
      </c>
      <c r="M87" s="9">
        <v>0.1065</v>
      </c>
      <c r="N87">
        <v>102.6</v>
      </c>
      <c r="O87">
        <v>4</v>
      </c>
      <c r="P87" s="8">
        <f t="shared" si="1"/>
        <v>9.6215150561211854E-2</v>
      </c>
      <c r="Q87" t="str">
        <f t="array" ref="Q87:R87">VLOOKUP(A87,$X$3:$AA$330,{3,4},0)</f>
        <v>Industry Loss</v>
      </c>
      <c r="R87" t="str">
        <v>Annual Aggregate</v>
      </c>
      <c r="X87" t="s">
        <v>228</v>
      </c>
      <c r="Y87">
        <v>77</v>
      </c>
      <c r="Z87" t="s">
        <v>26</v>
      </c>
      <c r="AA87" t="s">
        <v>27</v>
      </c>
    </row>
    <row r="88" spans="1:27">
      <c r="A88" t="s">
        <v>280</v>
      </c>
      <c r="B88">
        <v>101</v>
      </c>
      <c r="C88">
        <v>101</v>
      </c>
      <c r="D88" s="7" t="s">
        <v>281</v>
      </c>
      <c r="E88" s="7">
        <v>45748</v>
      </c>
      <c r="F88" s="7">
        <v>47118</v>
      </c>
      <c r="G88">
        <v>100000000</v>
      </c>
      <c r="H88" t="s">
        <v>282</v>
      </c>
      <c r="I88" t="s">
        <v>283</v>
      </c>
      <c r="K88">
        <v>100000000</v>
      </c>
      <c r="L88" s="7">
        <v>47118</v>
      </c>
      <c r="M88" s="9">
        <v>7.4999999999999997E-2</v>
      </c>
      <c r="N88">
        <v>103.85</v>
      </c>
      <c r="O88">
        <v>4</v>
      </c>
      <c r="P88" s="8">
        <f t="shared" si="1"/>
        <v>6.0490271098741687E-2</v>
      </c>
      <c r="Q88" t="str">
        <f t="array" ref="Q88:R88">VLOOKUP(A88,$X$3:$AA$330,{3,4},0)</f>
        <v>Industry Loss</v>
      </c>
      <c r="R88" t="str">
        <v>Annual Aggregate</v>
      </c>
      <c r="X88" t="s">
        <v>232</v>
      </c>
      <c r="Y88">
        <v>78</v>
      </c>
      <c r="Z88" t="s">
        <v>26</v>
      </c>
      <c r="AA88" t="s">
        <v>27</v>
      </c>
    </row>
    <row r="89" spans="1:27">
      <c r="A89" t="s">
        <v>284</v>
      </c>
      <c r="B89">
        <v>102</v>
      </c>
      <c r="C89">
        <v>102</v>
      </c>
      <c r="D89" s="7" t="s">
        <v>285</v>
      </c>
      <c r="E89" s="7">
        <v>45128</v>
      </c>
      <c r="F89" s="7">
        <v>46203</v>
      </c>
      <c r="G89">
        <v>50000000</v>
      </c>
      <c r="H89" t="s">
        <v>168</v>
      </c>
      <c r="I89" t="s">
        <v>286</v>
      </c>
      <c r="J89">
        <v>57000000</v>
      </c>
      <c r="K89">
        <v>51000000</v>
      </c>
      <c r="L89" s="7">
        <v>46203</v>
      </c>
      <c r="M89" s="9">
        <v>0.10879999999999999</v>
      </c>
      <c r="N89">
        <v>102.4</v>
      </c>
      <c r="O89">
        <v>4</v>
      </c>
      <c r="P89" s="8">
        <f t="shared" si="1"/>
        <v>5.0144089447963704E-2</v>
      </c>
      <c r="Q89" t="str">
        <f t="array" ref="Q89:R89">VLOOKUP(A89,$X$3:$AA$330,{3,4},0)</f>
        <v>Industry Loss</v>
      </c>
      <c r="R89" t="str">
        <v>Annual Aggregate</v>
      </c>
      <c r="X89" t="s">
        <v>234</v>
      </c>
      <c r="Y89">
        <v>79</v>
      </c>
      <c r="Z89" t="s">
        <v>26</v>
      </c>
      <c r="AA89" t="s">
        <v>33</v>
      </c>
    </row>
    <row r="90" spans="1:27">
      <c r="A90" t="s">
        <v>287</v>
      </c>
      <c r="B90">
        <v>103</v>
      </c>
      <c r="C90">
        <v>103</v>
      </c>
      <c r="D90" s="7" t="s">
        <v>288</v>
      </c>
      <c r="E90" s="7">
        <v>45839</v>
      </c>
      <c r="F90" s="7">
        <v>47299</v>
      </c>
      <c r="G90">
        <v>125000000</v>
      </c>
      <c r="H90" t="s">
        <v>289</v>
      </c>
      <c r="I90" t="s">
        <v>290</v>
      </c>
      <c r="K90">
        <v>240000000</v>
      </c>
      <c r="L90" s="7">
        <v>47299</v>
      </c>
      <c r="M90" s="9">
        <v>4.4999999999999998E-2</v>
      </c>
      <c r="N90">
        <v>103.1</v>
      </c>
      <c r="O90">
        <v>4</v>
      </c>
      <c r="P90" s="8">
        <f t="shared" si="1"/>
        <v>3.5324898180414156E-2</v>
      </c>
      <c r="Q90" t="str">
        <f t="array" ref="Q90:R90">VLOOKUP(A90,$X$3:$AA$330,{3,4},0)</f>
        <v>Indemnity</v>
      </c>
      <c r="R90" t="str">
        <v>Per Occurrence</v>
      </c>
      <c r="X90" t="s">
        <v>291</v>
      </c>
      <c r="Y90">
        <v>80</v>
      </c>
      <c r="Z90" t="s">
        <v>32</v>
      </c>
      <c r="AA90" t="s">
        <v>33</v>
      </c>
    </row>
    <row r="91" spans="1:27">
      <c r="A91" t="s">
        <v>292</v>
      </c>
      <c r="B91">
        <v>104</v>
      </c>
      <c r="C91">
        <v>104</v>
      </c>
      <c r="D91" s="7" t="s">
        <v>293</v>
      </c>
      <c r="E91" s="7">
        <v>45382</v>
      </c>
      <c r="F91" s="7">
        <v>46476</v>
      </c>
      <c r="G91">
        <v>100000000</v>
      </c>
      <c r="H91" t="s">
        <v>294</v>
      </c>
      <c r="I91" t="s">
        <v>71</v>
      </c>
      <c r="J91">
        <v>0</v>
      </c>
      <c r="K91">
        <v>250000000</v>
      </c>
      <c r="L91" s="7">
        <v>46476</v>
      </c>
      <c r="M91" s="9">
        <v>5.45E-2</v>
      </c>
      <c r="N91">
        <v>103.6</v>
      </c>
      <c r="O91">
        <v>4</v>
      </c>
      <c r="P91" s="8">
        <f t="shared" si="1"/>
        <v>2.3127963156719691E-2</v>
      </c>
      <c r="Q91" t="str">
        <f t="array" ref="Q91:R91">VLOOKUP(A91,$X$3:$AA$330,{3,4},0)</f>
        <v>Indemnity</v>
      </c>
      <c r="R91" t="str">
        <v>Per Occurrence</v>
      </c>
      <c r="X91" t="s">
        <v>238</v>
      </c>
      <c r="Y91">
        <v>81</v>
      </c>
      <c r="Z91" t="s">
        <v>32</v>
      </c>
      <c r="AA91" t="s">
        <v>33</v>
      </c>
    </row>
    <row r="92" spans="1:27">
      <c r="A92" t="s">
        <v>295</v>
      </c>
      <c r="B92">
        <v>105</v>
      </c>
      <c r="C92">
        <v>105</v>
      </c>
      <c r="D92" s="7" t="s">
        <v>296</v>
      </c>
      <c r="E92" s="7">
        <v>45400</v>
      </c>
      <c r="F92" s="7">
        <v>46507</v>
      </c>
      <c r="G92">
        <v>200000000</v>
      </c>
      <c r="H92" t="s">
        <v>297</v>
      </c>
      <c r="I92" t="s">
        <v>53</v>
      </c>
      <c r="K92">
        <v>250000000</v>
      </c>
      <c r="L92" s="7">
        <v>46507</v>
      </c>
      <c r="M92" s="9">
        <v>0.10199999999999999</v>
      </c>
      <c r="N92">
        <v>101.15</v>
      </c>
      <c r="O92">
        <v>4</v>
      </c>
      <c r="P92" s="8">
        <f t="shared" si="1"/>
        <v>9.2154480739972192E-2</v>
      </c>
      <c r="Q92" t="str">
        <f t="array" ref="Q92:R92">VLOOKUP(A92,$X$3:$AA$330,{3,4},0)</f>
        <v>Indemnity</v>
      </c>
      <c r="R92" t="str">
        <v>Per Occurrence</v>
      </c>
      <c r="X92" t="s">
        <v>241</v>
      </c>
      <c r="Y92">
        <v>82</v>
      </c>
      <c r="Z92" t="s">
        <v>32</v>
      </c>
      <c r="AA92" t="s">
        <v>33</v>
      </c>
    </row>
    <row r="93" spans="1:27">
      <c r="A93" t="s">
        <v>298</v>
      </c>
      <c r="B93">
        <v>107</v>
      </c>
      <c r="C93">
        <v>107</v>
      </c>
      <c r="D93" s="7" t="s">
        <v>299</v>
      </c>
      <c r="E93" s="7">
        <v>45078</v>
      </c>
      <c r="F93" s="7">
        <v>46173</v>
      </c>
      <c r="G93">
        <v>50000000</v>
      </c>
      <c r="H93" t="s">
        <v>300</v>
      </c>
      <c r="I93" t="s">
        <v>301</v>
      </c>
      <c r="J93">
        <v>0</v>
      </c>
      <c r="K93">
        <v>125000000</v>
      </c>
      <c r="L93" s="7">
        <v>46173</v>
      </c>
      <c r="M93" s="9">
        <v>8.2199999999999995E-2</v>
      </c>
      <c r="N93">
        <v>102</v>
      </c>
      <c r="O93">
        <v>4</v>
      </c>
      <c r="P93" s="8">
        <f t="shared" si="1"/>
        <v>2.1781265951823576E-2</v>
      </c>
      <c r="Q93" t="str">
        <f t="array" ref="Q93:R93">VLOOKUP(A93,$X$3:$AA$330,{3,4},0)</f>
        <v>Indemnity</v>
      </c>
      <c r="R93" t="str">
        <v>Per Occurrence</v>
      </c>
      <c r="X93" t="s">
        <v>243</v>
      </c>
      <c r="Y93">
        <v>83</v>
      </c>
      <c r="Z93" t="s">
        <v>32</v>
      </c>
      <c r="AA93" t="s">
        <v>33</v>
      </c>
    </row>
    <row r="94" spans="1:27">
      <c r="A94" t="s">
        <v>302</v>
      </c>
      <c r="B94">
        <v>108</v>
      </c>
      <c r="C94">
        <v>108</v>
      </c>
      <c r="D94" s="7" t="s">
        <v>303</v>
      </c>
      <c r="E94" s="7">
        <v>45444</v>
      </c>
      <c r="F94" s="7">
        <v>46538</v>
      </c>
      <c r="G94">
        <v>215000000</v>
      </c>
      <c r="H94" t="s">
        <v>300</v>
      </c>
      <c r="I94" t="s">
        <v>304</v>
      </c>
      <c r="J94">
        <v>0</v>
      </c>
      <c r="K94">
        <v>400000000</v>
      </c>
      <c r="L94" s="7">
        <v>46538</v>
      </c>
      <c r="M94" s="9">
        <v>6.0359999999999997E-2</v>
      </c>
      <c r="N94">
        <v>99.85</v>
      </c>
      <c r="O94">
        <v>4</v>
      </c>
      <c r="P94" s="8">
        <f t="shared" si="1"/>
        <v>6.1520240102196144E-2</v>
      </c>
      <c r="Q94" t="str">
        <f t="array" ref="Q94:R94">VLOOKUP(A94,$X$3:$AA$330,{3,4},0)</f>
        <v>Indemnity</v>
      </c>
      <c r="R94" t="str">
        <v>Per Occurrence</v>
      </c>
      <c r="X94" t="s">
        <v>245</v>
      </c>
      <c r="Y94">
        <v>84</v>
      </c>
      <c r="Z94" t="s">
        <v>32</v>
      </c>
      <c r="AA94" t="s">
        <v>33</v>
      </c>
    </row>
    <row r="95" spans="1:27">
      <c r="A95" t="s">
        <v>305</v>
      </c>
      <c r="B95">
        <v>109</v>
      </c>
      <c r="C95">
        <v>109</v>
      </c>
      <c r="D95" s="7" t="s">
        <v>306</v>
      </c>
      <c r="E95" s="7">
        <v>45444</v>
      </c>
      <c r="F95" s="7">
        <v>46538</v>
      </c>
      <c r="G95">
        <v>130000000</v>
      </c>
      <c r="H95" t="s">
        <v>300</v>
      </c>
      <c r="I95" t="s">
        <v>304</v>
      </c>
      <c r="J95">
        <v>0</v>
      </c>
      <c r="K95">
        <v>250000000</v>
      </c>
      <c r="L95" s="7">
        <v>46538</v>
      </c>
      <c r="M95" s="9">
        <v>7.1059999999999998E-2</v>
      </c>
      <c r="N95">
        <v>101.95</v>
      </c>
      <c r="O95">
        <v>4</v>
      </c>
      <c r="P95" s="8">
        <f t="shared" si="1"/>
        <v>5.5761506513505851E-2</v>
      </c>
      <c r="Q95" t="str">
        <f t="array" ref="Q95:R95">VLOOKUP(A95,$X$3:$AA$330,{3,4},0)</f>
        <v>Indemnity</v>
      </c>
      <c r="R95" t="str">
        <v>Per Occurrence</v>
      </c>
      <c r="X95" t="s">
        <v>246</v>
      </c>
      <c r="Y95">
        <v>85</v>
      </c>
      <c r="Z95" t="s">
        <v>26</v>
      </c>
      <c r="AA95" t="s">
        <v>27</v>
      </c>
    </row>
    <row r="96" spans="1:27">
      <c r="A96" t="s">
        <v>307</v>
      </c>
      <c r="B96">
        <v>110</v>
      </c>
      <c r="C96">
        <v>110</v>
      </c>
      <c r="D96" s="7" t="s">
        <v>308</v>
      </c>
      <c r="E96" s="7">
        <v>45444</v>
      </c>
      <c r="F96" s="7">
        <v>46173</v>
      </c>
      <c r="G96">
        <v>75000000</v>
      </c>
      <c r="H96" t="s">
        <v>300</v>
      </c>
      <c r="I96" t="s">
        <v>304</v>
      </c>
      <c r="J96">
        <v>0</v>
      </c>
      <c r="K96">
        <v>200000000</v>
      </c>
      <c r="L96" s="7">
        <v>46173</v>
      </c>
      <c r="M96" s="9">
        <v>9.3780000000000002E-2</v>
      </c>
      <c r="N96">
        <v>102.8</v>
      </c>
      <c r="O96">
        <v>4</v>
      </c>
      <c r="P96" s="8">
        <f t="shared" si="1"/>
        <v>9.5278887556234926E-3</v>
      </c>
      <c r="Q96" t="str">
        <f t="array" ref="Q96:R96">VLOOKUP(A96,$X$3:$AA$330,{3,4},0)</f>
        <v>Indemnity</v>
      </c>
      <c r="R96" t="str">
        <v>Per Occurrence</v>
      </c>
      <c r="X96" t="s">
        <v>249</v>
      </c>
      <c r="Y96">
        <v>86</v>
      </c>
      <c r="Z96" t="s">
        <v>26</v>
      </c>
      <c r="AA96" t="s">
        <v>27</v>
      </c>
    </row>
    <row r="97" spans="1:27">
      <c r="A97" t="s">
        <v>309</v>
      </c>
      <c r="B97">
        <v>111</v>
      </c>
      <c r="C97">
        <v>111</v>
      </c>
      <c r="D97" s="7" t="s">
        <v>310</v>
      </c>
      <c r="E97" s="7">
        <v>45809</v>
      </c>
      <c r="F97" s="7">
        <v>46904</v>
      </c>
      <c r="G97">
        <v>150000000</v>
      </c>
      <c r="H97" t="s">
        <v>300</v>
      </c>
      <c r="I97" t="s">
        <v>304</v>
      </c>
      <c r="J97">
        <v>0</v>
      </c>
      <c r="K97">
        <v>200000000</v>
      </c>
      <c r="L97" s="7">
        <v>46904</v>
      </c>
      <c r="M97" s="9">
        <v>3.7499999999999999E-2</v>
      </c>
      <c r="N97">
        <v>102.5</v>
      </c>
      <c r="O97">
        <v>4</v>
      </c>
      <c r="P97" s="8">
        <f t="shared" si="1"/>
        <v>2.641378445474607E-2</v>
      </c>
      <c r="Q97" t="str">
        <f t="array" ref="Q97:R97">VLOOKUP(A97,$X$3:$AA$330,{3,4},0)</f>
        <v>Indemnity</v>
      </c>
      <c r="R97" t="str">
        <v>Per Occurrence</v>
      </c>
      <c r="X97" t="s">
        <v>251</v>
      </c>
      <c r="Y97">
        <v>87</v>
      </c>
      <c r="Z97" t="s">
        <v>26</v>
      </c>
      <c r="AA97" t="s">
        <v>33</v>
      </c>
    </row>
    <row r="98" spans="1:27">
      <c r="A98" t="s">
        <v>311</v>
      </c>
      <c r="B98">
        <v>112</v>
      </c>
      <c r="C98">
        <v>112</v>
      </c>
      <c r="D98" s="7" t="s">
        <v>312</v>
      </c>
      <c r="E98" s="7">
        <v>45809</v>
      </c>
      <c r="F98" s="7">
        <v>46904</v>
      </c>
      <c r="G98">
        <v>200000000</v>
      </c>
      <c r="H98" t="s">
        <v>300</v>
      </c>
      <c r="I98" t="s">
        <v>304</v>
      </c>
      <c r="J98">
        <v>0</v>
      </c>
      <c r="K98">
        <v>650000000</v>
      </c>
      <c r="L98" s="7">
        <v>46904</v>
      </c>
      <c r="M98" s="9">
        <v>4.4999999999999998E-2</v>
      </c>
      <c r="N98">
        <v>104.6</v>
      </c>
      <c r="O98">
        <v>4</v>
      </c>
      <c r="P98" s="8">
        <f t="shared" si="1"/>
        <v>2.4649284549802451E-2</v>
      </c>
      <c r="Q98" t="str">
        <f t="array" ref="Q98:R98">VLOOKUP(A98,$X$3:$AA$330,{3,4},0)</f>
        <v>Indemnity</v>
      </c>
      <c r="R98" t="str">
        <v>Per Occurrence</v>
      </c>
      <c r="X98" t="s">
        <v>253</v>
      </c>
      <c r="Y98">
        <v>88</v>
      </c>
      <c r="Z98" t="s">
        <v>26</v>
      </c>
      <c r="AA98" t="s">
        <v>33</v>
      </c>
    </row>
    <row r="99" spans="1:27">
      <c r="A99" t="s">
        <v>313</v>
      </c>
      <c r="B99">
        <v>113</v>
      </c>
      <c r="C99">
        <v>113</v>
      </c>
      <c r="D99" s="7" t="s">
        <v>314</v>
      </c>
      <c r="E99" s="7">
        <v>45809</v>
      </c>
      <c r="F99" s="7">
        <v>46904</v>
      </c>
      <c r="G99">
        <v>175000000</v>
      </c>
      <c r="H99" t="s">
        <v>300</v>
      </c>
      <c r="I99" t="s">
        <v>304</v>
      </c>
      <c r="J99">
        <v>0</v>
      </c>
      <c r="K99">
        <v>325000000</v>
      </c>
      <c r="L99" s="7">
        <v>46904</v>
      </c>
      <c r="M99" s="9">
        <v>6.5000000000000002E-2</v>
      </c>
      <c r="N99">
        <v>102.85</v>
      </c>
      <c r="O99">
        <v>4</v>
      </c>
      <c r="P99" s="8">
        <f t="shared" si="1"/>
        <v>5.1940900733949462E-2</v>
      </c>
      <c r="Q99" t="str">
        <f t="array" ref="Q99:R99">VLOOKUP(A99,$X$3:$AA$330,{3,4},0)</f>
        <v>Indemnity</v>
      </c>
      <c r="R99" t="str">
        <v>Per Occurrence</v>
      </c>
      <c r="X99" t="s">
        <v>255</v>
      </c>
      <c r="Y99">
        <v>89</v>
      </c>
      <c r="Z99" t="s">
        <v>26</v>
      </c>
      <c r="AA99" t="s">
        <v>27</v>
      </c>
    </row>
    <row r="100" spans="1:27">
      <c r="A100" t="s">
        <v>315</v>
      </c>
      <c r="B100">
        <v>114</v>
      </c>
      <c r="C100">
        <v>114</v>
      </c>
      <c r="D100" s="7" t="s">
        <v>316</v>
      </c>
      <c r="E100" s="7">
        <v>45818</v>
      </c>
      <c r="F100" s="7">
        <v>46904</v>
      </c>
      <c r="G100">
        <v>125000000</v>
      </c>
      <c r="H100" t="s">
        <v>317</v>
      </c>
      <c r="I100" t="s">
        <v>231</v>
      </c>
      <c r="K100">
        <v>125000000</v>
      </c>
      <c r="L100" s="7">
        <v>46904</v>
      </c>
      <c r="M100" s="9">
        <v>5.2499999999999998E-2</v>
      </c>
      <c r="N100">
        <v>103.75</v>
      </c>
      <c r="O100">
        <v>4</v>
      </c>
      <c r="P100" s="8">
        <f t="shared" si="1"/>
        <v>3.567309437770759E-2</v>
      </c>
      <c r="Q100" t="str">
        <f t="array" ref="Q100:R100">VLOOKUP(A100,$X$3:$AA$330,{3,4},0)</f>
        <v>Industry Loss</v>
      </c>
      <c r="R100" t="str">
        <v>Annual Aggregate</v>
      </c>
      <c r="X100" t="s">
        <v>257</v>
      </c>
      <c r="Y100">
        <v>90</v>
      </c>
      <c r="Z100" t="s">
        <v>26</v>
      </c>
      <c r="AA100" t="s">
        <v>27</v>
      </c>
    </row>
    <row r="101" spans="1:27">
      <c r="A101" t="s">
        <v>318</v>
      </c>
      <c r="B101">
        <v>115</v>
      </c>
      <c r="C101">
        <v>115</v>
      </c>
      <c r="D101" s="7" t="s">
        <v>319</v>
      </c>
      <c r="E101" s="7">
        <v>45400</v>
      </c>
      <c r="F101" s="7">
        <v>46860</v>
      </c>
      <c r="G101">
        <v>225000000</v>
      </c>
      <c r="H101" t="s">
        <v>320</v>
      </c>
      <c r="I101" t="s">
        <v>321</v>
      </c>
      <c r="J101">
        <v>0</v>
      </c>
      <c r="K101">
        <v>225000000</v>
      </c>
      <c r="L101" s="7">
        <v>46860</v>
      </c>
      <c r="M101" s="9">
        <v>0.04</v>
      </c>
      <c r="N101">
        <v>101.85</v>
      </c>
      <c r="O101">
        <v>4</v>
      </c>
      <c r="P101" s="8">
        <f t="shared" si="1"/>
        <v>3.1305163928033626E-2</v>
      </c>
      <c r="Q101" t="str">
        <f t="array" ref="Q101:R101">VLOOKUP(A101,$X$3:$AA$330,{3,4},0)</f>
        <v>1st Gen Parametric</v>
      </c>
      <c r="R101" t="str">
        <v>Per Occurrence</v>
      </c>
      <c r="X101" t="s">
        <v>259</v>
      </c>
      <c r="Y101">
        <v>91</v>
      </c>
      <c r="Z101" t="s">
        <v>26</v>
      </c>
      <c r="AA101" t="s">
        <v>33</v>
      </c>
    </row>
    <row r="102" spans="1:27">
      <c r="A102" t="s">
        <v>322</v>
      </c>
      <c r="B102">
        <v>116</v>
      </c>
      <c r="C102">
        <v>116</v>
      </c>
      <c r="D102" s="7" t="s">
        <v>323</v>
      </c>
      <c r="E102" s="7">
        <v>45400</v>
      </c>
      <c r="F102" s="7">
        <v>46860</v>
      </c>
      <c r="G102">
        <v>70000000</v>
      </c>
      <c r="H102" t="s">
        <v>324</v>
      </c>
      <c r="I102" t="s">
        <v>321</v>
      </c>
      <c r="J102">
        <v>0</v>
      </c>
      <c r="K102">
        <v>70000000</v>
      </c>
      <c r="L102" s="7">
        <v>46860</v>
      </c>
      <c r="M102" s="9">
        <v>0.11</v>
      </c>
      <c r="N102">
        <v>101.6</v>
      </c>
      <c r="O102">
        <v>4</v>
      </c>
      <c r="P102" s="8">
        <f t="shared" si="1"/>
        <v>0.1018044180665488</v>
      </c>
      <c r="Q102" t="str">
        <f t="array" ref="Q102:R102">VLOOKUP(A102,$X$3:$AA$330,{3,4},0)</f>
        <v>1st Gen Parametric</v>
      </c>
      <c r="R102" t="str">
        <v>Per Occurrence</v>
      </c>
      <c r="X102" t="s">
        <v>261</v>
      </c>
      <c r="Y102">
        <v>92</v>
      </c>
      <c r="Z102" t="s">
        <v>26</v>
      </c>
      <c r="AA102" t="s">
        <v>33</v>
      </c>
    </row>
    <row r="103" spans="1:27">
      <c r="A103" t="s">
        <v>325</v>
      </c>
      <c r="B103">
        <v>117</v>
      </c>
      <c r="C103">
        <v>117</v>
      </c>
      <c r="D103" s="7" t="s">
        <v>326</v>
      </c>
      <c r="E103" s="7">
        <v>45400</v>
      </c>
      <c r="F103" s="7">
        <v>46860</v>
      </c>
      <c r="G103">
        <v>125000000</v>
      </c>
      <c r="H103" t="s">
        <v>327</v>
      </c>
      <c r="I103" t="s">
        <v>328</v>
      </c>
      <c r="J103">
        <v>0</v>
      </c>
      <c r="K103">
        <v>125000000</v>
      </c>
      <c r="L103" s="7">
        <v>46860</v>
      </c>
      <c r="M103" s="9">
        <v>0.13500000000000001</v>
      </c>
      <c r="N103">
        <v>102.8</v>
      </c>
      <c r="O103">
        <v>4</v>
      </c>
      <c r="P103" s="8">
        <f t="shared" si="1"/>
        <v>0.12035443130839411</v>
      </c>
      <c r="Q103" t="str">
        <f t="array" ref="Q103:R103">VLOOKUP(A103,$X$3:$AA$330,{3,4},0)</f>
        <v>1st Gen Parametric</v>
      </c>
      <c r="R103" t="str">
        <v>Per Occurrence</v>
      </c>
      <c r="X103" t="s">
        <v>263</v>
      </c>
      <c r="Y103">
        <v>93</v>
      </c>
      <c r="Z103" t="s">
        <v>26</v>
      </c>
      <c r="AA103" t="s">
        <v>33</v>
      </c>
    </row>
    <row r="104" spans="1:27">
      <c r="A104" t="s">
        <v>329</v>
      </c>
      <c r="B104">
        <v>118</v>
      </c>
      <c r="C104">
        <v>118</v>
      </c>
      <c r="D104" s="7" t="s">
        <v>330</v>
      </c>
      <c r="E104" s="7">
        <v>45428</v>
      </c>
      <c r="F104" s="7">
        <v>46860</v>
      </c>
      <c r="G104">
        <v>175000000</v>
      </c>
      <c r="H104" t="s">
        <v>331</v>
      </c>
      <c r="I104" t="s">
        <v>332</v>
      </c>
      <c r="J104">
        <v>0</v>
      </c>
      <c r="K104">
        <v>175000000</v>
      </c>
      <c r="L104" s="7">
        <v>46860</v>
      </c>
      <c r="M104" s="9">
        <v>0.12</v>
      </c>
      <c r="N104">
        <v>99.3</v>
      </c>
      <c r="O104">
        <v>4</v>
      </c>
      <c r="P104" s="8">
        <f t="shared" si="1"/>
        <v>0.12363531690864228</v>
      </c>
      <c r="Q104" t="str">
        <f t="array" ref="Q104:R104">VLOOKUP(A104,$X$3:$AA$330,{3,4},0)</f>
        <v>1st Gen Parametric</v>
      </c>
      <c r="R104" t="str">
        <v>Per Occurrence</v>
      </c>
      <c r="X104" t="s">
        <v>265</v>
      </c>
      <c r="Y104">
        <v>94</v>
      </c>
      <c r="Z104" t="s">
        <v>26</v>
      </c>
      <c r="AA104" t="s">
        <v>33</v>
      </c>
    </row>
    <row r="105" spans="1:27">
      <c r="A105" t="s">
        <v>333</v>
      </c>
      <c r="B105">
        <v>119</v>
      </c>
      <c r="C105">
        <v>119</v>
      </c>
      <c r="D105" s="7" t="s">
        <v>334</v>
      </c>
      <c r="E105" s="7">
        <v>45474</v>
      </c>
      <c r="F105" s="7">
        <v>46568</v>
      </c>
      <c r="G105">
        <v>80000000</v>
      </c>
      <c r="H105" t="s">
        <v>335</v>
      </c>
      <c r="I105" t="s">
        <v>336</v>
      </c>
      <c r="K105">
        <v>77000000</v>
      </c>
      <c r="L105" s="7">
        <v>46568</v>
      </c>
      <c r="M105" s="9">
        <v>7.0000000000000007E-2</v>
      </c>
      <c r="N105">
        <v>103.1</v>
      </c>
      <c r="O105">
        <v>4</v>
      </c>
      <c r="P105" s="8">
        <f t="shared" si="1"/>
        <v>4.7231757968182464E-2</v>
      </c>
      <c r="Q105" t="str">
        <f t="array" ref="Q105:R105">VLOOKUP(A105,$X$3:$AA$330,{3,4},0)</f>
        <v>Industry Loss</v>
      </c>
      <c r="R105" t="str">
        <v>Per Occurrence</v>
      </c>
      <c r="X105" t="s">
        <v>267</v>
      </c>
      <c r="Y105">
        <v>95</v>
      </c>
      <c r="Z105" t="s">
        <v>153</v>
      </c>
      <c r="AA105" t="s">
        <v>153</v>
      </c>
    </row>
    <row r="106" spans="1:27">
      <c r="A106" t="s">
        <v>337</v>
      </c>
      <c r="B106">
        <v>120</v>
      </c>
      <c r="C106">
        <v>120</v>
      </c>
      <c r="D106" s="7" t="s">
        <v>338</v>
      </c>
      <c r="E106" s="7">
        <v>45474</v>
      </c>
      <c r="F106" s="7">
        <v>46568</v>
      </c>
      <c r="G106">
        <v>60000000</v>
      </c>
      <c r="H106" t="s">
        <v>335</v>
      </c>
      <c r="I106" t="s">
        <v>339</v>
      </c>
      <c r="K106">
        <v>80000000</v>
      </c>
      <c r="L106" s="7">
        <v>46568</v>
      </c>
      <c r="M106" s="9">
        <v>0.18</v>
      </c>
      <c r="N106">
        <v>102.925</v>
      </c>
      <c r="O106">
        <v>4</v>
      </c>
      <c r="P106" s="8">
        <f t="shared" si="1"/>
        <v>0.15642798107094932</v>
      </c>
      <c r="Q106" t="str">
        <f t="array" ref="Q106:R106">VLOOKUP(A106,$X$3:$AA$330,{3,4},0)</f>
        <v>Industry Loss</v>
      </c>
      <c r="R106" t="str">
        <v>Per Occurrence</v>
      </c>
      <c r="X106" t="s">
        <v>340</v>
      </c>
      <c r="Y106">
        <v>96</v>
      </c>
      <c r="Z106" t="s">
        <v>153</v>
      </c>
      <c r="AA106" t="s">
        <v>153</v>
      </c>
    </row>
    <row r="107" spans="1:27">
      <c r="A107" t="s">
        <v>341</v>
      </c>
      <c r="B107">
        <v>121</v>
      </c>
      <c r="C107">
        <v>121</v>
      </c>
      <c r="D107" s="7" t="s">
        <v>342</v>
      </c>
      <c r="E107" s="7">
        <v>45809</v>
      </c>
      <c r="F107" s="7">
        <v>46904</v>
      </c>
      <c r="G107">
        <v>150000000</v>
      </c>
      <c r="H107" t="s">
        <v>335</v>
      </c>
      <c r="I107" t="s">
        <v>343</v>
      </c>
      <c r="J107">
        <v>0</v>
      </c>
      <c r="K107">
        <v>10000000000</v>
      </c>
      <c r="L107" s="7">
        <v>46904</v>
      </c>
      <c r="M107" s="9">
        <v>7.4999999999999997E-2</v>
      </c>
      <c r="N107">
        <v>102.75</v>
      </c>
      <c r="O107">
        <v>4</v>
      </c>
      <c r="P107" s="8">
        <f t="shared" si="1"/>
        <v>6.2231684730329369E-2</v>
      </c>
      <c r="Q107" t="str">
        <f t="array" ref="Q107:R107">VLOOKUP(A107,$X$3:$AA$330,{3,4},0)</f>
        <v>Industry Loss</v>
      </c>
      <c r="R107" t="str">
        <v>Per Occurrence (Named Storm) ; Annual Aggregate (Earthquake)</v>
      </c>
      <c r="X107" t="s">
        <v>344</v>
      </c>
      <c r="Y107">
        <v>97</v>
      </c>
      <c r="Z107" t="s">
        <v>153</v>
      </c>
      <c r="AA107" t="s">
        <v>153</v>
      </c>
    </row>
    <row r="108" spans="1:27">
      <c r="A108" t="s">
        <v>345</v>
      </c>
      <c r="B108">
        <v>123</v>
      </c>
      <c r="C108">
        <v>123</v>
      </c>
      <c r="D108" s="7" t="s">
        <v>346</v>
      </c>
      <c r="E108" s="7">
        <v>45430</v>
      </c>
      <c r="F108" s="7">
        <v>46524</v>
      </c>
      <c r="G108">
        <v>145000000</v>
      </c>
      <c r="H108" t="s">
        <v>347</v>
      </c>
      <c r="I108" t="s">
        <v>67</v>
      </c>
      <c r="J108">
        <v>0</v>
      </c>
      <c r="K108">
        <v>145000000</v>
      </c>
      <c r="L108" s="7">
        <v>46524</v>
      </c>
      <c r="M108" s="9">
        <v>0.17932000000000001</v>
      </c>
      <c r="N108">
        <v>102.9</v>
      </c>
      <c r="O108">
        <v>4</v>
      </c>
      <c r="P108" s="8">
        <f t="shared" si="1"/>
        <v>0.15407315272501584</v>
      </c>
      <c r="Q108" t="str">
        <f t="array" ref="Q108:R108">VLOOKUP(A108,$X$3:$AA$330,{3,4},0)</f>
        <v>Indemnity</v>
      </c>
      <c r="R108" t="str">
        <v>Annual Aggregate</v>
      </c>
      <c r="X108" t="s">
        <v>270</v>
      </c>
      <c r="Y108">
        <v>98</v>
      </c>
      <c r="Z108" t="s">
        <v>32</v>
      </c>
      <c r="AA108" t="s">
        <v>348</v>
      </c>
    </row>
    <row r="109" spans="1:27">
      <c r="A109" t="s">
        <v>349</v>
      </c>
      <c r="B109">
        <v>124</v>
      </c>
      <c r="C109">
        <v>124</v>
      </c>
      <c r="D109" s="7" t="s">
        <v>350</v>
      </c>
      <c r="E109" s="7">
        <v>44986</v>
      </c>
      <c r="F109" s="7">
        <v>46081</v>
      </c>
      <c r="G109">
        <v>75000000</v>
      </c>
      <c r="H109" t="s">
        <v>351</v>
      </c>
      <c r="I109" t="s">
        <v>153</v>
      </c>
      <c r="K109">
        <v>100000000</v>
      </c>
      <c r="L109" s="7">
        <v>46081</v>
      </c>
      <c r="M109" s="9">
        <v>6.7879999999999996E-2</v>
      </c>
      <c r="N109">
        <v>100</v>
      </c>
      <c r="O109">
        <v>4</v>
      </c>
      <c r="P109" s="8">
        <f t="shared" si="1"/>
        <v>7.1914973363254836E-2</v>
      </c>
      <c r="Q109" t="str">
        <f t="array" ref="Q109:R109">VLOOKUP(A109,$X$3:$AA$330,{3,4},0)</f>
        <v>NULL</v>
      </c>
      <c r="R109" t="str">
        <v>NULL</v>
      </c>
      <c r="X109" t="s">
        <v>274</v>
      </c>
      <c r="Y109">
        <v>99</v>
      </c>
      <c r="Z109" t="s">
        <v>32</v>
      </c>
      <c r="AA109" t="s">
        <v>348</v>
      </c>
    </row>
    <row r="110" spans="1:27">
      <c r="A110" t="s">
        <v>352</v>
      </c>
      <c r="B110">
        <v>126</v>
      </c>
      <c r="C110">
        <v>126</v>
      </c>
      <c r="D110" s="7" t="s">
        <v>353</v>
      </c>
      <c r="E110" s="7">
        <v>45352</v>
      </c>
      <c r="F110" s="7">
        <v>46446</v>
      </c>
      <c r="G110">
        <v>175000000</v>
      </c>
      <c r="H110" t="s">
        <v>351</v>
      </c>
      <c r="I110" t="s">
        <v>301</v>
      </c>
      <c r="K110">
        <v>225000000</v>
      </c>
      <c r="L110" s="7">
        <v>46446</v>
      </c>
      <c r="M110" s="9">
        <v>4.7379999999999999E-2</v>
      </c>
      <c r="N110">
        <v>104.65</v>
      </c>
      <c r="O110">
        <v>4</v>
      </c>
      <c r="P110" s="8">
        <f t="shared" si="1"/>
        <v>4.3315799757577232E-3</v>
      </c>
      <c r="Q110" t="str">
        <f t="array" ref="Q110:R110">VLOOKUP(A110,$X$3:$AA$330,{3,4},0)</f>
        <v>Indemnity</v>
      </c>
      <c r="R110" t="str">
        <v>Per Occurrence</v>
      </c>
      <c r="X110" t="s">
        <v>276</v>
      </c>
      <c r="Y110">
        <v>100</v>
      </c>
      <c r="Z110" t="s">
        <v>26</v>
      </c>
      <c r="AA110" t="s">
        <v>27</v>
      </c>
    </row>
    <row r="111" spans="1:27">
      <c r="A111" t="s">
        <v>354</v>
      </c>
      <c r="B111">
        <v>127</v>
      </c>
      <c r="C111">
        <v>127</v>
      </c>
      <c r="D111" s="7" t="s">
        <v>355</v>
      </c>
      <c r="E111" s="7">
        <v>45717</v>
      </c>
      <c r="F111" s="7">
        <v>46812</v>
      </c>
      <c r="G111">
        <v>300000000</v>
      </c>
      <c r="H111" t="s">
        <v>351</v>
      </c>
      <c r="I111" t="s">
        <v>301</v>
      </c>
      <c r="K111">
        <v>300000000</v>
      </c>
      <c r="L111" s="7">
        <v>46812</v>
      </c>
      <c r="M111" s="9">
        <v>3.5000000000000003E-2</v>
      </c>
      <c r="N111">
        <v>105.2</v>
      </c>
      <c r="O111">
        <v>4</v>
      </c>
      <c r="P111" s="8">
        <f t="shared" si="1"/>
        <v>9.7539692134053866E-3</v>
      </c>
      <c r="Q111" t="str">
        <f t="array" ref="Q111:R111">VLOOKUP(A111,$X$3:$AA$330,{3,4},0)</f>
        <v>Indemnity</v>
      </c>
      <c r="R111" t="str">
        <v>Per Occurrence</v>
      </c>
      <c r="X111" t="s">
        <v>280</v>
      </c>
      <c r="Y111">
        <v>101</v>
      </c>
      <c r="Z111" t="s">
        <v>26</v>
      </c>
      <c r="AA111" t="s">
        <v>27</v>
      </c>
    </row>
    <row r="112" spans="1:27">
      <c r="A112" t="s">
        <v>356</v>
      </c>
      <c r="B112">
        <v>128</v>
      </c>
      <c r="C112">
        <v>128</v>
      </c>
      <c r="D112" s="7" t="s">
        <v>357</v>
      </c>
      <c r="E112" s="7">
        <v>45717</v>
      </c>
      <c r="F112" s="7">
        <v>46812</v>
      </c>
      <c r="G112">
        <v>150000000</v>
      </c>
      <c r="H112" t="s">
        <v>351</v>
      </c>
      <c r="I112" t="s">
        <v>301</v>
      </c>
      <c r="K112">
        <v>150000000</v>
      </c>
      <c r="L112" s="7">
        <v>46812</v>
      </c>
      <c r="M112" s="9">
        <v>0.05</v>
      </c>
      <c r="N112">
        <v>105.4</v>
      </c>
      <c r="O112">
        <v>4</v>
      </c>
      <c r="P112" s="8">
        <f t="shared" si="1"/>
        <v>2.3364439511310106E-2</v>
      </c>
      <c r="Q112" t="str">
        <f t="array" ref="Q112:R112">VLOOKUP(A112,$X$3:$AA$330,{3,4},0)</f>
        <v>Indemnity</v>
      </c>
      <c r="R112" t="str">
        <v>Per Occurrence</v>
      </c>
      <c r="X112" t="s">
        <v>284</v>
      </c>
      <c r="Y112">
        <v>102</v>
      </c>
      <c r="Z112" t="s">
        <v>26</v>
      </c>
      <c r="AA112" t="s">
        <v>27</v>
      </c>
    </row>
    <row r="113" spans="1:27">
      <c r="A113" t="s">
        <v>358</v>
      </c>
      <c r="B113">
        <v>129</v>
      </c>
      <c r="C113">
        <v>129</v>
      </c>
      <c r="D113" s="7" t="s">
        <v>359</v>
      </c>
      <c r="E113" s="7">
        <v>45748</v>
      </c>
      <c r="F113" s="7">
        <v>46843</v>
      </c>
      <c r="G113">
        <v>140000000</v>
      </c>
      <c r="H113" t="s">
        <v>360</v>
      </c>
      <c r="I113" t="s">
        <v>361</v>
      </c>
      <c r="K113">
        <v>600000000</v>
      </c>
      <c r="L113" s="7">
        <v>46843</v>
      </c>
      <c r="M113" s="9">
        <v>5.7500000000000002E-2</v>
      </c>
      <c r="N113">
        <v>107.85</v>
      </c>
      <c r="O113">
        <v>4</v>
      </c>
      <c r="P113" s="8">
        <f t="shared" si="1"/>
        <v>2.0367923956391878E-2</v>
      </c>
      <c r="Q113" t="str">
        <f t="array" ref="Q113:R113">VLOOKUP(A113,$X$3:$AA$330,{3,4},0)</f>
        <v>Indemnity</v>
      </c>
      <c r="R113" t="str">
        <v>Annual Aggregate</v>
      </c>
      <c r="X113" t="s">
        <v>287</v>
      </c>
      <c r="Y113">
        <v>103</v>
      </c>
      <c r="Z113" t="s">
        <v>32</v>
      </c>
      <c r="AA113" t="s">
        <v>33</v>
      </c>
    </row>
    <row r="114" spans="1:27">
      <c r="A114" t="s">
        <v>362</v>
      </c>
      <c r="B114">
        <v>130</v>
      </c>
      <c r="C114">
        <v>130</v>
      </c>
      <c r="D114" s="7" t="s">
        <v>363</v>
      </c>
      <c r="E114" s="7">
        <v>45464</v>
      </c>
      <c r="F114" s="7">
        <v>46538</v>
      </c>
      <c r="G114">
        <v>85000000</v>
      </c>
      <c r="H114" t="s">
        <v>364</v>
      </c>
      <c r="I114" t="s">
        <v>365</v>
      </c>
      <c r="J114">
        <v>0</v>
      </c>
      <c r="K114">
        <v>85000000</v>
      </c>
      <c r="L114" s="7">
        <v>46538</v>
      </c>
      <c r="M114" s="9">
        <v>0.09</v>
      </c>
      <c r="N114">
        <v>108.35</v>
      </c>
      <c r="O114">
        <v>4</v>
      </c>
      <c r="P114" s="8">
        <f t="shared" si="1"/>
        <v>2.6064285274857029E-2</v>
      </c>
      <c r="Q114" t="str">
        <f t="array" ref="Q114:R114">VLOOKUP(A114,$X$3:$AA$330,{3,4},0)</f>
        <v>1st Gen Parametric</v>
      </c>
      <c r="R114" t="str">
        <v>Per Occurrence</v>
      </c>
      <c r="X114" t="s">
        <v>292</v>
      </c>
      <c r="Y114">
        <v>104</v>
      </c>
      <c r="Z114" t="s">
        <v>32</v>
      </c>
      <c r="AA114" t="s">
        <v>33</v>
      </c>
    </row>
    <row r="115" spans="1:27">
      <c r="A115" t="s">
        <v>366</v>
      </c>
      <c r="B115">
        <v>131</v>
      </c>
      <c r="C115">
        <v>131</v>
      </c>
      <c r="D115" s="7" t="s">
        <v>367</v>
      </c>
      <c r="E115" s="7">
        <v>45776</v>
      </c>
      <c r="F115" s="7">
        <v>46871</v>
      </c>
      <c r="G115">
        <v>50000000</v>
      </c>
      <c r="H115" t="s">
        <v>368</v>
      </c>
      <c r="I115" t="s">
        <v>369</v>
      </c>
      <c r="K115">
        <v>50000000</v>
      </c>
      <c r="L115" s="7">
        <v>46871</v>
      </c>
      <c r="M115" s="9">
        <v>0.08</v>
      </c>
      <c r="N115">
        <v>107.75</v>
      </c>
      <c r="O115">
        <v>4</v>
      </c>
      <c r="P115" s="8">
        <f t="shared" si="1"/>
        <v>4.3524278419448642E-2</v>
      </c>
      <c r="Q115" t="str">
        <f t="array" ref="Q115:R115">VLOOKUP(A115,$X$3:$AA$330,{3,4},0)</f>
        <v>Industry Loss</v>
      </c>
      <c r="R115" t="str">
        <v>Per Occurrence</v>
      </c>
      <c r="X115" t="s">
        <v>295</v>
      </c>
      <c r="Y115">
        <v>105</v>
      </c>
      <c r="Z115" t="s">
        <v>32</v>
      </c>
      <c r="AA115" t="s">
        <v>33</v>
      </c>
    </row>
    <row r="116" spans="1:27">
      <c r="A116" t="s">
        <v>370</v>
      </c>
      <c r="B116">
        <v>132</v>
      </c>
      <c r="C116">
        <v>132</v>
      </c>
      <c r="D116" s="7" t="s">
        <v>371</v>
      </c>
      <c r="E116" s="7">
        <v>45809</v>
      </c>
      <c r="F116" s="7">
        <v>46904</v>
      </c>
      <c r="G116">
        <v>100000000</v>
      </c>
      <c r="H116" t="s">
        <v>372</v>
      </c>
      <c r="I116" t="s">
        <v>373</v>
      </c>
      <c r="K116">
        <v>200000000</v>
      </c>
      <c r="L116" s="7">
        <v>46904</v>
      </c>
      <c r="M116" s="9">
        <v>7.7499999999999999E-2</v>
      </c>
      <c r="N116">
        <v>100</v>
      </c>
      <c r="O116">
        <v>4</v>
      </c>
      <c r="P116" s="8">
        <f t="shared" si="1"/>
        <v>7.7480460364837689E-2</v>
      </c>
      <c r="Q116" t="str">
        <f t="array" ref="Q116:R116">VLOOKUP(A116,$X$3:$AA$330,{3,4},0)</f>
        <v>Indemnity</v>
      </c>
      <c r="R116" t="str">
        <v>Per Occurrence</v>
      </c>
      <c r="X116" t="s">
        <v>374</v>
      </c>
      <c r="Y116">
        <v>106</v>
      </c>
      <c r="Z116" t="s">
        <v>32</v>
      </c>
      <c r="AA116" t="s">
        <v>33</v>
      </c>
    </row>
    <row r="117" spans="1:27">
      <c r="A117" t="s">
        <v>375</v>
      </c>
      <c r="B117">
        <v>135</v>
      </c>
      <c r="C117">
        <v>135</v>
      </c>
      <c r="D117" s="7" t="s">
        <v>376</v>
      </c>
      <c r="E117" s="7">
        <v>45067</v>
      </c>
      <c r="F117" s="7">
        <v>46173</v>
      </c>
      <c r="G117">
        <v>115000000</v>
      </c>
      <c r="H117" t="s">
        <v>372</v>
      </c>
      <c r="I117" t="s">
        <v>336</v>
      </c>
      <c r="J117">
        <v>0</v>
      </c>
      <c r="K117">
        <v>115000000</v>
      </c>
      <c r="L117" s="7">
        <v>46173</v>
      </c>
      <c r="M117" s="9">
        <v>8.7099999999999997E-2</v>
      </c>
      <c r="N117">
        <v>101.25</v>
      </c>
      <c r="O117">
        <v>4</v>
      </c>
      <c r="P117" s="8">
        <f t="shared" si="1"/>
        <v>4.8974329882062947E-2</v>
      </c>
      <c r="Q117" t="str">
        <f t="array" ref="Q117:R117">VLOOKUP(A117,$X$3:$AA$330,{3,4},0)</f>
        <v>Indemnity</v>
      </c>
      <c r="R117" t="str">
        <v>Per Occurrence</v>
      </c>
      <c r="X117" t="s">
        <v>298</v>
      </c>
      <c r="Y117">
        <v>107</v>
      </c>
      <c r="Z117" t="s">
        <v>32</v>
      </c>
      <c r="AA117" t="s">
        <v>33</v>
      </c>
    </row>
    <row r="118" spans="1:27">
      <c r="A118" t="s">
        <v>377</v>
      </c>
      <c r="B118">
        <v>136</v>
      </c>
      <c r="C118">
        <v>136</v>
      </c>
      <c r="D118" s="7" t="s">
        <v>378</v>
      </c>
      <c r="E118" s="7">
        <v>45444</v>
      </c>
      <c r="F118" s="7">
        <v>46538</v>
      </c>
      <c r="G118">
        <v>50000000</v>
      </c>
      <c r="H118" t="s">
        <v>372</v>
      </c>
      <c r="I118" t="s">
        <v>373</v>
      </c>
      <c r="K118">
        <v>100000000</v>
      </c>
      <c r="L118" s="7">
        <v>46538</v>
      </c>
      <c r="M118" s="9">
        <v>9.1899999999999996E-2</v>
      </c>
      <c r="N118">
        <v>104.2</v>
      </c>
      <c r="O118">
        <v>4</v>
      </c>
      <c r="P118" s="8">
        <f t="shared" si="1"/>
        <v>5.8886692852262092E-2</v>
      </c>
      <c r="Q118" t="str">
        <f t="array" ref="Q118:R118">VLOOKUP(A118,$X$3:$AA$330,{3,4},0)</f>
        <v>Indemnity</v>
      </c>
      <c r="R118" t="str">
        <v>Per Occurrence</v>
      </c>
      <c r="X118" t="s">
        <v>302</v>
      </c>
      <c r="Y118">
        <v>108</v>
      </c>
      <c r="Z118" t="s">
        <v>32</v>
      </c>
      <c r="AA118" t="s">
        <v>33</v>
      </c>
    </row>
    <row r="119" spans="1:27">
      <c r="A119" t="s">
        <v>379</v>
      </c>
      <c r="B119">
        <v>137</v>
      </c>
      <c r="C119">
        <v>137</v>
      </c>
      <c r="D119" s="7" t="s">
        <v>380</v>
      </c>
      <c r="E119" s="7">
        <v>45444</v>
      </c>
      <c r="F119" s="7">
        <v>46538</v>
      </c>
      <c r="G119">
        <v>50000000</v>
      </c>
      <c r="H119" t="s">
        <v>372</v>
      </c>
      <c r="I119" t="s">
        <v>373</v>
      </c>
      <c r="K119">
        <v>140000000</v>
      </c>
      <c r="L119" s="7">
        <v>46538</v>
      </c>
      <c r="M119" s="9">
        <v>0.10440000000000001</v>
      </c>
      <c r="N119">
        <v>103.15</v>
      </c>
      <c r="O119">
        <v>4</v>
      </c>
      <c r="P119" s="8">
        <f t="shared" si="1"/>
        <v>7.9226804476040899E-2</v>
      </c>
      <c r="Q119" t="str">
        <f t="array" ref="Q119:R119">VLOOKUP(A119,$X$3:$AA$330,{3,4},0)</f>
        <v>Indemnity</v>
      </c>
      <c r="R119" t="str">
        <v>Per Occurrence</v>
      </c>
      <c r="X119" t="s">
        <v>305</v>
      </c>
      <c r="Y119">
        <v>109</v>
      </c>
      <c r="Z119" t="s">
        <v>32</v>
      </c>
      <c r="AA119" t="s">
        <v>33</v>
      </c>
    </row>
    <row r="120" spans="1:27">
      <c r="A120" t="s">
        <v>381</v>
      </c>
      <c r="B120">
        <v>138</v>
      </c>
      <c r="C120">
        <v>138</v>
      </c>
      <c r="D120" s="7" t="s">
        <v>382</v>
      </c>
      <c r="E120" s="7">
        <v>45292</v>
      </c>
      <c r="F120" s="7">
        <v>46387</v>
      </c>
      <c r="G120">
        <v>200000000</v>
      </c>
      <c r="H120" t="s">
        <v>383</v>
      </c>
      <c r="I120" t="s">
        <v>67</v>
      </c>
      <c r="J120">
        <v>0</v>
      </c>
      <c r="K120">
        <v>600000000</v>
      </c>
      <c r="L120" s="7">
        <v>46387</v>
      </c>
      <c r="M120" s="9">
        <v>5.2499999999999998E-2</v>
      </c>
      <c r="N120">
        <v>102.35</v>
      </c>
      <c r="O120">
        <v>4</v>
      </c>
      <c r="P120" s="8">
        <f t="shared" si="1"/>
        <v>2.645619075946537E-2</v>
      </c>
      <c r="Q120" t="str">
        <f t="array" ref="Q120:R120">VLOOKUP(A120,$X$3:$AA$330,{3,4},0)</f>
        <v>Indemnity</v>
      </c>
      <c r="R120" t="str">
        <v>Per Occurrence</v>
      </c>
      <c r="X120" t="s">
        <v>307</v>
      </c>
      <c r="Y120">
        <v>110</v>
      </c>
      <c r="Z120" t="s">
        <v>32</v>
      </c>
      <c r="AA120" t="s">
        <v>33</v>
      </c>
    </row>
    <row r="121" spans="1:27">
      <c r="A121" t="s">
        <v>384</v>
      </c>
      <c r="B121">
        <v>139</v>
      </c>
      <c r="C121">
        <v>139</v>
      </c>
      <c r="D121" s="7" t="s">
        <v>385</v>
      </c>
      <c r="E121" s="7">
        <v>45292</v>
      </c>
      <c r="F121" s="7">
        <v>46387</v>
      </c>
      <c r="G121">
        <v>200000000</v>
      </c>
      <c r="H121" t="s">
        <v>383</v>
      </c>
      <c r="I121" t="s">
        <v>67</v>
      </c>
      <c r="J121">
        <v>0</v>
      </c>
      <c r="K121">
        <v>500000000</v>
      </c>
      <c r="L121" s="7">
        <v>46387</v>
      </c>
      <c r="M121" s="9">
        <v>7.9899999999999999E-2</v>
      </c>
      <c r="N121">
        <v>105.6</v>
      </c>
      <c r="O121">
        <v>4</v>
      </c>
      <c r="P121" s="8">
        <f t="shared" si="1"/>
        <v>1.8149917588217351E-2</v>
      </c>
      <c r="Q121" t="str">
        <f t="array" ref="Q121:R121">VLOOKUP(A121,$X$3:$AA$330,{3,4},0)</f>
        <v>Indemnity</v>
      </c>
      <c r="R121" t="str">
        <v>Per Occurrence</v>
      </c>
      <c r="X121" t="s">
        <v>309</v>
      </c>
      <c r="Y121">
        <v>111</v>
      </c>
      <c r="Z121" t="s">
        <v>32</v>
      </c>
      <c r="AA121" t="s">
        <v>33</v>
      </c>
    </row>
    <row r="122" spans="1:27">
      <c r="A122" t="s">
        <v>386</v>
      </c>
      <c r="B122">
        <v>140</v>
      </c>
      <c r="C122">
        <v>140</v>
      </c>
      <c r="D122" s="7" t="s">
        <v>387</v>
      </c>
      <c r="E122" s="7">
        <v>45647</v>
      </c>
      <c r="F122" s="7">
        <v>46752</v>
      </c>
      <c r="G122">
        <v>200000000</v>
      </c>
      <c r="H122" t="s">
        <v>297</v>
      </c>
      <c r="I122" t="s">
        <v>53</v>
      </c>
      <c r="K122">
        <v>200000000</v>
      </c>
      <c r="L122" s="7">
        <v>46752</v>
      </c>
      <c r="M122" s="9">
        <v>8.5000000000000006E-2</v>
      </c>
      <c r="N122">
        <v>103</v>
      </c>
      <c r="O122">
        <v>4</v>
      </c>
      <c r="P122" s="8">
        <f t="shared" si="1"/>
        <v>6.8148229772400745E-2</v>
      </c>
      <c r="Q122" t="str">
        <f t="array" ref="Q122:R122">VLOOKUP(A122,$X$3:$AA$330,{3,4},0)</f>
        <v>Indemnity</v>
      </c>
      <c r="R122" t="str">
        <v>Per Occurrence</v>
      </c>
      <c r="X122" t="s">
        <v>311</v>
      </c>
      <c r="Y122">
        <v>112</v>
      </c>
      <c r="Z122" t="s">
        <v>32</v>
      </c>
      <c r="AA122" t="s">
        <v>33</v>
      </c>
    </row>
    <row r="123" spans="1:27">
      <c r="A123" t="s">
        <v>388</v>
      </c>
      <c r="B123">
        <v>141</v>
      </c>
      <c r="C123">
        <v>141</v>
      </c>
      <c r="D123" s="7" t="s">
        <v>389</v>
      </c>
      <c r="E123" s="7">
        <v>45720</v>
      </c>
      <c r="F123" s="7">
        <v>46815</v>
      </c>
      <c r="G123">
        <v>600000000</v>
      </c>
      <c r="H123" t="s">
        <v>66</v>
      </c>
      <c r="I123" t="s">
        <v>67</v>
      </c>
      <c r="J123">
        <v>0</v>
      </c>
      <c r="K123">
        <v>600000000</v>
      </c>
      <c r="L123" s="7">
        <v>46815</v>
      </c>
      <c r="M123" s="9">
        <v>6.9000000000000006E-2</v>
      </c>
      <c r="N123">
        <v>102.9</v>
      </c>
      <c r="O123">
        <v>4</v>
      </c>
      <c r="P123" s="8">
        <f t="shared" si="1"/>
        <v>5.4208834905678391E-2</v>
      </c>
      <c r="Q123" t="str">
        <f t="array" ref="Q123:R123">VLOOKUP(A123,$X$3:$AA$330,{3,4},0)</f>
        <v>Indemnity</v>
      </c>
      <c r="R123" t="str">
        <v>Annual Aggregate</v>
      </c>
      <c r="X123" t="s">
        <v>313</v>
      </c>
      <c r="Y123">
        <v>113</v>
      </c>
      <c r="Z123" t="s">
        <v>32</v>
      </c>
      <c r="AA123" t="s">
        <v>33</v>
      </c>
    </row>
    <row r="124" spans="1:27">
      <c r="A124" t="s">
        <v>390</v>
      </c>
      <c r="B124">
        <v>143</v>
      </c>
      <c r="C124">
        <v>143</v>
      </c>
      <c r="D124" s="7" t="s">
        <v>391</v>
      </c>
      <c r="E124" s="7">
        <v>45065</v>
      </c>
      <c r="F124" s="7">
        <v>46160</v>
      </c>
      <c r="G124">
        <v>75000000</v>
      </c>
      <c r="H124" t="s">
        <v>392</v>
      </c>
      <c r="I124" t="s">
        <v>393</v>
      </c>
      <c r="J124">
        <v>0</v>
      </c>
      <c r="K124">
        <v>310000000</v>
      </c>
      <c r="L124" s="7">
        <v>46160</v>
      </c>
      <c r="M124" s="9">
        <v>0.19700000000000001</v>
      </c>
      <c r="N124">
        <v>99.000846999999993</v>
      </c>
      <c r="O124">
        <v>4</v>
      </c>
      <c r="P124" s="8">
        <f t="shared" si="1"/>
        <v>0.23198838124419244</v>
      </c>
      <c r="Q124" t="str">
        <f t="array" ref="Q124:R124">VLOOKUP(A124,$X$3:$AA$330,{3,4},0)</f>
        <v>Indemnity</v>
      </c>
      <c r="R124" t="str">
        <v>Per Occurrence</v>
      </c>
      <c r="X124" t="s">
        <v>315</v>
      </c>
      <c r="Y124">
        <v>114</v>
      </c>
      <c r="Z124" t="s">
        <v>26</v>
      </c>
      <c r="AA124" t="s">
        <v>27</v>
      </c>
    </row>
    <row r="125" spans="1:27">
      <c r="A125" t="s">
        <v>394</v>
      </c>
      <c r="B125">
        <v>144</v>
      </c>
      <c r="C125">
        <v>144</v>
      </c>
      <c r="D125" s="7" t="s">
        <v>395</v>
      </c>
      <c r="E125" s="7">
        <v>45809</v>
      </c>
      <c r="F125" s="7">
        <v>46904</v>
      </c>
      <c r="G125">
        <v>125000000</v>
      </c>
      <c r="H125" t="s">
        <v>396</v>
      </c>
      <c r="I125" t="s">
        <v>397</v>
      </c>
      <c r="K125">
        <v>257000000</v>
      </c>
      <c r="L125" s="7">
        <v>46904</v>
      </c>
      <c r="M125" s="9">
        <v>7.2499999999999995E-2</v>
      </c>
      <c r="N125">
        <v>99.014825999999999</v>
      </c>
      <c r="O125">
        <v>4</v>
      </c>
      <c r="P125" s="8">
        <f t="shared" si="1"/>
        <v>7.7135808409574749E-2</v>
      </c>
      <c r="Q125" t="str">
        <f t="array" ref="Q125:R125">VLOOKUP(A125,$X$3:$AA$330,{3,4},0)</f>
        <v>Indemnity</v>
      </c>
      <c r="R125" t="str">
        <v>Per Occurrence</v>
      </c>
      <c r="X125" t="s">
        <v>318</v>
      </c>
      <c r="Y125">
        <v>115</v>
      </c>
      <c r="Z125" t="s">
        <v>242</v>
      </c>
      <c r="AA125" t="s">
        <v>33</v>
      </c>
    </row>
    <row r="126" spans="1:27">
      <c r="A126" t="s">
        <v>398</v>
      </c>
      <c r="B126">
        <v>145</v>
      </c>
      <c r="C126">
        <v>145</v>
      </c>
      <c r="D126" s="7" t="s">
        <v>399</v>
      </c>
      <c r="E126" s="7">
        <v>45809</v>
      </c>
      <c r="F126" s="7">
        <v>46904</v>
      </c>
      <c r="G126">
        <v>125000000</v>
      </c>
      <c r="H126" t="s">
        <v>396</v>
      </c>
      <c r="I126" t="s">
        <v>397</v>
      </c>
      <c r="K126">
        <v>250000000</v>
      </c>
      <c r="L126" s="7">
        <v>46904</v>
      </c>
      <c r="M126" s="9">
        <v>7.7499999999999999E-2</v>
      </c>
      <c r="N126">
        <v>98.982583000000005</v>
      </c>
      <c r="O126">
        <v>4</v>
      </c>
      <c r="P126" s="8">
        <f t="shared" si="1"/>
        <v>8.2316210634690593E-2</v>
      </c>
      <c r="Q126" t="str">
        <f t="array" ref="Q126:R126">VLOOKUP(A126,$X$3:$AA$330,{3,4},0)</f>
        <v>Indemnity</v>
      </c>
      <c r="R126" t="str">
        <v>Per Occurrence</v>
      </c>
      <c r="X126" t="s">
        <v>322</v>
      </c>
      <c r="Y126">
        <v>116</v>
      </c>
      <c r="Z126" t="s">
        <v>242</v>
      </c>
      <c r="AA126" t="s">
        <v>33</v>
      </c>
    </row>
    <row r="127" spans="1:27">
      <c r="A127" t="s">
        <v>400</v>
      </c>
      <c r="B127">
        <v>146</v>
      </c>
      <c r="C127">
        <v>146</v>
      </c>
      <c r="D127" s="7" t="s">
        <v>401</v>
      </c>
      <c r="E127" s="7">
        <v>45444</v>
      </c>
      <c r="F127" s="7">
        <v>46538</v>
      </c>
      <c r="G127">
        <v>210000000</v>
      </c>
      <c r="H127" t="s">
        <v>396</v>
      </c>
      <c r="I127" t="s">
        <v>397</v>
      </c>
      <c r="K127">
        <v>300000000</v>
      </c>
      <c r="L127" s="7">
        <v>46538</v>
      </c>
      <c r="M127" s="9">
        <v>9.1259999999999994E-2</v>
      </c>
      <c r="N127">
        <v>98.985917000000001</v>
      </c>
      <c r="O127">
        <v>4</v>
      </c>
      <c r="P127" s="8">
        <f t="shared" si="1"/>
        <v>9.9424393175821954E-2</v>
      </c>
      <c r="Q127" t="str">
        <f t="array" ref="Q127:R127">VLOOKUP(A127,$X$3:$AA$330,{3,4},0)</f>
        <v>Indemnity</v>
      </c>
      <c r="R127" t="str">
        <v>Per Occurrence</v>
      </c>
      <c r="X127" t="s">
        <v>325</v>
      </c>
      <c r="Y127">
        <v>117</v>
      </c>
      <c r="Z127" t="s">
        <v>242</v>
      </c>
      <c r="AA127" t="s">
        <v>33</v>
      </c>
    </row>
    <row r="128" spans="1:27">
      <c r="A128" t="s">
        <v>402</v>
      </c>
      <c r="B128">
        <v>147</v>
      </c>
      <c r="C128">
        <v>147</v>
      </c>
      <c r="D128" s="7" t="s">
        <v>403</v>
      </c>
      <c r="E128" s="7">
        <v>45113</v>
      </c>
      <c r="F128" s="7">
        <v>46173</v>
      </c>
      <c r="G128">
        <v>100000000</v>
      </c>
      <c r="H128" t="s">
        <v>396</v>
      </c>
      <c r="I128" t="s">
        <v>397</v>
      </c>
      <c r="K128">
        <v>100000000</v>
      </c>
      <c r="L128" s="7">
        <v>46173</v>
      </c>
      <c r="M128" s="9">
        <v>0.10580000000000001</v>
      </c>
      <c r="N128">
        <v>99.259749999999997</v>
      </c>
      <c r="O128">
        <v>4</v>
      </c>
      <c r="P128" s="8">
        <f t="shared" si="1"/>
        <v>0.1285517470115507</v>
      </c>
      <c r="Q128" t="str">
        <f t="array" ref="Q128:R128">VLOOKUP(A128,$X$3:$AA$330,{3,4},0)</f>
        <v>Indemnity</v>
      </c>
      <c r="R128" t="str">
        <v>Per Occurrence</v>
      </c>
      <c r="X128" t="s">
        <v>329</v>
      </c>
      <c r="Y128">
        <v>118</v>
      </c>
      <c r="Z128" t="s">
        <v>242</v>
      </c>
      <c r="AA128" t="s">
        <v>33</v>
      </c>
    </row>
    <row r="129" spans="1:27">
      <c r="A129" t="s">
        <v>404</v>
      </c>
      <c r="B129">
        <v>148</v>
      </c>
      <c r="C129">
        <v>148</v>
      </c>
      <c r="D129" s="7" t="s">
        <v>405</v>
      </c>
      <c r="E129" s="7">
        <v>45034</v>
      </c>
      <c r="F129" s="7">
        <v>46129</v>
      </c>
      <c r="G129">
        <v>100000000</v>
      </c>
      <c r="H129" t="s">
        <v>396</v>
      </c>
      <c r="I129" t="s">
        <v>397</v>
      </c>
      <c r="J129">
        <v>0</v>
      </c>
      <c r="K129">
        <v>100000000</v>
      </c>
      <c r="L129" s="7">
        <v>46129</v>
      </c>
      <c r="M129" s="9">
        <v>0.13009999999999999</v>
      </c>
      <c r="N129">
        <v>99.597986000000006</v>
      </c>
      <c r="O129">
        <v>4</v>
      </c>
      <c r="P129" s="8">
        <f t="shared" si="1"/>
        <v>0.14705301649703406</v>
      </c>
      <c r="Q129" t="str">
        <f t="array" ref="Q129:R129">VLOOKUP(A129,$X$3:$AA$330,{3,4},0)</f>
        <v>Indemnity</v>
      </c>
      <c r="R129" t="str">
        <v>Per Occurrence</v>
      </c>
      <c r="X129" t="s">
        <v>333</v>
      </c>
      <c r="Y129">
        <v>119</v>
      </c>
      <c r="Z129" t="s">
        <v>26</v>
      </c>
      <c r="AA129" t="s">
        <v>33</v>
      </c>
    </row>
    <row r="130" spans="1:27">
      <c r="A130" t="s">
        <v>406</v>
      </c>
      <c r="B130">
        <v>149</v>
      </c>
      <c r="C130">
        <v>149</v>
      </c>
      <c r="D130" s="7" t="s">
        <v>407</v>
      </c>
      <c r="E130" s="7">
        <v>45041</v>
      </c>
      <c r="F130" s="7">
        <v>46867</v>
      </c>
      <c r="G130">
        <v>75000000</v>
      </c>
      <c r="H130" t="s">
        <v>408</v>
      </c>
      <c r="I130" t="s">
        <v>409</v>
      </c>
      <c r="J130">
        <v>0</v>
      </c>
      <c r="K130">
        <v>75000000</v>
      </c>
      <c r="L130" s="7">
        <v>46867</v>
      </c>
      <c r="M130" s="9">
        <v>2.5000000000000001E-2</v>
      </c>
      <c r="N130">
        <v>99.601875000000007</v>
      </c>
      <c r="O130">
        <v>4</v>
      </c>
      <c r="P130" s="8">
        <f t="shared" si="1"/>
        <v>2.684412568083247E-2</v>
      </c>
      <c r="Q130" t="str">
        <f t="array" ref="Q130:R130">VLOOKUP(A130,$X$3:$AA$330,{3,4},0)</f>
        <v>Indemnity</v>
      </c>
      <c r="R130" t="str">
        <v>Annual Aggregate</v>
      </c>
      <c r="X130" t="s">
        <v>337</v>
      </c>
      <c r="Y130">
        <v>120</v>
      </c>
      <c r="Z130" t="s">
        <v>26</v>
      </c>
      <c r="AA130" t="s">
        <v>33</v>
      </c>
    </row>
    <row r="131" spans="1:27">
      <c r="A131" t="s">
        <v>410</v>
      </c>
      <c r="B131">
        <v>150</v>
      </c>
      <c r="C131">
        <v>150</v>
      </c>
      <c r="D131" s="7" t="s">
        <v>411</v>
      </c>
      <c r="E131" s="7">
        <v>45041</v>
      </c>
      <c r="F131" s="7">
        <v>46867</v>
      </c>
      <c r="G131">
        <v>150000000</v>
      </c>
      <c r="H131" t="s">
        <v>408</v>
      </c>
      <c r="I131" t="s">
        <v>409</v>
      </c>
      <c r="J131">
        <v>0</v>
      </c>
      <c r="K131">
        <v>150000000</v>
      </c>
      <c r="L131" s="7">
        <v>46867</v>
      </c>
      <c r="M131" s="9">
        <v>0.04</v>
      </c>
      <c r="N131">
        <v>98.938749999999999</v>
      </c>
      <c r="O131">
        <v>4</v>
      </c>
      <c r="P131" s="8">
        <f t="shared" ref="P131:P194" si="2">YIELD($O$1,L131,M131,N131,$P$1,O131)</f>
        <v>4.5025505031463686E-2</v>
      </c>
      <c r="Q131" t="str">
        <f t="array" ref="Q131:R131">VLOOKUP(A131,$X$3:$AA$330,{3,4},0)</f>
        <v>Indemnity</v>
      </c>
      <c r="R131" t="str">
        <v>Annual Aggregate</v>
      </c>
      <c r="X131" t="s">
        <v>341</v>
      </c>
      <c r="Y131">
        <v>121</v>
      </c>
      <c r="Z131" t="s">
        <v>26</v>
      </c>
      <c r="AA131" t="s">
        <v>412</v>
      </c>
    </row>
    <row r="132" spans="1:27">
      <c r="A132" t="s">
        <v>413</v>
      </c>
      <c r="B132">
        <v>151</v>
      </c>
      <c r="C132">
        <v>151</v>
      </c>
      <c r="D132" s="7" t="s">
        <v>414</v>
      </c>
      <c r="E132" s="7">
        <v>45771</v>
      </c>
      <c r="F132" s="7">
        <v>46843</v>
      </c>
      <c r="G132">
        <v>150000000</v>
      </c>
      <c r="H132" t="s">
        <v>415</v>
      </c>
      <c r="I132" t="s">
        <v>409</v>
      </c>
      <c r="J132">
        <v>0</v>
      </c>
      <c r="K132">
        <v>150000000</v>
      </c>
      <c r="L132" s="7">
        <v>46843</v>
      </c>
      <c r="M132" s="9">
        <v>2.35E-2</v>
      </c>
      <c r="N132">
        <v>98.933278000000001</v>
      </c>
      <c r="O132">
        <v>4</v>
      </c>
      <c r="P132" s="8">
        <f t="shared" si="2"/>
        <v>2.8592759520935249E-2</v>
      </c>
      <c r="Q132" t="str">
        <f t="array" ref="Q132:R132">VLOOKUP(A132,$X$3:$AA$330,{3,4},0)</f>
        <v>Indemnity</v>
      </c>
      <c r="R132" t="str">
        <v>Term Aggregate (Three-Year)</v>
      </c>
      <c r="X132" t="s">
        <v>416</v>
      </c>
      <c r="Y132">
        <v>122</v>
      </c>
      <c r="Z132" t="s">
        <v>32</v>
      </c>
      <c r="AA132" t="s">
        <v>33</v>
      </c>
    </row>
    <row r="133" spans="1:27">
      <c r="A133" t="s">
        <v>417</v>
      </c>
      <c r="B133">
        <v>152</v>
      </c>
      <c r="C133">
        <v>152</v>
      </c>
      <c r="D133" s="7" t="s">
        <v>418</v>
      </c>
      <c r="E133" s="7">
        <v>45764</v>
      </c>
      <c r="F133" s="7">
        <v>46858</v>
      </c>
      <c r="G133">
        <v>100000000</v>
      </c>
      <c r="H133" t="s">
        <v>415</v>
      </c>
      <c r="I133" t="s">
        <v>409</v>
      </c>
      <c r="J133">
        <v>0</v>
      </c>
      <c r="K133">
        <v>100000000</v>
      </c>
      <c r="L133" s="7">
        <v>46858</v>
      </c>
      <c r="M133" s="9">
        <v>2.1000000000000001E-2</v>
      </c>
      <c r="N133">
        <v>98.908541999999997</v>
      </c>
      <c r="O133">
        <v>4</v>
      </c>
      <c r="P133" s="8">
        <f t="shared" si="2"/>
        <v>2.6107479573747566E-2</v>
      </c>
      <c r="Q133" t="str">
        <f t="array" ref="Q133:R133">VLOOKUP(A133,$X$3:$AA$330,{3,4},0)</f>
        <v>Indemnity</v>
      </c>
      <c r="R133" t="str">
        <v>Term Aggregate (Three-Year)</v>
      </c>
      <c r="X133" t="s">
        <v>345</v>
      </c>
      <c r="Y133">
        <v>123</v>
      </c>
      <c r="Z133" t="s">
        <v>32</v>
      </c>
      <c r="AA133" t="s">
        <v>27</v>
      </c>
    </row>
    <row r="134" spans="1:27">
      <c r="A134" t="s">
        <v>419</v>
      </c>
      <c r="B134">
        <v>153</v>
      </c>
      <c r="C134">
        <v>153</v>
      </c>
      <c r="D134" s="7" t="s">
        <v>420</v>
      </c>
      <c r="E134" s="7">
        <v>45200</v>
      </c>
      <c r="F134" s="7">
        <v>46295</v>
      </c>
      <c r="G134">
        <v>550000000</v>
      </c>
      <c r="H134" t="s">
        <v>415</v>
      </c>
      <c r="I134" t="s">
        <v>409</v>
      </c>
      <c r="J134">
        <v>0</v>
      </c>
      <c r="K134">
        <v>550000000</v>
      </c>
      <c r="L134" s="7">
        <v>46295</v>
      </c>
      <c r="M134" s="9">
        <v>2.0500000000000001E-2</v>
      </c>
      <c r="N134">
        <v>98.920277999999996</v>
      </c>
      <c r="O134">
        <v>4</v>
      </c>
      <c r="P134" s="8">
        <f t="shared" si="2"/>
        <v>3.6962923888766062E-2</v>
      </c>
      <c r="Q134" t="str">
        <f t="array" ref="Q134:R134">VLOOKUP(A134,$X$3:$AA$330,{3,4},0)</f>
        <v>Indemnity</v>
      </c>
      <c r="R134" t="str">
        <v>Term Aggregate (Three-Year)</v>
      </c>
      <c r="X134" t="s">
        <v>349</v>
      </c>
      <c r="Y134">
        <v>124</v>
      </c>
      <c r="Z134" t="s">
        <v>153</v>
      </c>
      <c r="AA134" t="s">
        <v>153</v>
      </c>
    </row>
    <row r="135" spans="1:27">
      <c r="A135" t="s">
        <v>421</v>
      </c>
      <c r="B135">
        <v>154</v>
      </c>
      <c r="C135">
        <v>154</v>
      </c>
      <c r="D135" s="7" t="s">
        <v>422</v>
      </c>
      <c r="E135" s="7">
        <v>45200</v>
      </c>
      <c r="F135" s="7">
        <v>46295</v>
      </c>
      <c r="G135">
        <v>225000000</v>
      </c>
      <c r="H135" t="s">
        <v>415</v>
      </c>
      <c r="I135" t="s">
        <v>409</v>
      </c>
      <c r="J135">
        <v>0</v>
      </c>
      <c r="K135">
        <v>225000000</v>
      </c>
      <c r="L135" s="7">
        <v>46295</v>
      </c>
      <c r="M135" s="9">
        <v>2.75E-2</v>
      </c>
      <c r="N135">
        <v>100</v>
      </c>
      <c r="O135">
        <v>4</v>
      </c>
      <c r="P135" s="8">
        <f t="shared" si="2"/>
        <v>2.7492055532327624E-2</v>
      </c>
      <c r="Q135" t="str">
        <f t="array" ref="Q135:R135">VLOOKUP(A135,$X$3:$AA$330,{3,4},0)</f>
        <v>Indemnity</v>
      </c>
      <c r="R135" t="str">
        <v>Term Aggregate (Three-Year)</v>
      </c>
      <c r="X135" t="s">
        <v>423</v>
      </c>
      <c r="Y135">
        <v>125</v>
      </c>
      <c r="Z135" t="s">
        <v>153</v>
      </c>
      <c r="AA135" t="s">
        <v>153</v>
      </c>
    </row>
    <row r="136" spans="1:27">
      <c r="A136" t="s">
        <v>424</v>
      </c>
      <c r="B136">
        <v>155</v>
      </c>
      <c r="C136">
        <v>155</v>
      </c>
      <c r="D136" s="7" t="s">
        <v>425</v>
      </c>
      <c r="E136" s="7">
        <v>45444</v>
      </c>
      <c r="F136" s="7">
        <v>46538</v>
      </c>
      <c r="G136">
        <v>175000000</v>
      </c>
      <c r="H136" t="s">
        <v>426</v>
      </c>
      <c r="I136" t="s">
        <v>81</v>
      </c>
      <c r="K136">
        <v>300000000</v>
      </c>
      <c r="L136" s="7">
        <v>46538</v>
      </c>
      <c r="M136" s="9">
        <v>0.1222</v>
      </c>
      <c r="N136">
        <v>98.930750000000003</v>
      </c>
      <c r="O136">
        <v>4</v>
      </c>
      <c r="P136" s="8">
        <f t="shared" si="2"/>
        <v>0.13097936914888827</v>
      </c>
      <c r="Q136" t="str">
        <f t="array" ref="Q136:R136">VLOOKUP(A136,$X$3:$AA$330,{3,4},0)</f>
        <v>Industry Loss</v>
      </c>
      <c r="R136" t="str">
        <v>Annual Aggregate</v>
      </c>
      <c r="X136" t="s">
        <v>352</v>
      </c>
      <c r="Y136">
        <v>126</v>
      </c>
      <c r="Z136" t="s">
        <v>32</v>
      </c>
      <c r="AA136" t="s">
        <v>33</v>
      </c>
    </row>
    <row r="137" spans="1:27">
      <c r="A137" t="s">
        <v>427</v>
      </c>
      <c r="B137">
        <v>158</v>
      </c>
      <c r="C137">
        <v>158</v>
      </c>
      <c r="D137" s="7" t="s">
        <v>428</v>
      </c>
      <c r="E137" s="7">
        <v>45292</v>
      </c>
      <c r="F137" s="7">
        <v>46752</v>
      </c>
      <c r="G137">
        <v>120000000</v>
      </c>
      <c r="H137" t="s">
        <v>429</v>
      </c>
      <c r="I137" t="s">
        <v>430</v>
      </c>
      <c r="J137">
        <v>0</v>
      </c>
      <c r="K137">
        <v>382000000</v>
      </c>
      <c r="L137" s="7">
        <v>46752</v>
      </c>
      <c r="M137" s="9">
        <v>8.4279999999999994E-2</v>
      </c>
      <c r="N137">
        <v>99.905332999999999</v>
      </c>
      <c r="O137">
        <v>4</v>
      </c>
      <c r="P137" s="8">
        <f t="shared" si="2"/>
        <v>8.4792344700726954E-2</v>
      </c>
      <c r="Q137" t="str">
        <f t="array" ref="Q137:R137">VLOOKUP(A137,$X$3:$AA$330,{3,4},0)</f>
        <v>Indemnity</v>
      </c>
      <c r="R137" t="str">
        <v>Per Occurrence</v>
      </c>
      <c r="X137" t="s">
        <v>354</v>
      </c>
      <c r="Y137">
        <v>127</v>
      </c>
      <c r="Z137" t="s">
        <v>32</v>
      </c>
      <c r="AA137" t="s">
        <v>33</v>
      </c>
    </row>
    <row r="138" spans="1:27">
      <c r="A138" t="s">
        <v>431</v>
      </c>
      <c r="B138">
        <v>160</v>
      </c>
      <c r="C138">
        <v>160</v>
      </c>
      <c r="D138" s="7" t="s">
        <v>432</v>
      </c>
      <c r="E138" s="7">
        <v>45809</v>
      </c>
      <c r="F138" s="7">
        <v>46904</v>
      </c>
      <c r="G138">
        <v>250000000</v>
      </c>
      <c r="H138" t="s">
        <v>433</v>
      </c>
      <c r="I138" t="s">
        <v>434</v>
      </c>
      <c r="K138">
        <v>1427000000</v>
      </c>
      <c r="L138" s="7">
        <v>46904</v>
      </c>
      <c r="M138" s="9">
        <v>5.7500000000000002E-2</v>
      </c>
      <c r="N138">
        <v>99.014583000000002</v>
      </c>
      <c r="O138">
        <v>4</v>
      </c>
      <c r="P138" s="8">
        <f t="shared" si="2"/>
        <v>6.2057563886155138E-2</v>
      </c>
      <c r="Q138" t="str">
        <f t="array" ref="Q138:R138">VLOOKUP(A138,$X$3:$AA$330,{3,4},0)</f>
        <v>Indemnity</v>
      </c>
      <c r="R138" t="str">
        <v>Annual Aggregate</v>
      </c>
      <c r="X138" t="s">
        <v>356</v>
      </c>
      <c r="Y138">
        <v>128</v>
      </c>
      <c r="Z138" t="s">
        <v>32</v>
      </c>
      <c r="AA138" t="s">
        <v>33</v>
      </c>
    </row>
    <row r="139" spans="1:27">
      <c r="A139" t="s">
        <v>435</v>
      </c>
      <c r="B139">
        <v>161</v>
      </c>
      <c r="C139">
        <v>161</v>
      </c>
      <c r="D139" s="7" t="s">
        <v>436</v>
      </c>
      <c r="E139" s="7">
        <v>45809</v>
      </c>
      <c r="F139" s="7">
        <v>46904</v>
      </c>
      <c r="G139">
        <v>200000000</v>
      </c>
      <c r="H139" t="s">
        <v>433</v>
      </c>
      <c r="I139" t="s">
        <v>434</v>
      </c>
      <c r="K139">
        <v>800000000</v>
      </c>
      <c r="L139" s="7">
        <v>46904</v>
      </c>
      <c r="M139" s="9">
        <v>8.5000000000000006E-2</v>
      </c>
      <c r="N139">
        <v>99.646944000000005</v>
      </c>
      <c r="O139">
        <v>4</v>
      </c>
      <c r="P139" s="8">
        <f t="shared" si="2"/>
        <v>8.6663293918059062E-2</v>
      </c>
      <c r="Q139" t="str">
        <f t="array" ref="Q139:R139">VLOOKUP(A139,$X$3:$AA$330,{3,4},0)</f>
        <v>Indemnity</v>
      </c>
      <c r="R139" t="str">
        <v>Annual Aggregate</v>
      </c>
      <c r="X139" t="s">
        <v>358</v>
      </c>
      <c r="Y139">
        <v>129</v>
      </c>
      <c r="Z139" t="s">
        <v>32</v>
      </c>
      <c r="AA139" t="s">
        <v>27</v>
      </c>
    </row>
    <row r="140" spans="1:27">
      <c r="A140" t="s">
        <v>437</v>
      </c>
      <c r="B140">
        <v>162</v>
      </c>
      <c r="C140">
        <v>162</v>
      </c>
      <c r="D140" s="7" t="s">
        <v>438</v>
      </c>
      <c r="E140" s="7">
        <v>45809</v>
      </c>
      <c r="F140" s="7">
        <v>46904</v>
      </c>
      <c r="G140">
        <v>100000000</v>
      </c>
      <c r="H140" t="s">
        <v>433</v>
      </c>
      <c r="I140" t="s">
        <v>434</v>
      </c>
      <c r="K140">
        <v>1000000000</v>
      </c>
      <c r="L140" s="7">
        <v>46904</v>
      </c>
      <c r="M140" s="9">
        <v>0.11749999999999999</v>
      </c>
      <c r="N140">
        <v>99.648235999999997</v>
      </c>
      <c r="O140">
        <v>4</v>
      </c>
      <c r="P140" s="8">
        <f t="shared" si="2"/>
        <v>0.11920139656885841</v>
      </c>
      <c r="Q140" t="str">
        <f t="array" ref="Q140:R140">VLOOKUP(A140,$X$3:$AA$330,{3,4},0)</f>
        <v>Indemnity</v>
      </c>
      <c r="R140" t="str">
        <v>Annual Aggregate</v>
      </c>
      <c r="X140" t="s">
        <v>362</v>
      </c>
      <c r="Y140">
        <v>130</v>
      </c>
      <c r="Z140" t="s">
        <v>242</v>
      </c>
      <c r="AA140" t="s">
        <v>33</v>
      </c>
    </row>
    <row r="141" spans="1:27">
      <c r="A141" t="s">
        <v>439</v>
      </c>
      <c r="B141">
        <v>163</v>
      </c>
      <c r="C141">
        <v>163</v>
      </c>
      <c r="D141" s="7" t="s">
        <v>440</v>
      </c>
      <c r="E141" s="7">
        <v>45839</v>
      </c>
      <c r="F141" s="7">
        <v>46538</v>
      </c>
      <c r="G141">
        <v>200000000</v>
      </c>
      <c r="H141" t="s">
        <v>433</v>
      </c>
      <c r="I141" t="s">
        <v>441</v>
      </c>
      <c r="K141">
        <v>320000000</v>
      </c>
      <c r="L141" s="7">
        <v>46538</v>
      </c>
      <c r="M141" s="9">
        <v>0.12</v>
      </c>
      <c r="N141">
        <v>99.570389000000006</v>
      </c>
      <c r="O141">
        <v>4</v>
      </c>
      <c r="P141" s="8">
        <f t="shared" si="2"/>
        <v>0.12346019120861101</v>
      </c>
      <c r="Q141" t="str">
        <f t="array" ref="Q141:R141">VLOOKUP(A141,$X$3:$AA$330,{3,4},0)</f>
        <v>Indemnity</v>
      </c>
      <c r="R141" t="str">
        <v>Per Occurrence</v>
      </c>
      <c r="X141" t="s">
        <v>366</v>
      </c>
      <c r="Y141">
        <v>131</v>
      </c>
      <c r="Z141" t="s">
        <v>26</v>
      </c>
      <c r="AA141" t="s">
        <v>33</v>
      </c>
    </row>
    <row r="142" spans="1:27">
      <c r="A142" t="s">
        <v>442</v>
      </c>
      <c r="B142">
        <v>164</v>
      </c>
      <c r="C142">
        <v>164</v>
      </c>
      <c r="D142" s="7" t="s">
        <v>443</v>
      </c>
      <c r="E142" s="7">
        <v>45809</v>
      </c>
      <c r="F142" s="7">
        <v>46817</v>
      </c>
      <c r="G142">
        <v>200000000</v>
      </c>
      <c r="H142" t="s">
        <v>444</v>
      </c>
      <c r="I142" t="s">
        <v>53</v>
      </c>
      <c r="J142">
        <v>0</v>
      </c>
      <c r="K142">
        <v>200000000</v>
      </c>
      <c r="L142" s="7">
        <v>46817</v>
      </c>
      <c r="M142" s="9">
        <v>6.7500000000000004E-2</v>
      </c>
      <c r="N142">
        <v>99.498889000000005</v>
      </c>
      <c r="O142">
        <v>4</v>
      </c>
      <c r="P142" s="8">
        <f t="shared" si="2"/>
        <v>7.0075465360292258E-2</v>
      </c>
      <c r="Q142" t="str">
        <f t="array" ref="Q142:R142">VLOOKUP(A142,$X$3:$AA$330,{3,4},0)</f>
        <v>Indemnity</v>
      </c>
      <c r="R142" t="str">
        <v>Per Occurrence</v>
      </c>
      <c r="X142" t="s">
        <v>370</v>
      </c>
      <c r="Y142">
        <v>132</v>
      </c>
      <c r="Z142" t="s">
        <v>32</v>
      </c>
      <c r="AA142" t="s">
        <v>33</v>
      </c>
    </row>
    <row r="143" spans="1:27">
      <c r="A143" t="s">
        <v>445</v>
      </c>
      <c r="B143">
        <v>165</v>
      </c>
      <c r="C143">
        <v>165</v>
      </c>
      <c r="D143" s="7" t="s">
        <v>446</v>
      </c>
      <c r="E143" s="7">
        <v>45809</v>
      </c>
      <c r="F143" s="7">
        <v>46817</v>
      </c>
      <c r="G143">
        <v>100000000</v>
      </c>
      <c r="H143" t="s">
        <v>444</v>
      </c>
      <c r="I143" t="s">
        <v>53</v>
      </c>
      <c r="J143">
        <v>0</v>
      </c>
      <c r="K143">
        <v>200000000</v>
      </c>
      <c r="L143" s="7">
        <v>46817</v>
      </c>
      <c r="M143" s="9">
        <v>8.2500000000000004E-2</v>
      </c>
      <c r="N143">
        <v>99.518638999999993</v>
      </c>
      <c r="O143">
        <v>4</v>
      </c>
      <c r="P143" s="8">
        <f t="shared" si="2"/>
        <v>8.5006359585920788E-2</v>
      </c>
      <c r="Q143" t="str">
        <f t="array" ref="Q143:R143">VLOOKUP(A143,$X$3:$AA$330,{3,4},0)</f>
        <v>Indemnity</v>
      </c>
      <c r="R143" t="str">
        <v>Per Occurrence</v>
      </c>
      <c r="X143" t="s">
        <v>447</v>
      </c>
      <c r="Y143">
        <v>133</v>
      </c>
      <c r="Z143" t="s">
        <v>32</v>
      </c>
      <c r="AA143" t="s">
        <v>33</v>
      </c>
    </row>
    <row r="144" spans="1:27">
      <c r="A144" t="s">
        <v>448</v>
      </c>
      <c r="B144">
        <v>166</v>
      </c>
      <c r="C144">
        <v>166</v>
      </c>
      <c r="D144" s="7" t="s">
        <v>449</v>
      </c>
      <c r="E144" s="7">
        <v>45078</v>
      </c>
      <c r="F144" s="7">
        <v>46110</v>
      </c>
      <c r="G144">
        <v>100000000</v>
      </c>
      <c r="H144" t="s">
        <v>444</v>
      </c>
      <c r="I144" t="s">
        <v>53</v>
      </c>
      <c r="K144">
        <v>200000000</v>
      </c>
      <c r="L144" s="7">
        <v>46110</v>
      </c>
      <c r="M144" s="9">
        <v>0.1075</v>
      </c>
      <c r="N144">
        <v>99.529832999999996</v>
      </c>
      <c r="O144">
        <v>4</v>
      </c>
      <c r="P144" s="8">
        <f t="shared" si="2"/>
        <v>0.13371707465669097</v>
      </c>
      <c r="Q144" t="str">
        <f t="array" ref="Q144:R144">VLOOKUP(A144,$X$3:$AA$330,{3,4},0)</f>
        <v>Indemnity</v>
      </c>
      <c r="R144" t="str">
        <v>Per Occurrence</v>
      </c>
      <c r="X144" t="s">
        <v>450</v>
      </c>
      <c r="Y144">
        <v>134</v>
      </c>
      <c r="Z144" t="s">
        <v>32</v>
      </c>
      <c r="AA144" t="s">
        <v>33</v>
      </c>
    </row>
    <row r="145" spans="1:27">
      <c r="A145" t="s">
        <v>451</v>
      </c>
      <c r="B145">
        <v>167</v>
      </c>
      <c r="C145">
        <v>167</v>
      </c>
      <c r="D145" s="7" t="s">
        <v>452</v>
      </c>
      <c r="E145" s="7">
        <v>45836</v>
      </c>
      <c r="F145" s="7">
        <v>46931</v>
      </c>
      <c r="G145">
        <v>150000000</v>
      </c>
      <c r="H145" t="s">
        <v>453</v>
      </c>
      <c r="I145" t="s">
        <v>81</v>
      </c>
      <c r="K145">
        <v>20000000000</v>
      </c>
      <c r="L145" s="7">
        <v>46931</v>
      </c>
      <c r="M145" s="9">
        <v>8.5000000000000006E-2</v>
      </c>
      <c r="N145">
        <v>99.577250000000006</v>
      </c>
      <c r="O145">
        <v>4</v>
      </c>
      <c r="P145" s="8">
        <f t="shared" si="2"/>
        <v>8.6941566731794387E-2</v>
      </c>
      <c r="Q145" t="str">
        <f t="array" ref="Q145:R145">VLOOKUP(A145,$X$3:$AA$330,{3,4},0)</f>
        <v>Industry Loss</v>
      </c>
      <c r="R145" t="str">
        <v>Annual Aggregate</v>
      </c>
      <c r="X145" t="s">
        <v>375</v>
      </c>
      <c r="Y145">
        <v>135</v>
      </c>
      <c r="Z145" t="s">
        <v>32</v>
      </c>
      <c r="AA145" t="s">
        <v>33</v>
      </c>
    </row>
    <row r="146" spans="1:27">
      <c r="A146" t="s">
        <v>454</v>
      </c>
      <c r="B146">
        <v>169</v>
      </c>
      <c r="C146">
        <v>169</v>
      </c>
      <c r="D146" s="7" t="s">
        <v>455</v>
      </c>
      <c r="E146" s="7">
        <v>45809</v>
      </c>
      <c r="F146" s="7">
        <v>46538</v>
      </c>
      <c r="G146">
        <v>50000000</v>
      </c>
      <c r="H146" t="s">
        <v>456</v>
      </c>
      <c r="I146" t="s">
        <v>457</v>
      </c>
      <c r="J146">
        <v>0</v>
      </c>
      <c r="K146">
        <v>268800000</v>
      </c>
      <c r="L146" s="7">
        <v>46538</v>
      </c>
      <c r="M146" s="9">
        <v>0.08</v>
      </c>
      <c r="N146">
        <v>99.775000000000006</v>
      </c>
      <c r="O146">
        <v>4</v>
      </c>
      <c r="P146" s="8">
        <f t="shared" si="2"/>
        <v>8.1762346248095308E-2</v>
      </c>
      <c r="Q146" t="str">
        <f t="array" ref="Q146:R146">VLOOKUP(A146,$X$3:$AA$330,{3,4},0)</f>
        <v>Indemnity</v>
      </c>
      <c r="R146" t="str">
        <v>Per Occurrence</v>
      </c>
      <c r="X146" t="s">
        <v>377</v>
      </c>
      <c r="Y146">
        <v>136</v>
      </c>
      <c r="Z146" t="s">
        <v>32</v>
      </c>
      <c r="AA146" t="s">
        <v>33</v>
      </c>
    </row>
    <row r="147" spans="1:27">
      <c r="A147" t="s">
        <v>458</v>
      </c>
      <c r="B147">
        <v>170</v>
      </c>
      <c r="C147">
        <v>170</v>
      </c>
      <c r="D147" s="7" t="s">
        <v>459</v>
      </c>
      <c r="E147" s="7">
        <v>45809</v>
      </c>
      <c r="F147" s="7">
        <v>46538</v>
      </c>
      <c r="G147">
        <v>50000000</v>
      </c>
      <c r="H147" t="s">
        <v>456</v>
      </c>
      <c r="I147" t="s">
        <v>457</v>
      </c>
      <c r="J147">
        <v>0</v>
      </c>
      <c r="K147">
        <v>290100000</v>
      </c>
      <c r="L147" s="7">
        <v>46538</v>
      </c>
      <c r="M147" s="9">
        <v>9.7500000000000003E-2</v>
      </c>
      <c r="N147">
        <v>99.820667</v>
      </c>
      <c r="O147">
        <v>4</v>
      </c>
      <c r="P147" s="8">
        <f t="shared" si="2"/>
        <v>9.8898524669566598E-2</v>
      </c>
      <c r="Q147" t="str">
        <f t="array" ref="Q147:R147">VLOOKUP(A147,$X$3:$AA$330,{3,4},0)</f>
        <v>Indemnity</v>
      </c>
      <c r="R147" t="str">
        <v>Per Occurrence</v>
      </c>
      <c r="X147" t="s">
        <v>379</v>
      </c>
      <c r="Y147">
        <v>137</v>
      </c>
      <c r="Z147" t="s">
        <v>32</v>
      </c>
      <c r="AA147" t="s">
        <v>33</v>
      </c>
    </row>
    <row r="148" spans="1:27">
      <c r="A148" t="s">
        <v>460</v>
      </c>
      <c r="B148">
        <v>171</v>
      </c>
      <c r="C148">
        <v>171</v>
      </c>
      <c r="D148" s="7" t="s">
        <v>461</v>
      </c>
      <c r="E148" s="7">
        <v>45809</v>
      </c>
      <c r="F148" s="7">
        <v>46904</v>
      </c>
      <c r="G148">
        <v>165000000</v>
      </c>
      <c r="H148" t="s">
        <v>456</v>
      </c>
      <c r="I148" t="s">
        <v>457</v>
      </c>
      <c r="J148">
        <v>0</v>
      </c>
      <c r="K148">
        <v>285300000</v>
      </c>
      <c r="L148" s="7">
        <v>46904</v>
      </c>
      <c r="M148" s="9">
        <v>0.1225</v>
      </c>
      <c r="N148">
        <v>99.084083000000007</v>
      </c>
      <c r="O148">
        <v>4</v>
      </c>
      <c r="P148" s="8">
        <f t="shared" si="2"/>
        <v>0.12704394001897321</v>
      </c>
      <c r="Q148" t="str">
        <f t="array" ref="Q148:R148">VLOOKUP(A148,$X$3:$AA$330,{3,4},0)</f>
        <v>Indemnity</v>
      </c>
      <c r="R148" t="str">
        <v>Per Occurrence</v>
      </c>
      <c r="X148" t="s">
        <v>381</v>
      </c>
      <c r="Y148">
        <v>138</v>
      </c>
      <c r="Z148" t="s">
        <v>32</v>
      </c>
      <c r="AA148" t="s">
        <v>33</v>
      </c>
    </row>
    <row r="149" spans="1:27">
      <c r="A149" t="s">
        <v>462</v>
      </c>
      <c r="B149">
        <v>172</v>
      </c>
      <c r="C149">
        <v>172</v>
      </c>
      <c r="D149" s="7" t="s">
        <v>463</v>
      </c>
      <c r="E149" s="7">
        <v>45809</v>
      </c>
      <c r="F149" s="7">
        <v>46538</v>
      </c>
      <c r="G149">
        <v>100000000</v>
      </c>
      <c r="H149" t="s">
        <v>456</v>
      </c>
      <c r="I149" t="s">
        <v>464</v>
      </c>
      <c r="J149">
        <v>0</v>
      </c>
      <c r="K149">
        <v>163900000</v>
      </c>
      <c r="L149" s="7">
        <v>46538</v>
      </c>
      <c r="M149" s="9">
        <v>0.255</v>
      </c>
      <c r="N149">
        <v>99.747</v>
      </c>
      <c r="O149">
        <v>4</v>
      </c>
      <c r="P149" s="8">
        <f t="shared" si="2"/>
        <v>0.25689841197107205</v>
      </c>
      <c r="Q149" t="str">
        <f t="array" ref="Q149:R149">VLOOKUP(A149,$X$3:$AA$330,{3,4},0)</f>
        <v>Indemnity</v>
      </c>
      <c r="R149" t="str">
        <v>Per Occurrence</v>
      </c>
      <c r="X149" t="s">
        <v>384</v>
      </c>
      <c r="Y149">
        <v>139</v>
      </c>
      <c r="Z149" t="s">
        <v>32</v>
      </c>
      <c r="AA149" t="s">
        <v>33</v>
      </c>
    </row>
    <row r="150" spans="1:27">
      <c r="A150" t="s">
        <v>465</v>
      </c>
      <c r="B150">
        <v>173</v>
      </c>
      <c r="C150">
        <v>173</v>
      </c>
      <c r="D150" s="7" t="s">
        <v>466</v>
      </c>
      <c r="E150" s="7">
        <v>45809</v>
      </c>
      <c r="F150" s="7">
        <v>46904</v>
      </c>
      <c r="G150">
        <v>100000000</v>
      </c>
      <c r="H150" t="s">
        <v>456</v>
      </c>
      <c r="I150" t="s">
        <v>457</v>
      </c>
      <c r="J150">
        <v>0</v>
      </c>
      <c r="K150">
        <v>268800000</v>
      </c>
      <c r="L150" s="7">
        <v>46904</v>
      </c>
      <c r="M150" s="9">
        <v>0.08</v>
      </c>
      <c r="N150">
        <v>99.188056000000003</v>
      </c>
      <c r="O150">
        <v>4</v>
      </c>
      <c r="P150" s="8">
        <f t="shared" si="2"/>
        <v>8.3845487448302003E-2</v>
      </c>
      <c r="Q150" t="str">
        <f t="array" ref="Q150:R150">VLOOKUP(A150,$X$3:$AA$330,{3,4},0)</f>
        <v>Indemnity</v>
      </c>
      <c r="R150" t="str">
        <v>Per Occurrence</v>
      </c>
      <c r="X150" t="s">
        <v>386</v>
      </c>
      <c r="Y150">
        <v>140</v>
      </c>
      <c r="Z150" t="s">
        <v>32</v>
      </c>
      <c r="AA150" t="s">
        <v>33</v>
      </c>
    </row>
    <row r="151" spans="1:27">
      <c r="A151" t="s">
        <v>467</v>
      </c>
      <c r="B151">
        <v>174</v>
      </c>
      <c r="C151">
        <v>174</v>
      </c>
      <c r="D151" s="7" t="s">
        <v>468</v>
      </c>
      <c r="E151" s="7">
        <v>45809</v>
      </c>
      <c r="F151" s="7">
        <v>46904</v>
      </c>
      <c r="G151">
        <v>100000000</v>
      </c>
      <c r="H151" t="s">
        <v>456</v>
      </c>
      <c r="I151" t="s">
        <v>457</v>
      </c>
      <c r="J151">
        <v>0</v>
      </c>
      <c r="K151">
        <v>290100000</v>
      </c>
      <c r="L151" s="7">
        <v>46904</v>
      </c>
      <c r="M151" s="9">
        <v>9.7500000000000003E-2</v>
      </c>
      <c r="N151">
        <v>100</v>
      </c>
      <c r="O151">
        <v>4</v>
      </c>
      <c r="P151" s="8">
        <f t="shared" si="2"/>
        <v>9.7468378350318907E-2</v>
      </c>
      <c r="Q151" t="str">
        <f t="array" ref="Q151:R151">VLOOKUP(A151,$X$3:$AA$330,{3,4},0)</f>
        <v>Indemnity</v>
      </c>
      <c r="R151" t="str">
        <v>Per Occurrence</v>
      </c>
      <c r="X151" t="s">
        <v>388</v>
      </c>
      <c r="Y151">
        <v>141</v>
      </c>
      <c r="Z151" t="s">
        <v>32</v>
      </c>
      <c r="AA151" t="s">
        <v>27</v>
      </c>
    </row>
    <row r="152" spans="1:27">
      <c r="A152" t="s">
        <v>469</v>
      </c>
      <c r="B152">
        <v>175</v>
      </c>
      <c r="C152">
        <v>175</v>
      </c>
      <c r="D152" s="7" t="s">
        <v>470</v>
      </c>
      <c r="E152" s="7">
        <v>45444</v>
      </c>
      <c r="F152" s="7">
        <v>46173</v>
      </c>
      <c r="G152">
        <v>120000000</v>
      </c>
      <c r="H152" t="s">
        <v>471</v>
      </c>
      <c r="I152" t="s">
        <v>464</v>
      </c>
      <c r="J152">
        <v>60000000</v>
      </c>
      <c r="K152">
        <v>120000000</v>
      </c>
      <c r="L152" s="7">
        <v>46173</v>
      </c>
      <c r="M152" s="9">
        <v>0.10553999999999999</v>
      </c>
      <c r="N152">
        <v>99.893056000000001</v>
      </c>
      <c r="O152">
        <v>4</v>
      </c>
      <c r="P152" s="8">
        <f t="shared" si="2"/>
        <v>0.10860665330724277</v>
      </c>
      <c r="Q152" t="str">
        <f t="array" ref="Q152:R152">VLOOKUP(A152,$X$3:$AA$330,{3,4},0)</f>
        <v>Indemnity</v>
      </c>
      <c r="R152" t="str">
        <v>Annual Aggregate</v>
      </c>
      <c r="X152" t="s">
        <v>472</v>
      </c>
      <c r="Y152">
        <v>142</v>
      </c>
      <c r="Z152" t="s">
        <v>32</v>
      </c>
      <c r="AA152" t="s">
        <v>33</v>
      </c>
    </row>
    <row r="153" spans="1:27">
      <c r="A153" t="s">
        <v>473</v>
      </c>
      <c r="B153">
        <v>176</v>
      </c>
      <c r="C153">
        <v>176</v>
      </c>
      <c r="D153" s="7" t="s">
        <v>474</v>
      </c>
      <c r="E153" s="7">
        <v>45444</v>
      </c>
      <c r="F153" s="7">
        <v>46173</v>
      </c>
      <c r="G153">
        <v>50000000</v>
      </c>
      <c r="H153" t="s">
        <v>471</v>
      </c>
      <c r="I153" t="s">
        <v>464</v>
      </c>
      <c r="J153">
        <v>0</v>
      </c>
      <c r="K153">
        <v>110200000</v>
      </c>
      <c r="L153" s="7">
        <v>46173</v>
      </c>
      <c r="M153" s="9">
        <v>0.13322000000000001</v>
      </c>
      <c r="N153">
        <v>99.232485999999994</v>
      </c>
      <c r="O153">
        <v>4</v>
      </c>
      <c r="P153" s="8">
        <f t="shared" si="2"/>
        <v>0.15685352500588448</v>
      </c>
      <c r="Q153" t="str">
        <f t="array" ref="Q153:R153">VLOOKUP(A153,$X$3:$AA$330,{3,4},0)</f>
        <v>Indemnity</v>
      </c>
      <c r="R153" t="str">
        <v>Per Occurrence</v>
      </c>
      <c r="X153" t="s">
        <v>390</v>
      </c>
      <c r="Y153">
        <v>143</v>
      </c>
      <c r="Z153" t="s">
        <v>32</v>
      </c>
      <c r="AA153" t="s">
        <v>33</v>
      </c>
    </row>
    <row r="154" spans="1:27">
      <c r="A154" t="s">
        <v>475</v>
      </c>
      <c r="B154">
        <v>177</v>
      </c>
      <c r="C154">
        <v>177</v>
      </c>
      <c r="D154" s="7" t="s">
        <v>476</v>
      </c>
      <c r="E154" s="7">
        <v>45444</v>
      </c>
      <c r="F154" s="7">
        <v>46173</v>
      </c>
      <c r="G154">
        <v>60000000</v>
      </c>
      <c r="H154" t="s">
        <v>471</v>
      </c>
      <c r="I154" t="s">
        <v>464</v>
      </c>
      <c r="J154">
        <v>0</v>
      </c>
      <c r="K154">
        <v>138700000</v>
      </c>
      <c r="L154" s="7">
        <v>46173</v>
      </c>
      <c r="M154" s="9">
        <v>0.17233999999999999</v>
      </c>
      <c r="N154">
        <v>99.245000000000005</v>
      </c>
      <c r="O154">
        <v>4</v>
      </c>
      <c r="P154" s="8">
        <f t="shared" si="2"/>
        <v>0.19555872693713849</v>
      </c>
      <c r="Q154" t="str">
        <f t="array" ref="Q154:R154">VLOOKUP(A154,$X$3:$AA$330,{3,4},0)</f>
        <v>Indemnity</v>
      </c>
      <c r="R154" t="str">
        <v>Per Occurrence</v>
      </c>
      <c r="X154" t="s">
        <v>394</v>
      </c>
      <c r="Y154">
        <v>144</v>
      </c>
      <c r="Z154" t="s">
        <v>32</v>
      </c>
      <c r="AA154" t="s">
        <v>33</v>
      </c>
    </row>
    <row r="155" spans="1:27">
      <c r="A155" t="s">
        <v>477</v>
      </c>
      <c r="B155">
        <v>178</v>
      </c>
      <c r="C155">
        <v>178</v>
      </c>
      <c r="D155" s="7" t="s">
        <v>478</v>
      </c>
      <c r="E155" s="7">
        <v>45444</v>
      </c>
      <c r="F155" s="7">
        <v>46173</v>
      </c>
      <c r="G155">
        <v>75000000</v>
      </c>
      <c r="H155" t="s">
        <v>471</v>
      </c>
      <c r="I155" t="s">
        <v>464</v>
      </c>
      <c r="J155">
        <v>0</v>
      </c>
      <c r="K155">
        <v>192400000</v>
      </c>
      <c r="L155" s="7">
        <v>46173</v>
      </c>
      <c r="M155" s="9">
        <v>0.22796</v>
      </c>
      <c r="N155">
        <v>99.245000000000005</v>
      </c>
      <c r="O155">
        <v>4</v>
      </c>
      <c r="P155" s="8">
        <f t="shared" si="2"/>
        <v>0.25102864620673926</v>
      </c>
      <c r="Q155" t="str">
        <f t="array" ref="Q155:R155">VLOOKUP(A155,$X$3:$AA$330,{3,4},0)</f>
        <v>Indemnity</v>
      </c>
      <c r="R155" t="str">
        <v>Per Occurrence</v>
      </c>
      <c r="X155" t="s">
        <v>398</v>
      </c>
      <c r="Y155">
        <v>145</v>
      </c>
      <c r="Z155" t="s">
        <v>32</v>
      </c>
      <c r="AA155" t="s">
        <v>33</v>
      </c>
    </row>
    <row r="156" spans="1:27">
      <c r="A156" t="s">
        <v>479</v>
      </c>
      <c r="B156">
        <v>179</v>
      </c>
      <c r="C156">
        <v>179</v>
      </c>
      <c r="D156" s="7" t="s">
        <v>480</v>
      </c>
      <c r="E156" s="7">
        <v>45292</v>
      </c>
      <c r="F156" s="7">
        <v>46387</v>
      </c>
      <c r="G156">
        <v>125000000</v>
      </c>
      <c r="H156" t="s">
        <v>481</v>
      </c>
      <c r="I156" t="s">
        <v>118</v>
      </c>
      <c r="K156">
        <v>200000000</v>
      </c>
      <c r="L156" s="7">
        <v>46387</v>
      </c>
      <c r="M156" s="9">
        <v>7.7499999999999999E-2</v>
      </c>
      <c r="N156">
        <v>101</v>
      </c>
      <c r="O156">
        <v>4</v>
      </c>
      <c r="P156" s="8">
        <f t="shared" si="2"/>
        <v>6.612706734331468E-2</v>
      </c>
      <c r="Q156" t="str">
        <f t="array" ref="Q156:R156">VLOOKUP(A156,$X$3:$AA$330,{3,4},0)</f>
        <v>Industry Loss</v>
      </c>
      <c r="R156" t="str">
        <v>Annual Aggregate</v>
      </c>
      <c r="X156" t="s">
        <v>400</v>
      </c>
      <c r="Y156">
        <v>146</v>
      </c>
      <c r="Z156" t="s">
        <v>32</v>
      </c>
      <c r="AA156" t="s">
        <v>33</v>
      </c>
    </row>
    <row r="157" spans="1:27">
      <c r="A157" t="s">
        <v>482</v>
      </c>
      <c r="B157">
        <v>180</v>
      </c>
      <c r="C157">
        <v>180</v>
      </c>
      <c r="D157" s="7" t="s">
        <v>483</v>
      </c>
      <c r="E157" s="7">
        <v>45709</v>
      </c>
      <c r="F157" s="7">
        <v>47169</v>
      </c>
      <c r="G157">
        <v>150000000</v>
      </c>
      <c r="H157" t="s">
        <v>481</v>
      </c>
      <c r="I157" t="s">
        <v>118</v>
      </c>
      <c r="K157">
        <v>200000000</v>
      </c>
      <c r="L157" s="7">
        <v>47169</v>
      </c>
      <c r="M157" s="9">
        <v>4.4999999999999998E-2</v>
      </c>
      <c r="N157">
        <v>100.2</v>
      </c>
      <c r="O157">
        <v>4</v>
      </c>
      <c r="P157" s="8">
        <f t="shared" si="2"/>
        <v>4.4292318281704636E-2</v>
      </c>
      <c r="Q157" t="str">
        <f t="array" ref="Q157:R157">VLOOKUP(A157,$X$3:$AA$330,{3,4},0)</f>
        <v>Industry Loss</v>
      </c>
      <c r="R157" t="str">
        <v>Annual Aggregate</v>
      </c>
      <c r="X157" t="s">
        <v>402</v>
      </c>
      <c r="Y157">
        <v>147</v>
      </c>
      <c r="Z157" t="s">
        <v>32</v>
      </c>
      <c r="AA157" t="s">
        <v>33</v>
      </c>
    </row>
    <row r="158" spans="1:27">
      <c r="A158" t="s">
        <v>484</v>
      </c>
      <c r="B158">
        <v>181</v>
      </c>
      <c r="C158">
        <v>181</v>
      </c>
      <c r="D158" s="7" t="s">
        <v>485</v>
      </c>
      <c r="E158" s="7">
        <v>45709</v>
      </c>
      <c r="F158" s="7">
        <v>47169</v>
      </c>
      <c r="G158">
        <v>50000000</v>
      </c>
      <c r="H158" t="s">
        <v>481</v>
      </c>
      <c r="I158" t="s">
        <v>118</v>
      </c>
      <c r="J158">
        <v>50000000</v>
      </c>
      <c r="K158">
        <v>50000000</v>
      </c>
      <c r="L158" s="7">
        <v>47169</v>
      </c>
      <c r="M158" s="9">
        <v>6.25E-2</v>
      </c>
      <c r="N158">
        <v>102.85</v>
      </c>
      <c r="O158">
        <v>4</v>
      </c>
      <c r="P158" s="8">
        <f t="shared" si="2"/>
        <v>5.2331817739936941E-2</v>
      </c>
      <c r="Q158" t="str">
        <f t="array" ref="Q158:R158">VLOOKUP(A158,$X$3:$AA$330,{3,4},0)</f>
        <v>Industry Loss</v>
      </c>
      <c r="R158" t="str">
        <v>Per Occurrence</v>
      </c>
      <c r="X158" t="s">
        <v>404</v>
      </c>
      <c r="Y158">
        <v>148</v>
      </c>
      <c r="Z158" t="s">
        <v>32</v>
      </c>
      <c r="AA158" t="s">
        <v>33</v>
      </c>
    </row>
    <row r="159" spans="1:27">
      <c r="A159" t="s">
        <v>486</v>
      </c>
      <c r="B159">
        <v>182</v>
      </c>
      <c r="C159">
        <v>182</v>
      </c>
      <c r="D159" s="7" t="s">
        <v>487</v>
      </c>
      <c r="E159" s="7">
        <v>45408</v>
      </c>
      <c r="F159" s="7">
        <v>46502</v>
      </c>
      <c r="G159">
        <v>200000000</v>
      </c>
      <c r="H159" t="s">
        <v>392</v>
      </c>
      <c r="I159" t="s">
        <v>393</v>
      </c>
      <c r="K159">
        <v>445000000</v>
      </c>
      <c r="L159" s="7">
        <v>46502</v>
      </c>
      <c r="M159" s="9">
        <v>8.3320000000000005E-2</v>
      </c>
      <c r="N159">
        <v>101</v>
      </c>
      <c r="O159">
        <v>4</v>
      </c>
      <c r="P159" s="8">
        <f t="shared" si="2"/>
        <v>7.4746700386828707E-2</v>
      </c>
      <c r="Q159" t="str">
        <f t="array" ref="Q159:R159">VLOOKUP(A159,$X$3:$AA$330,{3,4},0)</f>
        <v>Indemnity</v>
      </c>
      <c r="R159" t="str">
        <v>Per Occurrence</v>
      </c>
      <c r="X159" t="s">
        <v>406</v>
      </c>
      <c r="Y159">
        <v>149</v>
      </c>
      <c r="Z159" t="s">
        <v>32</v>
      </c>
      <c r="AA159" t="s">
        <v>27</v>
      </c>
    </row>
    <row r="160" spans="1:27">
      <c r="A160" t="s">
        <v>488</v>
      </c>
      <c r="B160">
        <v>183</v>
      </c>
      <c r="C160">
        <v>183</v>
      </c>
      <c r="D160" s="7" t="s">
        <v>489</v>
      </c>
      <c r="E160" s="7">
        <v>45408</v>
      </c>
      <c r="F160" s="7">
        <v>46502</v>
      </c>
      <c r="G160">
        <v>75000000</v>
      </c>
      <c r="H160" t="s">
        <v>392</v>
      </c>
      <c r="I160" t="s">
        <v>393</v>
      </c>
      <c r="K160">
        <v>310000000</v>
      </c>
      <c r="L160" s="7">
        <v>46502</v>
      </c>
      <c r="M160" s="9">
        <v>0.17924000000000001</v>
      </c>
      <c r="N160">
        <v>103.95</v>
      </c>
      <c r="O160">
        <v>4</v>
      </c>
      <c r="P160" s="8">
        <f t="shared" si="2"/>
        <v>0.14367723042062072</v>
      </c>
      <c r="Q160" t="str">
        <f t="array" ref="Q160:R160">VLOOKUP(A160,$X$3:$AA$330,{3,4},0)</f>
        <v>Indemnity</v>
      </c>
      <c r="R160" t="str">
        <v>Per Occurrence</v>
      </c>
      <c r="X160" t="s">
        <v>410</v>
      </c>
      <c r="Y160">
        <v>150</v>
      </c>
      <c r="Z160" t="s">
        <v>32</v>
      </c>
      <c r="AA160" t="s">
        <v>27</v>
      </c>
    </row>
    <row r="161" spans="1:27">
      <c r="A161" t="s">
        <v>490</v>
      </c>
      <c r="B161">
        <v>184</v>
      </c>
      <c r="C161">
        <v>184</v>
      </c>
      <c r="D161" s="7" t="s">
        <v>491</v>
      </c>
      <c r="E161" s="7">
        <v>45778</v>
      </c>
      <c r="F161" s="7">
        <v>46873</v>
      </c>
      <c r="G161">
        <v>280000000</v>
      </c>
      <c r="H161" t="s">
        <v>392</v>
      </c>
      <c r="I161" t="s">
        <v>393</v>
      </c>
      <c r="K161">
        <v>280000000</v>
      </c>
      <c r="L161" s="7">
        <v>46873</v>
      </c>
      <c r="M161" s="9">
        <v>7.0000000000000007E-2</v>
      </c>
      <c r="N161">
        <v>100.25</v>
      </c>
      <c r="O161">
        <v>4</v>
      </c>
      <c r="P161" s="8">
        <f t="shared" si="2"/>
        <v>6.8791174169189048E-2</v>
      </c>
      <c r="Q161" t="str">
        <f t="array" ref="Q161:R161">VLOOKUP(A161,$X$3:$AA$330,{3,4},0)</f>
        <v>Indemnity</v>
      </c>
      <c r="R161" t="str">
        <v>Per Occurrence</v>
      </c>
      <c r="X161" t="s">
        <v>413</v>
      </c>
      <c r="Y161">
        <v>151</v>
      </c>
      <c r="Z161" t="s">
        <v>32</v>
      </c>
      <c r="AA161" t="s">
        <v>492</v>
      </c>
    </row>
    <row r="162" spans="1:27">
      <c r="A162" t="s">
        <v>493</v>
      </c>
      <c r="B162">
        <v>185</v>
      </c>
      <c r="C162">
        <v>185</v>
      </c>
      <c r="D162" s="7" t="s">
        <v>494</v>
      </c>
      <c r="E162" s="7">
        <v>45594</v>
      </c>
      <c r="F162" s="7">
        <v>46735</v>
      </c>
      <c r="G162">
        <v>95000000</v>
      </c>
      <c r="H162" t="s">
        <v>495</v>
      </c>
      <c r="I162" t="s">
        <v>496</v>
      </c>
      <c r="J162">
        <v>0</v>
      </c>
      <c r="K162">
        <v>95000000</v>
      </c>
      <c r="L162" s="7">
        <v>46735</v>
      </c>
      <c r="M162" s="9">
        <v>0.06</v>
      </c>
      <c r="N162">
        <v>100.65</v>
      </c>
      <c r="O162">
        <v>4</v>
      </c>
      <c r="P162" s="8">
        <f t="shared" si="2"/>
        <v>5.629762747609883E-2</v>
      </c>
      <c r="Q162" t="str">
        <f t="array" ref="Q162:R162">VLOOKUP(A162,$X$3:$AA$330,{3,4},0)</f>
        <v>Indemnity</v>
      </c>
      <c r="R162" t="str">
        <v>Per Occurrence</v>
      </c>
      <c r="X162" t="s">
        <v>417</v>
      </c>
      <c r="Y162">
        <v>152</v>
      </c>
      <c r="Z162" t="s">
        <v>32</v>
      </c>
      <c r="AA162" t="s">
        <v>492</v>
      </c>
    </row>
    <row r="163" spans="1:27">
      <c r="A163" t="s">
        <v>497</v>
      </c>
      <c r="B163">
        <v>187</v>
      </c>
      <c r="C163">
        <v>187</v>
      </c>
      <c r="D163" s="7" t="s">
        <v>498</v>
      </c>
      <c r="E163" s="7">
        <v>45108</v>
      </c>
      <c r="F163" s="7">
        <v>46203</v>
      </c>
      <c r="G163">
        <v>125000000</v>
      </c>
      <c r="H163" t="s">
        <v>499</v>
      </c>
      <c r="I163" t="s">
        <v>500</v>
      </c>
      <c r="K163">
        <v>300000000</v>
      </c>
      <c r="L163" s="7">
        <v>46203</v>
      </c>
      <c r="M163" s="9">
        <v>5.5039999999999999E-2</v>
      </c>
      <c r="N163">
        <v>102.2</v>
      </c>
      <c r="O163">
        <v>4</v>
      </c>
      <c r="P163" s="8">
        <f t="shared" si="2"/>
        <v>2.1992720689991085E-3</v>
      </c>
      <c r="Q163" t="str">
        <f t="array" ref="Q163:R163">VLOOKUP(A163,$X$3:$AA$330,{3,4},0)</f>
        <v>Indemnity</v>
      </c>
      <c r="R163" t="str">
        <v>Per Occurrence</v>
      </c>
      <c r="X163" t="s">
        <v>419</v>
      </c>
      <c r="Y163">
        <v>153</v>
      </c>
      <c r="Z163" t="s">
        <v>32</v>
      </c>
      <c r="AA163" t="s">
        <v>492</v>
      </c>
    </row>
    <row r="164" spans="1:27">
      <c r="A164" t="s">
        <v>501</v>
      </c>
      <c r="B164">
        <v>188</v>
      </c>
      <c r="C164">
        <v>188</v>
      </c>
      <c r="D164" s="7" t="s">
        <v>502</v>
      </c>
      <c r="E164" s="7">
        <v>45853</v>
      </c>
      <c r="F164" s="7">
        <v>46948</v>
      </c>
      <c r="G164">
        <v>150000000</v>
      </c>
      <c r="H164" t="s">
        <v>503</v>
      </c>
      <c r="I164" t="s">
        <v>504</v>
      </c>
      <c r="K164">
        <v>150000000</v>
      </c>
      <c r="L164" s="7">
        <v>46948</v>
      </c>
      <c r="M164" s="9">
        <v>7.2499999999999995E-2</v>
      </c>
      <c r="N164">
        <v>102.6</v>
      </c>
      <c r="O164">
        <v>4</v>
      </c>
      <c r="P164" s="8">
        <f t="shared" si="2"/>
        <v>6.0997298400551785E-2</v>
      </c>
      <c r="Q164" t="str">
        <f t="array" ref="Q164:R164">VLOOKUP(A164,$X$3:$AA$330,{3,4},0)</f>
        <v>Indemnity</v>
      </c>
      <c r="R164" t="str">
        <v>Per Occurrence</v>
      </c>
      <c r="X164" t="s">
        <v>421</v>
      </c>
      <c r="Y164">
        <v>154</v>
      </c>
      <c r="Z164" t="s">
        <v>32</v>
      </c>
      <c r="AA164" t="s">
        <v>492</v>
      </c>
    </row>
    <row r="165" spans="1:27">
      <c r="A165" t="s">
        <v>505</v>
      </c>
      <c r="B165">
        <v>190</v>
      </c>
      <c r="C165">
        <v>190</v>
      </c>
      <c r="D165" s="7" t="s">
        <v>506</v>
      </c>
      <c r="E165" s="7">
        <v>45687</v>
      </c>
      <c r="F165" s="7">
        <v>46781</v>
      </c>
      <c r="G165">
        <v>87500000</v>
      </c>
      <c r="H165" t="s">
        <v>222</v>
      </c>
      <c r="I165" t="s">
        <v>507</v>
      </c>
      <c r="J165">
        <v>0</v>
      </c>
      <c r="K165">
        <v>19000000000</v>
      </c>
      <c r="L165" s="7">
        <v>46781</v>
      </c>
      <c r="M165" s="9">
        <v>7.0000000000000007E-2</v>
      </c>
      <c r="N165">
        <v>100.1</v>
      </c>
      <c r="O165">
        <v>4</v>
      </c>
      <c r="P165" s="8">
        <f t="shared" si="2"/>
        <v>6.9456976726429268E-2</v>
      </c>
      <c r="Q165" t="str">
        <f t="array" ref="Q165:R165">VLOOKUP(A165,$X$3:$AA$330,{3,4},0)</f>
        <v>Industry Loss</v>
      </c>
      <c r="R165" t="str">
        <v>Annual Aggregate</v>
      </c>
      <c r="X165" t="s">
        <v>424</v>
      </c>
      <c r="Y165">
        <v>155</v>
      </c>
      <c r="Z165" t="s">
        <v>26</v>
      </c>
      <c r="AA165" t="s">
        <v>27</v>
      </c>
    </row>
    <row r="166" spans="1:27">
      <c r="A166" t="s">
        <v>508</v>
      </c>
      <c r="B166">
        <v>191</v>
      </c>
      <c r="C166">
        <v>191</v>
      </c>
      <c r="D166" s="7" t="s">
        <v>509</v>
      </c>
      <c r="E166" s="7">
        <v>45687</v>
      </c>
      <c r="F166" s="7">
        <v>46781</v>
      </c>
      <c r="G166">
        <v>122500000</v>
      </c>
      <c r="H166" t="s">
        <v>222</v>
      </c>
      <c r="I166" t="s">
        <v>507</v>
      </c>
      <c r="J166">
        <v>0</v>
      </c>
      <c r="K166">
        <v>40000000000</v>
      </c>
      <c r="L166" s="7">
        <v>46781</v>
      </c>
      <c r="M166" s="9">
        <v>0.1225</v>
      </c>
      <c r="N166">
        <v>102.6</v>
      </c>
      <c r="O166">
        <v>4</v>
      </c>
      <c r="P166" s="8">
        <f t="shared" si="2"/>
        <v>0.10783251376281043</v>
      </c>
      <c r="Q166" t="str">
        <f t="array" ref="Q166:R166">VLOOKUP(A166,$X$3:$AA$330,{3,4},0)</f>
        <v>Industry Loss</v>
      </c>
      <c r="R166" t="str">
        <v>Annual Aggregate</v>
      </c>
      <c r="X166" t="s">
        <v>510</v>
      </c>
      <c r="Y166">
        <v>156</v>
      </c>
      <c r="Z166" t="s">
        <v>32</v>
      </c>
      <c r="AA166" t="s">
        <v>33</v>
      </c>
    </row>
    <row r="167" spans="1:27">
      <c r="A167" t="s">
        <v>511</v>
      </c>
      <c r="B167">
        <v>192</v>
      </c>
      <c r="C167">
        <v>192</v>
      </c>
      <c r="D167" s="7" t="s">
        <v>512</v>
      </c>
      <c r="E167" s="7">
        <v>45855</v>
      </c>
      <c r="F167" s="7">
        <v>46933</v>
      </c>
      <c r="G167">
        <v>65000000</v>
      </c>
      <c r="H167" t="s">
        <v>222</v>
      </c>
      <c r="I167" t="s">
        <v>71</v>
      </c>
      <c r="J167">
        <v>0</v>
      </c>
      <c r="K167">
        <v>38500000000</v>
      </c>
      <c r="L167" s="7">
        <v>46933</v>
      </c>
      <c r="M167" s="9">
        <v>0.1225</v>
      </c>
      <c r="N167">
        <v>103.85</v>
      </c>
      <c r="O167">
        <v>4</v>
      </c>
      <c r="P167" s="8">
        <f t="shared" si="2"/>
        <v>0.10419388186898976</v>
      </c>
      <c r="Q167" t="str">
        <f t="array" ref="Q167:R167">VLOOKUP(A167,$X$3:$AA$330,{3,4},0)</f>
        <v>Industry Loss</v>
      </c>
      <c r="R167" t="str">
        <v>Annual Aggregate</v>
      </c>
      <c r="X167" t="s">
        <v>513</v>
      </c>
      <c r="Y167">
        <v>157</v>
      </c>
      <c r="Z167" t="s">
        <v>32</v>
      </c>
      <c r="AA167" t="s">
        <v>33</v>
      </c>
    </row>
    <row r="168" spans="1:27">
      <c r="A168" t="s">
        <v>514</v>
      </c>
      <c r="B168">
        <v>193</v>
      </c>
      <c r="C168">
        <v>193</v>
      </c>
      <c r="D168" s="7" t="s">
        <v>515</v>
      </c>
      <c r="E168" s="7">
        <v>45748</v>
      </c>
      <c r="F168" s="7">
        <v>46843</v>
      </c>
      <c r="G168">
        <v>100000000</v>
      </c>
      <c r="H168" t="s">
        <v>516</v>
      </c>
      <c r="I168" t="s">
        <v>409</v>
      </c>
      <c r="J168">
        <v>0</v>
      </c>
      <c r="K168">
        <v>100000000</v>
      </c>
      <c r="L168" s="7">
        <v>46843</v>
      </c>
      <c r="M168" s="9">
        <v>2.75E-2</v>
      </c>
      <c r="N168">
        <v>102.4</v>
      </c>
      <c r="O168">
        <v>4</v>
      </c>
      <c r="P168" s="8">
        <f t="shared" si="2"/>
        <v>1.6203624290380875E-2</v>
      </c>
      <c r="Q168" t="str">
        <f t="array" ref="Q168:R168">VLOOKUP(A168,$X$3:$AA$330,{3,4},0)</f>
        <v>Indemnity</v>
      </c>
      <c r="R168" t="str">
        <v>Term Aggregate (Three-Year)</v>
      </c>
      <c r="X168" t="s">
        <v>427</v>
      </c>
      <c r="Y168">
        <v>158</v>
      </c>
      <c r="Z168" t="s">
        <v>32</v>
      </c>
      <c r="AA168" t="s">
        <v>33</v>
      </c>
    </row>
    <row r="169" spans="1:27">
      <c r="A169" t="s">
        <v>517</v>
      </c>
      <c r="B169">
        <v>197</v>
      </c>
      <c r="C169">
        <v>197</v>
      </c>
      <c r="D169" s="7" t="s">
        <v>518</v>
      </c>
      <c r="E169" s="7">
        <v>45383</v>
      </c>
      <c r="F169" s="7">
        <v>46843</v>
      </c>
      <c r="G169">
        <v>100000000</v>
      </c>
      <c r="H169" t="s">
        <v>519</v>
      </c>
      <c r="I169" t="s">
        <v>520</v>
      </c>
      <c r="K169">
        <v>100000000</v>
      </c>
      <c r="L169" s="7">
        <v>46843</v>
      </c>
      <c r="M169" s="9">
        <v>3.2500000000000001E-2</v>
      </c>
      <c r="N169">
        <v>101.95</v>
      </c>
      <c r="O169">
        <v>4</v>
      </c>
      <c r="P169" s="8">
        <f t="shared" si="2"/>
        <v>2.3242880811966883E-2</v>
      </c>
      <c r="Q169" t="str">
        <f t="array" ref="Q169:R169">VLOOKUP(A169,$X$3:$AA$330,{3,4},0)</f>
        <v>Indemnity</v>
      </c>
      <c r="R169" t="str">
        <v>Per Occurrence</v>
      </c>
      <c r="X169" t="s">
        <v>521</v>
      </c>
      <c r="Y169">
        <v>159</v>
      </c>
      <c r="Z169" t="s">
        <v>32</v>
      </c>
      <c r="AA169" t="s">
        <v>33</v>
      </c>
    </row>
    <row r="170" spans="1:27">
      <c r="A170" t="s">
        <v>522</v>
      </c>
      <c r="B170">
        <v>198</v>
      </c>
      <c r="C170">
        <v>198</v>
      </c>
      <c r="D170" s="7" t="s">
        <v>523</v>
      </c>
      <c r="E170" s="7">
        <v>45383</v>
      </c>
      <c r="F170" s="7">
        <v>46843</v>
      </c>
      <c r="G170">
        <v>100000000</v>
      </c>
      <c r="H170" t="s">
        <v>519</v>
      </c>
      <c r="I170" t="s">
        <v>524</v>
      </c>
      <c r="K170">
        <v>100000000</v>
      </c>
      <c r="L170" s="7">
        <v>46843</v>
      </c>
      <c r="M170" s="9">
        <v>0.04</v>
      </c>
      <c r="N170">
        <v>102</v>
      </c>
      <c r="O170">
        <v>4</v>
      </c>
      <c r="P170" s="8">
        <f t="shared" si="2"/>
        <v>3.0422588808927391E-2</v>
      </c>
      <c r="Q170" t="str">
        <f t="array" ref="Q170:R170">VLOOKUP(A170,$X$3:$AA$330,{3,4},0)</f>
        <v>Indemnity</v>
      </c>
      <c r="R170" t="str">
        <v>Per Occurrence (TY/FL) and 3-year Aggregate (EQ)</v>
      </c>
      <c r="X170" t="s">
        <v>431</v>
      </c>
      <c r="Y170">
        <v>160</v>
      </c>
      <c r="Z170" t="s">
        <v>32</v>
      </c>
      <c r="AA170" t="s">
        <v>27</v>
      </c>
    </row>
    <row r="171" spans="1:27">
      <c r="A171" t="s">
        <v>525</v>
      </c>
      <c r="B171">
        <v>199</v>
      </c>
      <c r="C171">
        <v>199</v>
      </c>
      <c r="D171" s="7" t="s">
        <v>526</v>
      </c>
      <c r="E171" s="7">
        <v>45261</v>
      </c>
      <c r="F171" s="7">
        <v>46356</v>
      </c>
      <c r="G171">
        <v>150000000</v>
      </c>
      <c r="H171" t="s">
        <v>278</v>
      </c>
      <c r="I171" t="s">
        <v>527</v>
      </c>
      <c r="K171">
        <v>164000000</v>
      </c>
      <c r="L171" s="7">
        <v>46356</v>
      </c>
      <c r="M171" s="9">
        <v>0.1</v>
      </c>
      <c r="N171">
        <v>99.85</v>
      </c>
      <c r="O171">
        <v>4</v>
      </c>
      <c r="P171" s="8">
        <f t="shared" si="2"/>
        <v>0.10181166725456167</v>
      </c>
      <c r="Q171" t="str">
        <f t="array" ref="Q171:R171">VLOOKUP(A171,$X$3:$AA$330,{3,4},0)</f>
        <v>Indemnity</v>
      </c>
      <c r="R171" t="str">
        <v>Per Occurrence</v>
      </c>
      <c r="X171" t="s">
        <v>435</v>
      </c>
      <c r="Y171">
        <v>161</v>
      </c>
      <c r="Z171" t="s">
        <v>32</v>
      </c>
      <c r="AA171" t="s">
        <v>27</v>
      </c>
    </row>
    <row r="172" spans="1:27">
      <c r="A172" t="s">
        <v>528</v>
      </c>
      <c r="B172">
        <v>200</v>
      </c>
      <c r="C172">
        <v>200</v>
      </c>
      <c r="D172" s="7" t="s">
        <v>529</v>
      </c>
      <c r="E172" s="7">
        <v>45261</v>
      </c>
      <c r="F172" s="7">
        <v>46356</v>
      </c>
      <c r="G172">
        <v>45000000</v>
      </c>
      <c r="H172" t="s">
        <v>278</v>
      </c>
      <c r="I172" t="s">
        <v>527</v>
      </c>
      <c r="K172">
        <v>251000000</v>
      </c>
      <c r="L172" s="7">
        <v>46356</v>
      </c>
      <c r="M172" s="9">
        <v>0.13500000000000001</v>
      </c>
      <c r="N172">
        <v>101.95</v>
      </c>
      <c r="O172">
        <v>4</v>
      </c>
      <c r="P172" s="8">
        <f t="shared" si="2"/>
        <v>0.11006056157627235</v>
      </c>
      <c r="Q172" t="str">
        <f t="array" ref="Q172:R172">VLOOKUP(A172,$X$3:$AA$330,{3,4},0)</f>
        <v>Indemnity</v>
      </c>
      <c r="R172" t="str">
        <v>Per Occurrence</v>
      </c>
      <c r="X172" t="s">
        <v>437</v>
      </c>
      <c r="Y172">
        <v>162</v>
      </c>
      <c r="Z172" t="s">
        <v>32</v>
      </c>
      <c r="AA172" t="s">
        <v>27</v>
      </c>
    </row>
    <row r="173" spans="1:27">
      <c r="A173" t="s">
        <v>530</v>
      </c>
      <c r="B173">
        <v>201</v>
      </c>
      <c r="C173">
        <v>201</v>
      </c>
      <c r="D173" s="7" t="s">
        <v>531</v>
      </c>
      <c r="E173" s="7">
        <v>45469</v>
      </c>
      <c r="F173" s="7">
        <v>46904</v>
      </c>
      <c r="G173">
        <v>50000000</v>
      </c>
      <c r="H173" t="s">
        <v>278</v>
      </c>
      <c r="I173" t="s">
        <v>279</v>
      </c>
      <c r="K173">
        <v>270000000</v>
      </c>
      <c r="L173" s="7">
        <v>46904</v>
      </c>
      <c r="M173" s="9">
        <v>0.15290000000000001</v>
      </c>
      <c r="N173">
        <v>102.8</v>
      </c>
      <c r="O173">
        <v>4</v>
      </c>
      <c r="P173" s="8">
        <f t="shared" si="2"/>
        <v>0.13857687747766384</v>
      </c>
      <c r="Q173" t="str">
        <f t="array" ref="Q173:R173">VLOOKUP(A173,$X$3:$AA$330,{3,4},0)</f>
        <v>Indemnity</v>
      </c>
      <c r="R173" t="str">
        <v>Per Occurrence</v>
      </c>
      <c r="X173" t="s">
        <v>439</v>
      </c>
      <c r="Y173">
        <v>163</v>
      </c>
      <c r="Z173" t="s">
        <v>32</v>
      </c>
      <c r="AA173" t="s">
        <v>33</v>
      </c>
    </row>
    <row r="174" spans="1:27">
      <c r="A174" t="s">
        <v>532</v>
      </c>
      <c r="B174">
        <v>202</v>
      </c>
      <c r="C174">
        <v>202</v>
      </c>
      <c r="D174" s="7" t="s">
        <v>533</v>
      </c>
      <c r="E174" s="7">
        <v>45751</v>
      </c>
      <c r="F174" s="7">
        <v>47211</v>
      </c>
      <c r="G174">
        <v>150000000</v>
      </c>
      <c r="H174" t="s">
        <v>278</v>
      </c>
      <c r="I174" t="s">
        <v>279</v>
      </c>
      <c r="K174">
        <v>800000000</v>
      </c>
      <c r="L174" s="7">
        <v>47211</v>
      </c>
      <c r="M174" s="9">
        <v>9.7500000000000003E-2</v>
      </c>
      <c r="N174">
        <v>102.5</v>
      </c>
      <c r="O174">
        <v>4</v>
      </c>
      <c r="P174" s="8">
        <f t="shared" si="2"/>
        <v>8.8356149691900754E-2</v>
      </c>
      <c r="Q174" t="str">
        <f t="array" ref="Q174:R174">VLOOKUP(A174,$X$3:$AA$330,{3,4},0)</f>
        <v>Indemnity</v>
      </c>
      <c r="R174" t="str">
        <v>Per Occurrence</v>
      </c>
      <c r="X174" t="s">
        <v>442</v>
      </c>
      <c r="Y174">
        <v>164</v>
      </c>
      <c r="Z174" t="s">
        <v>32</v>
      </c>
      <c r="AA174" t="s">
        <v>33</v>
      </c>
    </row>
    <row r="175" spans="1:27">
      <c r="A175" t="s">
        <v>534</v>
      </c>
      <c r="B175">
        <v>203</v>
      </c>
      <c r="C175">
        <v>203</v>
      </c>
      <c r="D175" s="7" t="s">
        <v>535</v>
      </c>
      <c r="E175" s="7">
        <v>45413</v>
      </c>
      <c r="F175" s="7">
        <v>46507</v>
      </c>
      <c r="G175">
        <v>125000000</v>
      </c>
      <c r="H175" t="s">
        <v>536</v>
      </c>
      <c r="I175" t="s">
        <v>537</v>
      </c>
      <c r="K175">
        <v>125000000</v>
      </c>
      <c r="L175" s="7">
        <v>46507</v>
      </c>
      <c r="M175" s="9">
        <v>7.6319999999999999E-2</v>
      </c>
      <c r="N175">
        <v>104.6</v>
      </c>
      <c r="O175">
        <v>4</v>
      </c>
      <c r="P175" s="8">
        <f t="shared" si="2"/>
        <v>3.8451957383370587E-2</v>
      </c>
      <c r="Q175" t="str">
        <f t="array" ref="Q175:R175">VLOOKUP(A175,$X$3:$AA$330,{3,4},0)</f>
        <v>Indemnity</v>
      </c>
      <c r="R175" t="str">
        <v>Per Occurrence</v>
      </c>
      <c r="X175" t="s">
        <v>445</v>
      </c>
      <c r="Y175">
        <v>165</v>
      </c>
      <c r="Z175" t="s">
        <v>32</v>
      </c>
      <c r="AA175" t="s">
        <v>33</v>
      </c>
    </row>
    <row r="176" spans="1:27">
      <c r="A176" t="s">
        <v>538</v>
      </c>
      <c r="B176">
        <v>207</v>
      </c>
      <c r="C176">
        <v>207</v>
      </c>
      <c r="D176" s="7" t="s">
        <v>539</v>
      </c>
      <c r="E176" s="7">
        <v>45474</v>
      </c>
      <c r="F176" s="7">
        <v>46568</v>
      </c>
      <c r="G176">
        <v>100000000</v>
      </c>
      <c r="H176" t="s">
        <v>168</v>
      </c>
      <c r="I176" t="s">
        <v>286</v>
      </c>
      <c r="K176">
        <v>132000000</v>
      </c>
      <c r="L176" s="7">
        <v>46568</v>
      </c>
      <c r="M176" s="9">
        <v>5.8999999999999997E-2</v>
      </c>
      <c r="N176">
        <v>101.6</v>
      </c>
      <c r="O176">
        <v>4</v>
      </c>
      <c r="P176" s="8">
        <f t="shared" si="2"/>
        <v>4.7243067641337469E-2</v>
      </c>
      <c r="Q176" t="str">
        <f t="array" ref="Q176:R176">VLOOKUP(A176,$X$3:$AA$330,{3,4},0)</f>
        <v>Indemnity</v>
      </c>
      <c r="R176" t="str">
        <v>Per Occurrence</v>
      </c>
      <c r="X176" t="s">
        <v>448</v>
      </c>
      <c r="Y176">
        <v>166</v>
      </c>
      <c r="Z176" t="s">
        <v>32</v>
      </c>
      <c r="AA176" t="s">
        <v>33</v>
      </c>
    </row>
    <row r="177" spans="1:27">
      <c r="A177" t="s">
        <v>540</v>
      </c>
      <c r="B177">
        <v>208</v>
      </c>
      <c r="C177">
        <v>208</v>
      </c>
      <c r="D177" s="7" t="s">
        <v>541</v>
      </c>
      <c r="E177" s="7">
        <v>45658</v>
      </c>
      <c r="F177" s="7">
        <v>46752</v>
      </c>
      <c r="G177">
        <v>100000000</v>
      </c>
      <c r="H177" t="s">
        <v>542</v>
      </c>
      <c r="I177" t="s">
        <v>543</v>
      </c>
      <c r="K177">
        <v>100000000</v>
      </c>
      <c r="L177" s="7">
        <v>46752</v>
      </c>
      <c r="M177" s="9">
        <v>3.5000000000000003E-2</v>
      </c>
      <c r="N177">
        <v>102.8</v>
      </c>
      <c r="O177">
        <v>4</v>
      </c>
      <c r="P177" s="8">
        <f t="shared" si="2"/>
        <v>2.0069325818430503E-2</v>
      </c>
      <c r="Q177" t="str">
        <f t="array" ref="Q177:R177">VLOOKUP(A177,$X$3:$AA$330,{3,4},0)</f>
        <v>1st Gen Parametric</v>
      </c>
      <c r="R177" t="str">
        <v>Per Occurrence</v>
      </c>
      <c r="X177" t="s">
        <v>451</v>
      </c>
      <c r="Y177">
        <v>167</v>
      </c>
      <c r="Z177" t="s">
        <v>26</v>
      </c>
      <c r="AA177" t="s">
        <v>27</v>
      </c>
    </row>
    <row r="178" spans="1:27">
      <c r="A178" t="s">
        <v>544</v>
      </c>
      <c r="B178">
        <v>210</v>
      </c>
      <c r="C178">
        <v>210</v>
      </c>
      <c r="D178" s="7" t="s">
        <v>545</v>
      </c>
      <c r="E178" s="7">
        <v>45748</v>
      </c>
      <c r="F178" s="7">
        <v>46843</v>
      </c>
      <c r="G178">
        <v>100000000</v>
      </c>
      <c r="H178" t="s">
        <v>546</v>
      </c>
      <c r="I178" t="s">
        <v>547</v>
      </c>
      <c r="K178">
        <v>100000000</v>
      </c>
      <c r="L178" s="7">
        <v>46843</v>
      </c>
      <c r="M178" s="9">
        <v>7.7499999999999999E-2</v>
      </c>
      <c r="N178">
        <v>103.1</v>
      </c>
      <c r="O178">
        <v>4</v>
      </c>
      <c r="P178" s="8">
        <f t="shared" si="2"/>
        <v>6.2081441090794366E-2</v>
      </c>
      <c r="Q178" t="str">
        <f t="array" ref="Q178:R178">VLOOKUP(A178,$X$3:$AA$330,{3,4},0)</f>
        <v>Indemnity</v>
      </c>
      <c r="R178" t="str">
        <v>Per Occurrence</v>
      </c>
      <c r="X178" t="s">
        <v>548</v>
      </c>
      <c r="Y178">
        <v>168</v>
      </c>
      <c r="Z178" t="s">
        <v>32</v>
      </c>
      <c r="AA178" t="s">
        <v>33</v>
      </c>
    </row>
    <row r="179" spans="1:27">
      <c r="A179" t="s">
        <v>549</v>
      </c>
      <c r="B179">
        <v>211</v>
      </c>
      <c r="C179">
        <v>211</v>
      </c>
      <c r="D179" s="7" t="s">
        <v>550</v>
      </c>
      <c r="E179" s="7">
        <v>45808</v>
      </c>
      <c r="F179" s="7">
        <v>47268</v>
      </c>
      <c r="G179">
        <v>125000000</v>
      </c>
      <c r="H179" t="s">
        <v>551</v>
      </c>
      <c r="I179" t="s">
        <v>552</v>
      </c>
      <c r="K179">
        <v>200000000</v>
      </c>
      <c r="L179" s="7">
        <v>47268</v>
      </c>
      <c r="M179" s="9">
        <v>5.5E-2</v>
      </c>
      <c r="N179">
        <v>102.925</v>
      </c>
      <c r="O179">
        <v>4</v>
      </c>
      <c r="P179" s="8">
        <f t="shared" si="2"/>
        <v>4.548761459593767E-2</v>
      </c>
      <c r="Q179" t="str">
        <f t="array" ref="Q179:R179">VLOOKUP(A179,$X$3:$AA$330,{3,4},0)</f>
        <v>Indemnity</v>
      </c>
      <c r="R179" t="str">
        <v>Per Occurrence</v>
      </c>
      <c r="X179" t="s">
        <v>454</v>
      </c>
      <c r="Y179">
        <v>169</v>
      </c>
      <c r="Z179" t="s">
        <v>32</v>
      </c>
      <c r="AA179" t="s">
        <v>33</v>
      </c>
    </row>
    <row r="180" spans="1:27">
      <c r="A180" t="s">
        <v>553</v>
      </c>
      <c r="B180">
        <v>212</v>
      </c>
      <c r="C180">
        <v>212</v>
      </c>
      <c r="D180" s="7" t="s">
        <v>554</v>
      </c>
      <c r="E180" s="7">
        <v>45808</v>
      </c>
      <c r="F180" s="7">
        <v>47268</v>
      </c>
      <c r="G180">
        <v>75000000</v>
      </c>
      <c r="H180" t="s">
        <v>551</v>
      </c>
      <c r="I180" t="s">
        <v>555</v>
      </c>
      <c r="K180">
        <v>100000000</v>
      </c>
      <c r="L180" s="7">
        <v>47268</v>
      </c>
      <c r="M180" s="9">
        <v>0.06</v>
      </c>
      <c r="N180">
        <v>102.75</v>
      </c>
      <c r="O180">
        <v>4</v>
      </c>
      <c r="P180" s="8">
        <f t="shared" si="2"/>
        <v>5.0970069827462439E-2</v>
      </c>
      <c r="Q180" t="str">
        <f t="array" ref="Q180:R180">VLOOKUP(A180,$X$3:$AA$330,{3,4},0)</f>
        <v>Indemnity</v>
      </c>
      <c r="R180" t="str">
        <v>Per Occurrence</v>
      </c>
      <c r="X180" t="s">
        <v>458</v>
      </c>
      <c r="Y180">
        <v>170</v>
      </c>
      <c r="Z180" t="s">
        <v>32</v>
      </c>
      <c r="AA180" t="s">
        <v>33</v>
      </c>
    </row>
    <row r="181" spans="1:27">
      <c r="A181" t="s">
        <v>556</v>
      </c>
      <c r="B181">
        <v>213</v>
      </c>
      <c r="C181">
        <v>213</v>
      </c>
      <c r="D181" s="7" t="s">
        <v>557</v>
      </c>
      <c r="E181" s="7">
        <v>45798</v>
      </c>
      <c r="F181" s="7">
        <v>46858</v>
      </c>
      <c r="G181">
        <v>100000000</v>
      </c>
      <c r="H181" t="s">
        <v>558</v>
      </c>
      <c r="I181" t="s">
        <v>559</v>
      </c>
      <c r="J181">
        <v>0</v>
      </c>
      <c r="K181">
        <v>100000000</v>
      </c>
      <c r="L181" s="7">
        <v>46858</v>
      </c>
      <c r="M181" s="9">
        <v>3.5000000000000003E-2</v>
      </c>
      <c r="N181">
        <v>103.85</v>
      </c>
      <c r="O181">
        <v>4</v>
      </c>
      <c r="P181" s="8">
        <f t="shared" si="2"/>
        <v>1.7172711810023999E-2</v>
      </c>
      <c r="Q181" t="str">
        <f t="array" ref="Q181:R181">VLOOKUP(A181,$X$3:$AA$330,{3,4},0)</f>
        <v>Indemnity ; 1st Gen Parametric</v>
      </c>
      <c r="R181" t="str">
        <v>Term Aggregate (Three-Year) ; Per Occurrence</v>
      </c>
      <c r="X181" t="s">
        <v>460</v>
      </c>
      <c r="Y181">
        <v>171</v>
      </c>
      <c r="Z181" t="s">
        <v>32</v>
      </c>
      <c r="AA181" t="s">
        <v>33</v>
      </c>
    </row>
    <row r="182" spans="1:27">
      <c r="A182" t="s">
        <v>560</v>
      </c>
      <c r="B182">
        <v>214</v>
      </c>
      <c r="C182">
        <v>214</v>
      </c>
      <c r="D182" s="7" t="s">
        <v>561</v>
      </c>
      <c r="E182" s="7">
        <v>45809</v>
      </c>
      <c r="F182" s="7">
        <v>46904</v>
      </c>
      <c r="G182">
        <v>60000000</v>
      </c>
      <c r="H182" t="s">
        <v>562</v>
      </c>
      <c r="I182" t="s">
        <v>563</v>
      </c>
      <c r="K182">
        <v>60000000</v>
      </c>
      <c r="L182" s="7">
        <v>46904</v>
      </c>
      <c r="M182" s="9">
        <v>9.2499999999999999E-2</v>
      </c>
      <c r="N182">
        <v>102.9</v>
      </c>
      <c r="O182">
        <v>4</v>
      </c>
      <c r="P182" s="8">
        <f t="shared" si="2"/>
        <v>7.874927142220764E-2</v>
      </c>
      <c r="Q182" t="str">
        <f t="array" ref="Q182:R182">VLOOKUP(A182,$X$3:$AA$330,{3,4},0)</f>
        <v>Indemnity</v>
      </c>
      <c r="R182" t="str">
        <v>Per Occurrence</v>
      </c>
      <c r="X182" t="s">
        <v>462</v>
      </c>
      <c r="Y182">
        <v>172</v>
      </c>
      <c r="Z182" t="s">
        <v>32</v>
      </c>
      <c r="AA182" t="s">
        <v>33</v>
      </c>
    </row>
    <row r="183" spans="1:27">
      <c r="A183" t="s">
        <v>564</v>
      </c>
      <c r="B183">
        <v>215</v>
      </c>
      <c r="C183">
        <v>215</v>
      </c>
      <c r="D183" s="7" t="s">
        <v>565</v>
      </c>
      <c r="E183" s="7">
        <v>45809</v>
      </c>
      <c r="F183" s="7">
        <v>46904</v>
      </c>
      <c r="G183">
        <v>100000000</v>
      </c>
      <c r="H183" t="s">
        <v>562</v>
      </c>
      <c r="I183" t="s">
        <v>563</v>
      </c>
      <c r="K183">
        <v>100000000</v>
      </c>
      <c r="L183" s="7">
        <v>46904</v>
      </c>
      <c r="M183" s="9">
        <v>7.0000000000000007E-2</v>
      </c>
      <c r="N183">
        <v>100</v>
      </c>
      <c r="O183">
        <v>4</v>
      </c>
      <c r="P183" s="8">
        <f t="shared" si="2"/>
        <v>6.9984192863289968E-2</v>
      </c>
      <c r="Q183" t="str">
        <f t="array" ref="Q183:R183">VLOOKUP(A183,$X$3:$AA$330,{3,4},0)</f>
        <v>Indemnity</v>
      </c>
      <c r="R183" t="str">
        <v>Per Occurrence</v>
      </c>
      <c r="X183" t="s">
        <v>465</v>
      </c>
      <c r="Y183">
        <v>173</v>
      </c>
      <c r="Z183" t="s">
        <v>32</v>
      </c>
      <c r="AA183" t="s">
        <v>33</v>
      </c>
    </row>
    <row r="184" spans="1:27">
      <c r="A184" t="s">
        <v>566</v>
      </c>
      <c r="B184">
        <v>216</v>
      </c>
      <c r="C184">
        <v>216</v>
      </c>
      <c r="D184" s="7" t="s">
        <v>567</v>
      </c>
      <c r="E184" s="7">
        <v>45809</v>
      </c>
      <c r="F184" s="7">
        <v>46904</v>
      </c>
      <c r="G184">
        <v>170000000</v>
      </c>
      <c r="H184" t="s">
        <v>562</v>
      </c>
      <c r="I184" t="s">
        <v>563</v>
      </c>
      <c r="K184">
        <v>170000000</v>
      </c>
      <c r="L184" s="7">
        <v>46904</v>
      </c>
      <c r="M184" s="9">
        <v>0.06</v>
      </c>
      <c r="N184">
        <v>104.5</v>
      </c>
      <c r="O184">
        <v>4</v>
      </c>
      <c r="P184" s="8">
        <f t="shared" si="2"/>
        <v>3.9704232781262457E-2</v>
      </c>
      <c r="Q184" t="str">
        <f t="array" ref="Q184:R184">VLOOKUP(A184,$X$3:$AA$330,{3,4},0)</f>
        <v>Indemnity</v>
      </c>
      <c r="R184" t="str">
        <v>Per Occurrence</v>
      </c>
      <c r="X184" t="s">
        <v>467</v>
      </c>
      <c r="Y184">
        <v>174</v>
      </c>
      <c r="Z184" t="s">
        <v>32</v>
      </c>
      <c r="AA184" t="s">
        <v>33</v>
      </c>
    </row>
    <row r="185" spans="1:27">
      <c r="A185" t="s">
        <v>568</v>
      </c>
      <c r="B185">
        <v>219</v>
      </c>
      <c r="C185">
        <v>219</v>
      </c>
      <c r="D185" s="7" t="s">
        <v>569</v>
      </c>
      <c r="E185" s="7">
        <v>45444</v>
      </c>
      <c r="F185" s="7">
        <v>46513</v>
      </c>
      <c r="G185">
        <v>450000000</v>
      </c>
      <c r="H185" t="s">
        <v>570</v>
      </c>
      <c r="I185" t="s">
        <v>53</v>
      </c>
      <c r="K185">
        <v>1454000000</v>
      </c>
      <c r="L185" s="7">
        <v>46513</v>
      </c>
      <c r="M185" s="9">
        <v>0.105</v>
      </c>
      <c r="N185">
        <v>105.4</v>
      </c>
      <c r="O185">
        <v>4</v>
      </c>
      <c r="P185" s="8">
        <f t="shared" si="2"/>
        <v>6.0296433402567497E-2</v>
      </c>
      <c r="Q185" t="str">
        <f t="array" ref="Q185:R185">VLOOKUP(A185,$X$3:$AA$330,{3,4},0)</f>
        <v>Indemnity</v>
      </c>
      <c r="R185" t="str">
        <v>Annual Aggregate</v>
      </c>
      <c r="X185" t="s">
        <v>469</v>
      </c>
      <c r="Y185">
        <v>175</v>
      </c>
      <c r="Z185" t="s">
        <v>32</v>
      </c>
      <c r="AA185" t="s">
        <v>27</v>
      </c>
    </row>
    <row r="186" spans="1:27">
      <c r="A186" t="s">
        <v>571</v>
      </c>
      <c r="B186">
        <v>220</v>
      </c>
      <c r="C186">
        <v>220</v>
      </c>
      <c r="D186" s="7" t="s">
        <v>572</v>
      </c>
      <c r="E186" s="7">
        <v>45444</v>
      </c>
      <c r="F186" s="7">
        <v>46513</v>
      </c>
      <c r="G186">
        <v>425000000</v>
      </c>
      <c r="H186" t="s">
        <v>570</v>
      </c>
      <c r="I186" t="s">
        <v>53</v>
      </c>
      <c r="J186">
        <v>0</v>
      </c>
      <c r="K186">
        <v>1217000000</v>
      </c>
      <c r="L186" s="7">
        <v>46513</v>
      </c>
      <c r="M186" s="9">
        <v>0.115</v>
      </c>
      <c r="N186">
        <v>107.85</v>
      </c>
      <c r="O186">
        <v>4</v>
      </c>
      <c r="P186" s="8">
        <f t="shared" si="2"/>
        <v>5.0488543585351181E-2</v>
      </c>
      <c r="Q186" t="str">
        <f t="array" ref="Q186:R186">VLOOKUP(A186,$X$3:$AA$330,{3,4},0)</f>
        <v>Indemnity</v>
      </c>
      <c r="R186" t="str">
        <v>Annual Aggregate</v>
      </c>
      <c r="X186" t="s">
        <v>473</v>
      </c>
      <c r="Y186">
        <v>176</v>
      </c>
      <c r="Z186" t="s">
        <v>32</v>
      </c>
      <c r="AA186" t="s">
        <v>33</v>
      </c>
    </row>
    <row r="187" spans="1:27">
      <c r="A187" t="s">
        <v>573</v>
      </c>
      <c r="B187">
        <v>221</v>
      </c>
      <c r="C187">
        <v>221</v>
      </c>
      <c r="D187" s="7" t="s">
        <v>574</v>
      </c>
      <c r="E187" s="7">
        <v>45444</v>
      </c>
      <c r="F187" s="7">
        <v>46513</v>
      </c>
      <c r="G187">
        <v>225000000</v>
      </c>
      <c r="H187" t="s">
        <v>570</v>
      </c>
      <c r="I187" t="s">
        <v>53</v>
      </c>
      <c r="K187">
        <v>1430000000</v>
      </c>
      <c r="L187" s="7">
        <v>46513</v>
      </c>
      <c r="M187" s="9">
        <v>0.1275</v>
      </c>
      <c r="N187">
        <v>108.35</v>
      </c>
      <c r="O187">
        <v>4</v>
      </c>
      <c r="P187" s="8">
        <f t="shared" si="2"/>
        <v>5.8471287935056585E-2</v>
      </c>
      <c r="Q187" t="str">
        <f t="array" ref="Q187:R187">VLOOKUP(A187,$X$3:$AA$330,{3,4},0)</f>
        <v>Indemnity</v>
      </c>
      <c r="R187" t="str">
        <v>Annual Aggregate</v>
      </c>
      <c r="X187" t="s">
        <v>475</v>
      </c>
      <c r="Y187">
        <v>177</v>
      </c>
      <c r="Z187" t="s">
        <v>32</v>
      </c>
      <c r="AA187" t="s">
        <v>33</v>
      </c>
    </row>
    <row r="188" spans="1:27">
      <c r="A188" t="s">
        <v>575</v>
      </c>
      <c r="B188">
        <v>222</v>
      </c>
      <c r="C188">
        <v>222</v>
      </c>
      <c r="D188" s="7" t="s">
        <v>576</v>
      </c>
      <c r="E188" s="7">
        <v>45792</v>
      </c>
      <c r="F188" s="7">
        <v>46887</v>
      </c>
      <c r="G188">
        <v>450000000</v>
      </c>
      <c r="H188" t="s">
        <v>570</v>
      </c>
      <c r="I188" t="s">
        <v>53</v>
      </c>
      <c r="K188">
        <v>1200000000</v>
      </c>
      <c r="L188" s="7">
        <v>46887</v>
      </c>
      <c r="M188" s="9">
        <v>8.7499999999999994E-2</v>
      </c>
      <c r="N188">
        <v>107.75</v>
      </c>
      <c r="O188">
        <v>4</v>
      </c>
      <c r="P188" s="8">
        <f t="shared" si="2"/>
        <v>5.1346131966244157E-2</v>
      </c>
      <c r="Q188" t="str">
        <f t="array" ref="Q188:R188">VLOOKUP(A188,$X$3:$AA$330,{3,4},0)</f>
        <v>Indemnity</v>
      </c>
      <c r="R188" t="str">
        <v>Annual Aggregate</v>
      </c>
      <c r="X188" t="s">
        <v>477</v>
      </c>
      <c r="Y188">
        <v>178</v>
      </c>
      <c r="Z188" t="s">
        <v>32</v>
      </c>
      <c r="AA188" t="s">
        <v>33</v>
      </c>
    </row>
    <row r="189" spans="1:27">
      <c r="A189" t="s">
        <v>577</v>
      </c>
      <c r="B189">
        <v>223</v>
      </c>
      <c r="C189">
        <v>223</v>
      </c>
      <c r="D189" s="7" t="s">
        <v>578</v>
      </c>
      <c r="E189" s="7">
        <v>45792</v>
      </c>
      <c r="F189" s="7">
        <v>46887</v>
      </c>
      <c r="G189">
        <v>475000000</v>
      </c>
      <c r="H189" t="s">
        <v>570</v>
      </c>
      <c r="I189" t="s">
        <v>53</v>
      </c>
      <c r="J189">
        <v>0</v>
      </c>
      <c r="K189">
        <v>1200000000</v>
      </c>
      <c r="L189" s="7">
        <v>46887</v>
      </c>
      <c r="M189" s="9">
        <v>9.7500000000000003E-2</v>
      </c>
      <c r="N189">
        <v>100</v>
      </c>
      <c r="O189">
        <v>4</v>
      </c>
      <c r="P189" s="8">
        <f t="shared" si="2"/>
        <v>9.7482060878507096E-2</v>
      </c>
      <c r="Q189" t="str">
        <f t="array" ref="Q189:R189">VLOOKUP(A189,$X$3:$AA$330,{3,4},0)</f>
        <v>Indemnity</v>
      </c>
      <c r="R189" t="str">
        <v>Annual Aggregate</v>
      </c>
      <c r="X189" t="s">
        <v>479</v>
      </c>
      <c r="Y189">
        <v>179</v>
      </c>
      <c r="Z189" t="s">
        <v>26</v>
      </c>
      <c r="AA189" t="s">
        <v>27</v>
      </c>
    </row>
    <row r="190" spans="1:27">
      <c r="A190" t="s">
        <v>579</v>
      </c>
      <c r="B190">
        <v>224</v>
      </c>
      <c r="C190">
        <v>224</v>
      </c>
      <c r="D190" s="7" t="s">
        <v>580</v>
      </c>
      <c r="E190" s="7">
        <v>45792</v>
      </c>
      <c r="F190" s="7">
        <v>46887</v>
      </c>
      <c r="G190">
        <v>375000000</v>
      </c>
      <c r="H190" t="s">
        <v>570</v>
      </c>
      <c r="I190" t="s">
        <v>53</v>
      </c>
      <c r="K190">
        <v>1200000000</v>
      </c>
      <c r="L190" s="7">
        <v>46887</v>
      </c>
      <c r="M190" s="9">
        <v>0.1125</v>
      </c>
      <c r="N190">
        <v>116</v>
      </c>
      <c r="O190">
        <v>4</v>
      </c>
      <c r="P190" s="8">
        <f t="shared" si="2"/>
        <v>3.8997824259910573E-2</v>
      </c>
      <c r="Q190" t="str">
        <f t="array" ref="Q190:R190">VLOOKUP(A190,$X$3:$AA$330,{3,4},0)</f>
        <v>Indemnity</v>
      </c>
      <c r="R190" t="str">
        <v>Annual Aggregate</v>
      </c>
      <c r="X190" t="s">
        <v>482</v>
      </c>
      <c r="Y190">
        <v>180</v>
      </c>
      <c r="Z190" t="s">
        <v>26</v>
      </c>
      <c r="AA190" t="s">
        <v>27</v>
      </c>
    </row>
    <row r="191" spans="1:27">
      <c r="A191" t="s">
        <v>581</v>
      </c>
      <c r="B191">
        <v>225</v>
      </c>
      <c r="C191">
        <v>225</v>
      </c>
      <c r="D191" s="7" t="s">
        <v>582</v>
      </c>
      <c r="E191" s="7">
        <v>45792</v>
      </c>
      <c r="F191" s="7">
        <v>46887</v>
      </c>
      <c r="G191">
        <v>225000000</v>
      </c>
      <c r="H191" t="s">
        <v>570</v>
      </c>
      <c r="I191" t="s">
        <v>53</v>
      </c>
      <c r="K191">
        <v>711000000</v>
      </c>
      <c r="L191" s="7">
        <v>46887</v>
      </c>
      <c r="M191" s="9">
        <v>0.13</v>
      </c>
      <c r="N191">
        <v>103.1</v>
      </c>
      <c r="O191">
        <v>4</v>
      </c>
      <c r="P191" s="8">
        <f t="shared" si="2"/>
        <v>0.11436950966817683</v>
      </c>
      <c r="Q191" t="str">
        <f t="array" ref="Q191:R191">VLOOKUP(A191,$X$3:$AA$330,{3,4},0)</f>
        <v>Indemnity</v>
      </c>
      <c r="R191" t="str">
        <v>Annual Aggregate</v>
      </c>
      <c r="X191" t="s">
        <v>484</v>
      </c>
      <c r="Y191">
        <v>181</v>
      </c>
      <c r="Z191" t="s">
        <v>26</v>
      </c>
      <c r="AA191" t="s">
        <v>33</v>
      </c>
    </row>
    <row r="192" spans="1:27">
      <c r="A192" t="s">
        <v>583</v>
      </c>
      <c r="B192">
        <v>226</v>
      </c>
      <c r="C192">
        <v>226</v>
      </c>
      <c r="D192" s="7" t="s">
        <v>584</v>
      </c>
      <c r="E192" s="7">
        <v>45301</v>
      </c>
      <c r="F192" s="7">
        <v>46387</v>
      </c>
      <c r="G192">
        <v>255000000</v>
      </c>
      <c r="H192" t="s">
        <v>585</v>
      </c>
      <c r="I192" t="s">
        <v>586</v>
      </c>
      <c r="J192">
        <v>0</v>
      </c>
      <c r="K192">
        <v>400000000</v>
      </c>
      <c r="L192" s="7">
        <v>46387</v>
      </c>
      <c r="M192" s="9">
        <v>4.02E-2</v>
      </c>
      <c r="N192">
        <v>101.25</v>
      </c>
      <c r="O192">
        <v>4</v>
      </c>
      <c r="P192" s="8">
        <f t="shared" si="2"/>
        <v>2.6345342368439523E-2</v>
      </c>
      <c r="Q192" t="str">
        <f t="array" ref="Q192:R192">VLOOKUP(A192,$X$3:$AA$330,{3,4},0)</f>
        <v>Indemnity</v>
      </c>
      <c r="R192" t="str">
        <v>Per Occurrence</v>
      </c>
      <c r="X192" t="s">
        <v>486</v>
      </c>
      <c r="Y192">
        <v>182</v>
      </c>
      <c r="Z192" t="s">
        <v>32</v>
      </c>
      <c r="AA192" t="s">
        <v>33</v>
      </c>
    </row>
    <row r="193" spans="1:27">
      <c r="A193" t="s">
        <v>587</v>
      </c>
      <c r="B193">
        <v>228</v>
      </c>
      <c r="C193">
        <v>228</v>
      </c>
      <c r="D193" s="7" t="s">
        <v>588</v>
      </c>
      <c r="E193" s="7">
        <v>45292</v>
      </c>
      <c r="F193" s="7">
        <v>46387</v>
      </c>
      <c r="G193">
        <v>300000000</v>
      </c>
      <c r="H193" t="s">
        <v>589</v>
      </c>
      <c r="I193" t="s">
        <v>81</v>
      </c>
      <c r="J193">
        <v>0</v>
      </c>
      <c r="K193">
        <v>511000000</v>
      </c>
      <c r="L193" s="7">
        <v>46387</v>
      </c>
      <c r="M193" s="9">
        <v>0.12</v>
      </c>
      <c r="N193">
        <v>103.15</v>
      </c>
      <c r="O193">
        <v>4</v>
      </c>
      <c r="P193" s="8">
        <f t="shared" si="2"/>
        <v>8.3860754763417367E-2</v>
      </c>
      <c r="Q193" t="str">
        <f t="array" ref="Q193:R193">VLOOKUP(A193,$X$3:$AA$330,{3,4},0)</f>
        <v>Industry Loss</v>
      </c>
      <c r="R193" t="str">
        <v>Per Occurrence</v>
      </c>
      <c r="X193" t="s">
        <v>488</v>
      </c>
      <c r="Y193">
        <v>183</v>
      </c>
      <c r="Z193" t="s">
        <v>32</v>
      </c>
      <c r="AA193" t="s">
        <v>33</v>
      </c>
    </row>
    <row r="194" spans="1:27">
      <c r="A194" t="s">
        <v>590</v>
      </c>
      <c r="B194">
        <v>229</v>
      </c>
      <c r="C194">
        <v>229</v>
      </c>
      <c r="D194" s="7" t="s">
        <v>591</v>
      </c>
      <c r="E194" s="7">
        <v>45748</v>
      </c>
      <c r="F194" s="7">
        <v>46843</v>
      </c>
      <c r="G194">
        <v>200000000</v>
      </c>
      <c r="H194" t="s">
        <v>592</v>
      </c>
      <c r="I194" t="s">
        <v>114</v>
      </c>
      <c r="K194">
        <v>200000000</v>
      </c>
      <c r="L194" s="7">
        <v>46843</v>
      </c>
      <c r="M194" s="9">
        <v>0.05</v>
      </c>
      <c r="N194">
        <v>102.35</v>
      </c>
      <c r="O194">
        <v>4</v>
      </c>
      <c r="P194" s="8">
        <f t="shared" si="2"/>
        <v>3.8634839003497699E-2</v>
      </c>
      <c r="Q194" t="str">
        <f t="array" ref="Q194:R194">VLOOKUP(A194,$X$3:$AA$330,{3,4},0)</f>
        <v>Industry Loss</v>
      </c>
      <c r="R194" t="str">
        <v>Per Occurrence</v>
      </c>
      <c r="X194" t="s">
        <v>490</v>
      </c>
      <c r="Y194">
        <v>184</v>
      </c>
      <c r="Z194" t="s">
        <v>32</v>
      </c>
      <c r="AA194" t="s">
        <v>33</v>
      </c>
    </row>
    <row r="195" spans="1:27">
      <c r="A195" t="s">
        <v>593</v>
      </c>
      <c r="B195">
        <v>230</v>
      </c>
      <c r="C195">
        <v>230</v>
      </c>
      <c r="D195" s="7" t="s">
        <v>594</v>
      </c>
      <c r="E195" s="7">
        <v>45809</v>
      </c>
      <c r="F195" s="7">
        <v>46880</v>
      </c>
      <c r="G195">
        <v>75000000</v>
      </c>
      <c r="H195" t="s">
        <v>595</v>
      </c>
      <c r="I195" t="s">
        <v>596</v>
      </c>
      <c r="K195">
        <v>100000000</v>
      </c>
      <c r="L195" s="7">
        <v>46880</v>
      </c>
      <c r="M195" s="9">
        <v>0.06</v>
      </c>
      <c r="N195">
        <v>105.6</v>
      </c>
      <c r="O195">
        <v>4</v>
      </c>
      <c r="P195" s="8">
        <f t="shared" ref="P195:P258" si="3">YIELD($O$1,L195,M195,N195,$P$1,O195)</f>
        <v>3.4216378413057039E-2</v>
      </c>
      <c r="Q195" t="str">
        <f t="array" ref="Q195:R195">VLOOKUP(A195,$X$3:$AA$330,{3,4},0)</f>
        <v>Indemnity</v>
      </c>
      <c r="R195" t="str">
        <v>Per Occurrence</v>
      </c>
      <c r="X195" t="s">
        <v>493</v>
      </c>
      <c r="Y195">
        <v>185</v>
      </c>
      <c r="Z195" t="s">
        <v>32</v>
      </c>
      <c r="AA195" t="s">
        <v>33</v>
      </c>
    </row>
    <row r="196" spans="1:27">
      <c r="A196" t="s">
        <v>597</v>
      </c>
      <c r="B196">
        <v>231</v>
      </c>
      <c r="C196">
        <v>231</v>
      </c>
      <c r="D196" s="7" t="s">
        <v>598</v>
      </c>
      <c r="E196" s="7">
        <v>45444</v>
      </c>
      <c r="F196" s="7">
        <v>46538</v>
      </c>
      <c r="G196">
        <v>150000000</v>
      </c>
      <c r="H196" t="s">
        <v>599</v>
      </c>
      <c r="I196" t="s">
        <v>53</v>
      </c>
      <c r="K196">
        <v>300000000</v>
      </c>
      <c r="L196" s="7">
        <v>46538</v>
      </c>
      <c r="M196" s="9">
        <v>9.7000000000000003E-2</v>
      </c>
      <c r="N196">
        <v>103</v>
      </c>
      <c r="O196">
        <v>4</v>
      </c>
      <c r="P196" s="8">
        <f t="shared" si="3"/>
        <v>7.3141318494445134E-2</v>
      </c>
      <c r="Q196" t="str">
        <f t="array" ref="Q196:R196">VLOOKUP(A196,$X$3:$AA$330,{3,4},0)</f>
        <v>Indemnity</v>
      </c>
      <c r="R196" t="str">
        <v>Per Occurrence</v>
      </c>
      <c r="X196" t="s">
        <v>600</v>
      </c>
      <c r="Y196">
        <v>186</v>
      </c>
      <c r="Z196" t="s">
        <v>32</v>
      </c>
      <c r="AA196" t="s">
        <v>33</v>
      </c>
    </row>
    <row r="197" spans="1:27">
      <c r="A197" t="s">
        <v>601</v>
      </c>
      <c r="B197">
        <v>232</v>
      </c>
      <c r="C197">
        <v>232</v>
      </c>
      <c r="D197" s="7" t="s">
        <v>602</v>
      </c>
      <c r="E197" s="7">
        <v>45444</v>
      </c>
      <c r="F197" s="7">
        <v>46439</v>
      </c>
      <c r="G197">
        <v>250000000</v>
      </c>
      <c r="H197" t="s">
        <v>603</v>
      </c>
      <c r="I197" t="s">
        <v>53</v>
      </c>
      <c r="J197">
        <v>0</v>
      </c>
      <c r="K197">
        <v>250000000</v>
      </c>
      <c r="L197" s="7">
        <v>46439</v>
      </c>
      <c r="M197" s="9">
        <v>0.1021</v>
      </c>
      <c r="N197">
        <v>102.9</v>
      </c>
      <c r="O197">
        <v>4</v>
      </c>
      <c r="P197" s="8">
        <f t="shared" si="3"/>
        <v>7.3259828195934934E-2</v>
      </c>
      <c r="Q197" t="str">
        <f t="array" ref="Q197:R197">VLOOKUP(A197,$X$3:$AA$330,{3,4},0)</f>
        <v>Indemnity</v>
      </c>
      <c r="R197" t="str">
        <v>Per Occurrence</v>
      </c>
      <c r="X197" t="s">
        <v>497</v>
      </c>
      <c r="Y197">
        <v>187</v>
      </c>
      <c r="Z197" t="s">
        <v>32</v>
      </c>
      <c r="AA197" t="s">
        <v>33</v>
      </c>
    </row>
    <row r="198" spans="1:27">
      <c r="A198" t="s">
        <v>604</v>
      </c>
      <c r="B198">
        <v>233</v>
      </c>
      <c r="C198">
        <v>233</v>
      </c>
      <c r="D198" s="7" t="s">
        <v>605</v>
      </c>
      <c r="E198" s="7">
        <v>45444</v>
      </c>
      <c r="F198" s="7">
        <v>46439</v>
      </c>
      <c r="G198">
        <v>150000000</v>
      </c>
      <c r="H198" t="s">
        <v>603</v>
      </c>
      <c r="I198" t="s">
        <v>53</v>
      </c>
      <c r="J198">
        <v>0</v>
      </c>
      <c r="K198">
        <v>200000000</v>
      </c>
      <c r="L198" s="7">
        <v>46439</v>
      </c>
      <c r="M198" s="9">
        <v>0.1169</v>
      </c>
      <c r="N198">
        <v>107.2</v>
      </c>
      <c r="O198">
        <v>4</v>
      </c>
      <c r="P198" s="8">
        <f t="shared" si="3"/>
        <v>4.6574226669147553E-2</v>
      </c>
      <c r="Q198" t="str">
        <f t="array" ref="Q198:R198">VLOOKUP(A198,$X$3:$AA$330,{3,4},0)</f>
        <v>Indemnity</v>
      </c>
      <c r="R198" t="str">
        <v>Per Occurrence</v>
      </c>
      <c r="X198" t="s">
        <v>501</v>
      </c>
      <c r="Y198">
        <v>188</v>
      </c>
      <c r="Z198" t="s">
        <v>32</v>
      </c>
      <c r="AA198" t="s">
        <v>33</v>
      </c>
    </row>
    <row r="199" spans="1:27">
      <c r="A199" t="s">
        <v>606</v>
      </c>
      <c r="B199">
        <v>234</v>
      </c>
      <c r="C199">
        <v>234</v>
      </c>
      <c r="D199" s="7" t="s">
        <v>607</v>
      </c>
      <c r="E199" s="7">
        <v>45809</v>
      </c>
      <c r="F199" s="7">
        <v>46796</v>
      </c>
      <c r="G199">
        <v>175000000</v>
      </c>
      <c r="H199" t="s">
        <v>603</v>
      </c>
      <c r="I199" t="s">
        <v>53</v>
      </c>
      <c r="J199">
        <v>0</v>
      </c>
      <c r="K199">
        <v>200000000</v>
      </c>
      <c r="L199" s="7">
        <v>46796</v>
      </c>
      <c r="M199" s="9">
        <v>6.5000000000000002E-2</v>
      </c>
      <c r="N199">
        <v>99.000846999999993</v>
      </c>
      <c r="O199">
        <v>4</v>
      </c>
      <c r="P199" s="8">
        <f t="shared" si="3"/>
        <v>7.0307738157950467E-2</v>
      </c>
      <c r="Q199" t="str">
        <f t="array" ref="Q199:R199">VLOOKUP(A199,$X$3:$AA$330,{3,4},0)</f>
        <v>Indemnity</v>
      </c>
      <c r="R199" t="str">
        <v>Per Occurrence</v>
      </c>
      <c r="X199" t="s">
        <v>608</v>
      </c>
      <c r="Y199">
        <v>189</v>
      </c>
      <c r="Z199" t="s">
        <v>26</v>
      </c>
      <c r="AA199" t="s">
        <v>33</v>
      </c>
    </row>
    <row r="200" spans="1:27">
      <c r="A200" t="s">
        <v>609</v>
      </c>
      <c r="B200">
        <v>235</v>
      </c>
      <c r="C200">
        <v>235</v>
      </c>
      <c r="D200" s="7" t="s">
        <v>610</v>
      </c>
      <c r="E200" s="7">
        <v>45809</v>
      </c>
      <c r="F200" s="7">
        <v>46904</v>
      </c>
      <c r="G200">
        <v>250000000</v>
      </c>
      <c r="H200" t="s">
        <v>599</v>
      </c>
      <c r="I200" t="s">
        <v>53</v>
      </c>
      <c r="K200">
        <v>400000000</v>
      </c>
      <c r="L200" s="7">
        <v>46904</v>
      </c>
      <c r="M200" s="9">
        <v>7.7499999999999999E-2</v>
      </c>
      <c r="N200">
        <v>99.014825999999999</v>
      </c>
      <c r="O200">
        <v>4</v>
      </c>
      <c r="P200" s="8">
        <f t="shared" si="3"/>
        <v>8.2162073313230471E-2</v>
      </c>
      <c r="Q200" t="str">
        <f t="array" ref="Q200:R200">VLOOKUP(A200,$X$3:$AA$330,{3,4},0)</f>
        <v>Indemnity</v>
      </c>
      <c r="R200" t="str">
        <v>Per Occurrence</v>
      </c>
      <c r="X200" t="s">
        <v>505</v>
      </c>
      <c r="Y200">
        <v>190</v>
      </c>
      <c r="Z200" t="s">
        <v>26</v>
      </c>
      <c r="AA200" t="s">
        <v>27</v>
      </c>
    </row>
    <row r="201" spans="1:27">
      <c r="A201" t="s">
        <v>611</v>
      </c>
      <c r="B201">
        <v>236</v>
      </c>
      <c r="C201">
        <v>236</v>
      </c>
      <c r="D201" s="7" t="s">
        <v>612</v>
      </c>
      <c r="E201" s="7">
        <v>45108</v>
      </c>
      <c r="F201" s="7">
        <v>46326</v>
      </c>
      <c r="G201">
        <v>150000000</v>
      </c>
      <c r="H201" t="s">
        <v>613</v>
      </c>
      <c r="I201" t="s">
        <v>614</v>
      </c>
      <c r="J201">
        <v>0</v>
      </c>
      <c r="K201">
        <v>150000000</v>
      </c>
      <c r="L201" s="7">
        <v>46326</v>
      </c>
      <c r="M201" s="9">
        <v>4.3499999999999997E-2</v>
      </c>
      <c r="N201">
        <v>98.982583000000005</v>
      </c>
      <c r="O201">
        <v>4</v>
      </c>
      <c r="P201" s="8">
        <f t="shared" si="3"/>
        <v>5.7457131758081759E-2</v>
      </c>
      <c r="Q201" t="str">
        <f t="array" ref="Q201:R201">VLOOKUP(A201,$X$3:$AA$330,{3,4},0)</f>
        <v>1st Gen Parametric</v>
      </c>
      <c r="R201" t="str">
        <v>Per Occurrence</v>
      </c>
      <c r="X201" t="s">
        <v>508</v>
      </c>
      <c r="Y201">
        <v>191</v>
      </c>
      <c r="Z201" t="s">
        <v>26</v>
      </c>
      <c r="AA201" t="s">
        <v>27</v>
      </c>
    </row>
    <row r="202" spans="1:27">
      <c r="A202" t="s">
        <v>615</v>
      </c>
      <c r="B202">
        <v>237</v>
      </c>
      <c r="C202">
        <v>237</v>
      </c>
      <c r="D202" s="7" t="s">
        <v>616</v>
      </c>
      <c r="E202" s="7">
        <v>45597</v>
      </c>
      <c r="F202" s="7">
        <v>46691</v>
      </c>
      <c r="G202">
        <v>225000000</v>
      </c>
      <c r="H202" t="s">
        <v>613</v>
      </c>
      <c r="I202" t="s">
        <v>617</v>
      </c>
      <c r="J202">
        <v>0</v>
      </c>
      <c r="K202">
        <v>225000000</v>
      </c>
      <c r="L202" s="7">
        <v>46691</v>
      </c>
      <c r="M202" s="9">
        <v>3.1E-2</v>
      </c>
      <c r="N202">
        <v>98.985917000000001</v>
      </c>
      <c r="O202">
        <v>4</v>
      </c>
      <c r="P202" s="8">
        <f t="shared" si="3"/>
        <v>3.7011206251393494E-2</v>
      </c>
      <c r="Q202" t="str">
        <f t="array" ref="Q202:R202">VLOOKUP(A202,$X$3:$AA$330,{3,4},0)</f>
        <v>1st Gen Parametric</v>
      </c>
      <c r="R202" t="str">
        <v>Per Occurrence</v>
      </c>
      <c r="X202" t="s">
        <v>511</v>
      </c>
      <c r="Y202">
        <v>192</v>
      </c>
      <c r="Z202" t="s">
        <v>26</v>
      </c>
      <c r="AA202" t="s">
        <v>27</v>
      </c>
    </row>
    <row r="203" spans="1:27">
      <c r="A203" t="s">
        <v>618</v>
      </c>
      <c r="B203">
        <v>241</v>
      </c>
      <c r="C203">
        <v>241</v>
      </c>
      <c r="D203" s="7" t="s">
        <v>619</v>
      </c>
      <c r="E203" s="7">
        <v>45818</v>
      </c>
      <c r="F203" s="7">
        <v>46904</v>
      </c>
      <c r="G203">
        <v>400000000</v>
      </c>
      <c r="H203" t="s">
        <v>620</v>
      </c>
      <c r="I203" t="s">
        <v>304</v>
      </c>
      <c r="K203">
        <v>400000000</v>
      </c>
      <c r="L203" s="7">
        <v>46904</v>
      </c>
      <c r="M203" s="9">
        <v>0.09</v>
      </c>
      <c r="N203">
        <v>98.938749999999999</v>
      </c>
      <c r="O203">
        <v>4</v>
      </c>
      <c r="P203" s="8">
        <f t="shared" si="3"/>
        <v>9.5096698647482145E-2</v>
      </c>
      <c r="Q203" t="str">
        <f t="array" ref="Q203:R203">VLOOKUP(A203,$X$3:$AA$330,{3,4},0)</f>
        <v>Indemnity</v>
      </c>
      <c r="R203" t="str">
        <v>Annual Aggregate</v>
      </c>
      <c r="X203" t="s">
        <v>514</v>
      </c>
      <c r="Y203">
        <v>193</v>
      </c>
      <c r="Z203" t="s">
        <v>32</v>
      </c>
      <c r="AA203" t="s">
        <v>492</v>
      </c>
    </row>
    <row r="204" spans="1:27">
      <c r="A204" t="s">
        <v>621</v>
      </c>
      <c r="B204">
        <v>242</v>
      </c>
      <c r="C204">
        <v>242</v>
      </c>
      <c r="D204" s="7" t="s">
        <v>622</v>
      </c>
      <c r="E204" s="7">
        <v>45216</v>
      </c>
      <c r="F204" s="7">
        <v>46356</v>
      </c>
      <c r="G204">
        <v>230000000</v>
      </c>
      <c r="H204" t="s">
        <v>623</v>
      </c>
      <c r="I204" t="s">
        <v>304</v>
      </c>
      <c r="J204">
        <v>0</v>
      </c>
      <c r="K204">
        <v>500000000</v>
      </c>
      <c r="L204" s="7">
        <v>46356</v>
      </c>
      <c r="M204" s="9">
        <v>9.2499999999999999E-2</v>
      </c>
      <c r="N204">
        <v>98.933278000000001</v>
      </c>
      <c r="O204">
        <v>4</v>
      </c>
      <c r="P204" s="8">
        <f t="shared" si="3"/>
        <v>0.10595739982150937</v>
      </c>
      <c r="Q204" t="str">
        <f t="array" ref="Q204:R204">VLOOKUP(A204,$X$3:$AA$330,{3,4},0)</f>
        <v>Indemnity</v>
      </c>
      <c r="R204" t="str">
        <v>Annual Aggregate</v>
      </c>
      <c r="X204" t="s">
        <v>624</v>
      </c>
      <c r="Y204">
        <v>194</v>
      </c>
      <c r="Z204" t="s">
        <v>32</v>
      </c>
      <c r="AA204" t="s">
        <v>492</v>
      </c>
    </row>
    <row r="205" spans="1:27">
      <c r="A205" t="s">
        <v>625</v>
      </c>
      <c r="B205">
        <v>243</v>
      </c>
      <c r="C205">
        <v>243</v>
      </c>
      <c r="D205" s="7" t="s">
        <v>626</v>
      </c>
      <c r="E205" s="7">
        <v>45265</v>
      </c>
      <c r="F205" s="7">
        <v>46356</v>
      </c>
      <c r="G205">
        <v>300000000</v>
      </c>
      <c r="H205" t="s">
        <v>623</v>
      </c>
      <c r="I205" t="s">
        <v>304</v>
      </c>
      <c r="J205">
        <v>0</v>
      </c>
      <c r="K205">
        <v>1000000000</v>
      </c>
      <c r="L205" s="7">
        <v>46356</v>
      </c>
      <c r="M205" s="9">
        <v>5.5E-2</v>
      </c>
      <c r="N205">
        <v>98.908541999999997</v>
      </c>
      <c r="O205">
        <v>4</v>
      </c>
      <c r="P205" s="8">
        <f t="shared" si="3"/>
        <v>6.8554720272275063E-2</v>
      </c>
      <c r="Q205" t="str">
        <f t="array" ref="Q205:R205">VLOOKUP(A205,$X$3:$AA$330,{3,4},0)</f>
        <v>Indemnity</v>
      </c>
      <c r="R205" t="str">
        <v>Annual Aggregate</v>
      </c>
      <c r="X205" t="s">
        <v>627</v>
      </c>
      <c r="Y205">
        <v>195</v>
      </c>
      <c r="Z205" t="s">
        <v>32</v>
      </c>
      <c r="AA205" t="s">
        <v>33</v>
      </c>
    </row>
    <row r="206" spans="1:27">
      <c r="A206" t="s">
        <v>628</v>
      </c>
      <c r="B206">
        <v>244</v>
      </c>
      <c r="C206">
        <v>244</v>
      </c>
      <c r="D206" s="7" t="s">
        <v>629</v>
      </c>
      <c r="E206" s="7">
        <v>45265</v>
      </c>
      <c r="F206" s="7">
        <v>46356</v>
      </c>
      <c r="G206">
        <v>350000000</v>
      </c>
      <c r="H206" t="s">
        <v>623</v>
      </c>
      <c r="I206" t="s">
        <v>304</v>
      </c>
      <c r="J206">
        <v>0</v>
      </c>
      <c r="K206">
        <v>500000000</v>
      </c>
      <c r="L206" s="7">
        <v>46356</v>
      </c>
      <c r="M206" s="9">
        <v>8.7499999999999994E-2</v>
      </c>
      <c r="N206">
        <v>98.920277999999996</v>
      </c>
      <c r="O206">
        <v>4</v>
      </c>
      <c r="P206" s="8">
        <f t="shared" si="3"/>
        <v>0.10109613161172952</v>
      </c>
      <c r="Q206" t="str">
        <f t="array" ref="Q206:R206">VLOOKUP(A206,$X$3:$AA$330,{3,4},0)</f>
        <v>Indemnity</v>
      </c>
      <c r="R206" t="str">
        <v>Annual Aggregate</v>
      </c>
      <c r="X206" t="s">
        <v>630</v>
      </c>
      <c r="Y206">
        <v>196</v>
      </c>
      <c r="Z206" t="s">
        <v>32</v>
      </c>
      <c r="AA206" t="s">
        <v>33</v>
      </c>
    </row>
    <row r="207" spans="1:27">
      <c r="A207" t="s">
        <v>631</v>
      </c>
      <c r="B207">
        <v>247</v>
      </c>
      <c r="C207">
        <v>247</v>
      </c>
      <c r="D207" s="7" t="s">
        <v>632</v>
      </c>
      <c r="E207" s="7">
        <v>45703</v>
      </c>
      <c r="F207" s="7">
        <v>46797</v>
      </c>
      <c r="G207">
        <v>400000000</v>
      </c>
      <c r="H207" t="s">
        <v>623</v>
      </c>
      <c r="I207" t="s">
        <v>304</v>
      </c>
      <c r="J207">
        <v>0</v>
      </c>
      <c r="K207">
        <v>500000000</v>
      </c>
      <c r="L207" s="7">
        <v>46797</v>
      </c>
      <c r="M207" s="9">
        <v>7.4999999999999997E-2</v>
      </c>
      <c r="N207">
        <v>98.954999999999998</v>
      </c>
      <c r="O207">
        <v>4</v>
      </c>
      <c r="P207" s="8">
        <f t="shared" si="3"/>
        <v>8.0603975710409614E-2</v>
      </c>
      <c r="Q207" t="str">
        <f t="array" ref="Q207:R207">VLOOKUP(A207,$X$3:$AA$330,{3,4},0)</f>
        <v>Indemnity</v>
      </c>
      <c r="R207" t="str">
        <v>Annual Aggregate</v>
      </c>
      <c r="X207" t="s">
        <v>517</v>
      </c>
      <c r="Y207">
        <v>197</v>
      </c>
      <c r="Z207" t="s">
        <v>32</v>
      </c>
      <c r="AA207" t="s">
        <v>33</v>
      </c>
    </row>
    <row r="208" spans="1:27">
      <c r="A208" t="s">
        <v>633</v>
      </c>
      <c r="B208">
        <v>248</v>
      </c>
      <c r="C208">
        <v>248</v>
      </c>
      <c r="D208" s="7" t="s">
        <v>634</v>
      </c>
      <c r="E208" s="7">
        <v>44927</v>
      </c>
      <c r="F208" s="7">
        <v>46112</v>
      </c>
      <c r="G208">
        <v>110000000</v>
      </c>
      <c r="H208" t="s">
        <v>635</v>
      </c>
      <c r="I208" t="s">
        <v>81</v>
      </c>
      <c r="J208">
        <v>0</v>
      </c>
      <c r="K208">
        <v>87000000</v>
      </c>
      <c r="L208" s="7">
        <v>46112</v>
      </c>
      <c r="M208" s="9">
        <v>0.13400000000000001</v>
      </c>
      <c r="N208">
        <v>99.988167000000004</v>
      </c>
      <c r="O208">
        <v>4</v>
      </c>
      <c r="P208" s="8">
        <f t="shared" si="3"/>
        <v>0.13323792257462846</v>
      </c>
      <c r="Q208" t="str">
        <f t="array" ref="Q208:R208">VLOOKUP(A208,$X$3:$AA$330,{3,4},0)</f>
        <v>Industry Loss</v>
      </c>
      <c r="R208" t="str">
        <v>Annual Aggregate</v>
      </c>
      <c r="X208" t="s">
        <v>522</v>
      </c>
      <c r="Y208">
        <v>198</v>
      </c>
      <c r="Z208" t="s">
        <v>32</v>
      </c>
      <c r="AA208" t="s">
        <v>636</v>
      </c>
    </row>
    <row r="209" spans="1:27">
      <c r="A209" t="s">
        <v>637</v>
      </c>
      <c r="B209">
        <v>249</v>
      </c>
      <c r="C209">
        <v>249</v>
      </c>
      <c r="D209" s="7" t="s">
        <v>638</v>
      </c>
      <c r="E209" s="7">
        <v>45078</v>
      </c>
      <c r="F209" s="7">
        <v>46538</v>
      </c>
      <c r="G209">
        <v>225000000</v>
      </c>
      <c r="H209" t="s">
        <v>639</v>
      </c>
      <c r="I209" t="s">
        <v>640</v>
      </c>
      <c r="K209">
        <v>272000000</v>
      </c>
      <c r="L209" s="7">
        <v>46538</v>
      </c>
      <c r="M209" s="9">
        <v>8.7499999999999994E-2</v>
      </c>
      <c r="N209">
        <v>99.905332999999999</v>
      </c>
      <c r="O209">
        <v>4</v>
      </c>
      <c r="P209" s="8">
        <f t="shared" si="3"/>
        <v>8.8217730730238461E-2</v>
      </c>
      <c r="Q209" t="str">
        <f t="array" ref="Q209:R209">VLOOKUP(A209,$X$3:$AA$330,{3,4},0)</f>
        <v>Indemnity</v>
      </c>
      <c r="R209" t="str">
        <v>Per Occurrence</v>
      </c>
      <c r="X209" t="s">
        <v>525</v>
      </c>
      <c r="Y209">
        <v>199</v>
      </c>
      <c r="Z209" t="s">
        <v>32</v>
      </c>
      <c r="AA209" t="s">
        <v>33</v>
      </c>
    </row>
    <row r="210" spans="1:27">
      <c r="A210" t="s">
        <v>641</v>
      </c>
      <c r="B210">
        <v>250</v>
      </c>
      <c r="C210">
        <v>250</v>
      </c>
      <c r="D210" s="7" t="s">
        <v>642</v>
      </c>
      <c r="E210" s="7">
        <v>44993</v>
      </c>
      <c r="F210" s="7">
        <v>46088</v>
      </c>
      <c r="G210">
        <v>225000000</v>
      </c>
      <c r="H210" t="s">
        <v>30</v>
      </c>
      <c r="I210" t="s">
        <v>31</v>
      </c>
      <c r="J210">
        <v>0</v>
      </c>
      <c r="K210">
        <v>2465000000</v>
      </c>
      <c r="L210" s="7">
        <v>46088</v>
      </c>
      <c r="M210" s="9">
        <v>0.17150000000000001</v>
      </c>
      <c r="N210">
        <v>99.021319000000005</v>
      </c>
      <c r="O210">
        <v>4</v>
      </c>
      <c r="P210" s="8">
        <f t="shared" si="3"/>
        <v>0.25797620727406578</v>
      </c>
      <c r="Q210" t="str">
        <f t="array" ref="Q210:R210">VLOOKUP(A210,$X$3:$AA$330,{3,4},0)</f>
        <v>Indemnity</v>
      </c>
      <c r="R210" t="str">
        <v>Per Occurrence</v>
      </c>
      <c r="X210" t="s">
        <v>528</v>
      </c>
      <c r="Y210">
        <v>200</v>
      </c>
      <c r="Z210" t="s">
        <v>32</v>
      </c>
      <c r="AA210" t="s">
        <v>33</v>
      </c>
    </row>
    <row r="211" spans="1:27">
      <c r="A211" t="s">
        <v>643</v>
      </c>
      <c r="B211">
        <v>251</v>
      </c>
      <c r="C211">
        <v>251</v>
      </c>
      <c r="D211" s="7" t="s">
        <v>644</v>
      </c>
      <c r="E211" s="7">
        <v>44993</v>
      </c>
      <c r="F211" s="7">
        <v>46088</v>
      </c>
      <c r="G211">
        <v>50000000</v>
      </c>
      <c r="H211" t="s">
        <v>30</v>
      </c>
      <c r="I211" t="s">
        <v>31</v>
      </c>
      <c r="J211">
        <v>0</v>
      </c>
      <c r="K211">
        <v>1516000000</v>
      </c>
      <c r="L211" s="7">
        <v>46088</v>
      </c>
      <c r="M211" s="9">
        <v>0.224</v>
      </c>
      <c r="N211">
        <v>99.014583000000002</v>
      </c>
      <c r="O211">
        <v>4</v>
      </c>
      <c r="P211" s="8">
        <f t="shared" si="3"/>
        <v>0.30654518686220933</v>
      </c>
      <c r="Q211" t="str">
        <f t="array" ref="Q211:R211">VLOOKUP(A211,$X$3:$AA$330,{3,4},0)</f>
        <v>Indemnity</v>
      </c>
      <c r="R211" t="str">
        <v>Per Occurrence</v>
      </c>
      <c r="X211" t="s">
        <v>530</v>
      </c>
      <c r="Y211">
        <v>201</v>
      </c>
      <c r="Z211" t="s">
        <v>32</v>
      </c>
      <c r="AA211" t="s">
        <v>33</v>
      </c>
    </row>
    <row r="212" spans="1:27">
      <c r="A212" t="s">
        <v>645</v>
      </c>
      <c r="B212">
        <v>252</v>
      </c>
      <c r="C212">
        <v>252</v>
      </c>
      <c r="D212" s="7" t="s">
        <v>29</v>
      </c>
      <c r="E212" s="7">
        <v>45359</v>
      </c>
      <c r="F212" s="7">
        <v>46453</v>
      </c>
      <c r="G212">
        <v>475000000</v>
      </c>
      <c r="H212" t="s">
        <v>30</v>
      </c>
      <c r="I212" t="s">
        <v>31</v>
      </c>
      <c r="J212">
        <v>0</v>
      </c>
      <c r="K212">
        <v>2000000000</v>
      </c>
      <c r="L212" s="7">
        <v>46453</v>
      </c>
      <c r="M212" s="9">
        <v>0.14360000000000001</v>
      </c>
      <c r="N212">
        <v>99.646944000000005</v>
      </c>
      <c r="O212">
        <v>4</v>
      </c>
      <c r="P212" s="8">
        <f t="shared" si="3"/>
        <v>0.14697871962876677</v>
      </c>
      <c r="Q212" t="str">
        <f t="array" ref="Q212:R212">VLOOKUP(A212,$X$3:$AA$330,{3,4},0)</f>
        <v>Indemnity</v>
      </c>
      <c r="R212" t="str">
        <v>Per Occurrence</v>
      </c>
      <c r="X212" t="s">
        <v>532</v>
      </c>
      <c r="Y212">
        <v>202</v>
      </c>
      <c r="Z212" t="s">
        <v>32</v>
      </c>
      <c r="AA212" t="s">
        <v>33</v>
      </c>
    </row>
    <row r="213" spans="1:27">
      <c r="A213" t="s">
        <v>646</v>
      </c>
      <c r="B213">
        <v>253</v>
      </c>
      <c r="C213">
        <v>253</v>
      </c>
      <c r="D213" s="7" t="s">
        <v>647</v>
      </c>
      <c r="E213" s="7">
        <v>45359</v>
      </c>
      <c r="F213" s="7">
        <v>46453</v>
      </c>
      <c r="G213">
        <v>100000000</v>
      </c>
      <c r="H213" t="s">
        <v>30</v>
      </c>
      <c r="I213" t="s">
        <v>31</v>
      </c>
      <c r="J213">
        <v>0</v>
      </c>
      <c r="K213">
        <v>1000000000</v>
      </c>
      <c r="L213" s="7">
        <v>46453</v>
      </c>
      <c r="M213" s="9">
        <v>0.17630000000000001</v>
      </c>
      <c r="N213">
        <v>99.648235999999997</v>
      </c>
      <c r="O213">
        <v>4</v>
      </c>
      <c r="P213" s="8">
        <f t="shared" si="3"/>
        <v>0.17965746216644635</v>
      </c>
      <c r="Q213" t="str">
        <f t="array" ref="Q213:R213">VLOOKUP(A213,$X$3:$AA$330,{3,4},0)</f>
        <v>Indemnity</v>
      </c>
      <c r="R213" t="str">
        <v>Per Occurrence</v>
      </c>
      <c r="X213" t="s">
        <v>534</v>
      </c>
      <c r="Y213">
        <v>203</v>
      </c>
      <c r="Z213" t="s">
        <v>32</v>
      </c>
      <c r="AA213" t="s">
        <v>33</v>
      </c>
    </row>
    <row r="214" spans="1:27">
      <c r="A214" t="s">
        <v>648</v>
      </c>
      <c r="B214">
        <v>254</v>
      </c>
      <c r="C214">
        <v>254</v>
      </c>
      <c r="D214" s="7" t="s">
        <v>649</v>
      </c>
      <c r="E214" s="7">
        <v>45292</v>
      </c>
      <c r="F214" s="7">
        <v>46387</v>
      </c>
      <c r="G214">
        <v>200000000</v>
      </c>
      <c r="H214" t="s">
        <v>650</v>
      </c>
      <c r="I214" t="s">
        <v>651</v>
      </c>
      <c r="K214">
        <v>301000000</v>
      </c>
      <c r="L214" s="7">
        <v>46387</v>
      </c>
      <c r="M214" s="9">
        <v>6.25E-2</v>
      </c>
      <c r="N214">
        <v>99.570389000000006</v>
      </c>
      <c r="O214">
        <v>4</v>
      </c>
      <c r="P214" s="8">
        <f t="shared" si="3"/>
        <v>6.7339290125844498E-2</v>
      </c>
      <c r="Q214" t="str">
        <f t="array" ref="Q214:R214">VLOOKUP(A214,$X$3:$AA$330,{3,4},0)</f>
        <v>Indemnity</v>
      </c>
      <c r="R214" t="str">
        <v>Per Occurrence</v>
      </c>
      <c r="X214" t="s">
        <v>652</v>
      </c>
      <c r="Y214">
        <v>204</v>
      </c>
      <c r="Z214" t="s">
        <v>32</v>
      </c>
      <c r="AA214" t="s">
        <v>33</v>
      </c>
    </row>
    <row r="215" spans="1:27">
      <c r="A215" t="s">
        <v>653</v>
      </c>
      <c r="B215">
        <v>255</v>
      </c>
      <c r="C215">
        <v>255</v>
      </c>
      <c r="D215" s="7" t="s">
        <v>654</v>
      </c>
      <c r="E215" s="7">
        <v>45492</v>
      </c>
      <c r="F215" s="7">
        <v>46568</v>
      </c>
      <c r="G215">
        <v>150000000</v>
      </c>
      <c r="H215" t="s">
        <v>655</v>
      </c>
      <c r="I215" t="s">
        <v>430</v>
      </c>
      <c r="K215">
        <v>150000000</v>
      </c>
      <c r="L215" s="7">
        <v>46568</v>
      </c>
      <c r="M215" s="9">
        <v>7.8299999999999995E-2</v>
      </c>
      <c r="N215">
        <v>99.498889000000005</v>
      </c>
      <c r="O215">
        <v>4</v>
      </c>
      <c r="P215" s="8">
        <f t="shared" si="3"/>
        <v>8.2049630268391585E-2</v>
      </c>
      <c r="Q215" t="str">
        <f t="array" ref="Q215:R215">VLOOKUP(A215,$X$3:$AA$330,{3,4},0)</f>
        <v>Indemnity</v>
      </c>
      <c r="R215" t="str">
        <v>Annual Aggregate</v>
      </c>
      <c r="X215" t="s">
        <v>656</v>
      </c>
      <c r="Y215">
        <v>205</v>
      </c>
      <c r="Z215" t="s">
        <v>32</v>
      </c>
      <c r="AA215" t="s">
        <v>33</v>
      </c>
    </row>
    <row r="216" spans="1:27">
      <c r="A216" t="s">
        <v>657</v>
      </c>
      <c r="B216">
        <v>256</v>
      </c>
      <c r="C216">
        <v>256</v>
      </c>
      <c r="D216" s="7" t="s">
        <v>658</v>
      </c>
      <c r="E216" s="7">
        <v>45384</v>
      </c>
      <c r="F216" s="7">
        <v>46477</v>
      </c>
      <c r="G216">
        <v>100000000</v>
      </c>
      <c r="H216" t="s">
        <v>659</v>
      </c>
      <c r="I216" t="s">
        <v>660</v>
      </c>
      <c r="K216">
        <v>100000000</v>
      </c>
      <c r="L216" s="7">
        <v>46477</v>
      </c>
      <c r="M216" s="9">
        <v>8.5199999999999998E-2</v>
      </c>
      <c r="N216">
        <v>99.518638999999993</v>
      </c>
      <c r="O216">
        <v>4</v>
      </c>
      <c r="P216" s="8">
        <f t="shared" si="3"/>
        <v>8.9543448123955718E-2</v>
      </c>
      <c r="Q216" t="str">
        <f t="array" ref="Q216:R216">VLOOKUP(A216,$X$3:$AA$330,{3,4},0)</f>
        <v>Indemnity</v>
      </c>
      <c r="R216" t="str">
        <v>Per Occurrence</v>
      </c>
      <c r="X216" t="s">
        <v>661</v>
      </c>
      <c r="Y216">
        <v>206</v>
      </c>
      <c r="Z216" t="s">
        <v>32</v>
      </c>
      <c r="AA216" t="s">
        <v>33</v>
      </c>
    </row>
    <row r="217" spans="1:27">
      <c r="A217" t="s">
        <v>662</v>
      </c>
      <c r="B217">
        <v>257</v>
      </c>
      <c r="C217">
        <v>257</v>
      </c>
      <c r="D217" s="7" t="s">
        <v>663</v>
      </c>
      <c r="E217" s="7">
        <v>45748</v>
      </c>
      <c r="F217" s="7">
        <v>47208</v>
      </c>
      <c r="G217">
        <v>150000000</v>
      </c>
      <c r="H217" t="s">
        <v>664</v>
      </c>
      <c r="I217" t="s">
        <v>520</v>
      </c>
      <c r="K217">
        <v>150000000</v>
      </c>
      <c r="L217" s="7">
        <v>47208</v>
      </c>
      <c r="M217" s="9">
        <v>2.75E-2</v>
      </c>
      <c r="N217">
        <v>99.529832999999996</v>
      </c>
      <c r="O217">
        <v>4</v>
      </c>
      <c r="P217" s="8">
        <f t="shared" si="3"/>
        <v>2.9057644389047774E-2</v>
      </c>
      <c r="Q217" t="str">
        <f t="array" ref="Q217:R217">VLOOKUP(A217,$X$3:$AA$330,{3,4},0)</f>
        <v>Indemnity</v>
      </c>
      <c r="R217" t="str">
        <v>Per Occurrence</v>
      </c>
      <c r="X217" t="s">
        <v>538</v>
      </c>
      <c r="Y217">
        <v>207</v>
      </c>
      <c r="Z217" t="s">
        <v>32</v>
      </c>
      <c r="AA217" t="s">
        <v>33</v>
      </c>
    </row>
    <row r="218" spans="1:27">
      <c r="A218" t="s">
        <v>665</v>
      </c>
      <c r="B218">
        <v>258</v>
      </c>
      <c r="C218">
        <v>258</v>
      </c>
      <c r="D218" s="7" t="s">
        <v>666</v>
      </c>
      <c r="E218" s="7">
        <v>45839</v>
      </c>
      <c r="F218" s="7">
        <v>46934</v>
      </c>
      <c r="G218">
        <v>150000000</v>
      </c>
      <c r="H218" t="s">
        <v>667</v>
      </c>
      <c r="I218" t="s">
        <v>668</v>
      </c>
      <c r="K218">
        <v>200000000</v>
      </c>
      <c r="L218" s="7">
        <v>46934</v>
      </c>
      <c r="M218" s="9">
        <v>3.5000000000000003E-2</v>
      </c>
      <c r="N218">
        <v>99.577250000000006</v>
      </c>
      <c r="O218">
        <v>4</v>
      </c>
      <c r="P218" s="8">
        <f t="shared" si="3"/>
        <v>3.6832487227773082E-2</v>
      </c>
      <c r="Q218" t="str">
        <f t="array" ref="Q218:R218">VLOOKUP(A218,$X$3:$AA$330,{3,4},0)</f>
        <v>Indemnity</v>
      </c>
      <c r="R218" t="str">
        <v>Per Occurrence</v>
      </c>
      <c r="X218" t="s">
        <v>540</v>
      </c>
      <c r="Y218">
        <v>208</v>
      </c>
      <c r="Z218" t="s">
        <v>242</v>
      </c>
      <c r="AA218" t="s">
        <v>33</v>
      </c>
    </row>
    <row r="219" spans="1:27">
      <c r="A219" t="s">
        <v>669</v>
      </c>
      <c r="B219">
        <v>259</v>
      </c>
      <c r="C219">
        <v>259</v>
      </c>
      <c r="D219" s="7" t="s">
        <v>670</v>
      </c>
      <c r="E219" s="7">
        <v>45292</v>
      </c>
      <c r="F219" s="7">
        <v>46752</v>
      </c>
      <c r="G219">
        <v>110000000</v>
      </c>
      <c r="H219" t="s">
        <v>671</v>
      </c>
      <c r="I219" t="s">
        <v>672</v>
      </c>
      <c r="J219">
        <v>0</v>
      </c>
      <c r="K219">
        <v>300000000</v>
      </c>
      <c r="L219" s="7">
        <v>46752</v>
      </c>
      <c r="M219" s="9">
        <v>8.9899999999999994E-2</v>
      </c>
      <c r="N219">
        <v>99.764624999999995</v>
      </c>
      <c r="O219">
        <v>4</v>
      </c>
      <c r="P219" s="8">
        <f t="shared" si="3"/>
        <v>9.1220125886356446E-2</v>
      </c>
      <c r="Q219" t="str">
        <f t="array" ref="Q219:R219">VLOOKUP(A219,$X$3:$AA$330,{3,4},0)</f>
        <v>Indemnity</v>
      </c>
      <c r="R219" t="str">
        <v>Per Occurrence</v>
      </c>
      <c r="X219" t="s">
        <v>673</v>
      </c>
      <c r="Y219">
        <v>209</v>
      </c>
      <c r="Z219" t="s">
        <v>32</v>
      </c>
      <c r="AA219" t="s">
        <v>33</v>
      </c>
    </row>
    <row r="220" spans="1:27">
      <c r="A220" t="s">
        <v>674</v>
      </c>
      <c r="B220">
        <v>260</v>
      </c>
      <c r="C220">
        <v>260</v>
      </c>
      <c r="D220" s="7" t="s">
        <v>675</v>
      </c>
      <c r="E220" s="7">
        <v>45292</v>
      </c>
      <c r="F220" s="7">
        <v>46752</v>
      </c>
      <c r="G220">
        <v>50000000</v>
      </c>
      <c r="H220" t="s">
        <v>676</v>
      </c>
      <c r="I220" t="s">
        <v>430</v>
      </c>
      <c r="J220">
        <v>90000000</v>
      </c>
      <c r="K220">
        <v>90000000</v>
      </c>
      <c r="L220" s="7">
        <v>46752</v>
      </c>
      <c r="M220" s="9">
        <v>6.3100000000000003E-2</v>
      </c>
      <c r="N220">
        <v>99.775000000000006</v>
      </c>
      <c r="O220">
        <v>4</v>
      </c>
      <c r="P220" s="8">
        <f t="shared" si="3"/>
        <v>6.4341574979968688E-2</v>
      </c>
      <c r="Q220" t="str">
        <f t="array" ref="Q220:R220">VLOOKUP(A220,$X$3:$AA$330,{3,4},0)</f>
        <v>Indemnity</v>
      </c>
      <c r="R220" t="str">
        <v>Annual Aggregate</v>
      </c>
      <c r="X220" t="s">
        <v>544</v>
      </c>
      <c r="Y220">
        <v>210</v>
      </c>
      <c r="Z220" t="s">
        <v>32</v>
      </c>
      <c r="AA220" t="s">
        <v>33</v>
      </c>
    </row>
    <row r="221" spans="1:27">
      <c r="A221" t="s">
        <v>677</v>
      </c>
      <c r="B221">
        <v>261</v>
      </c>
      <c r="C221">
        <v>261</v>
      </c>
      <c r="D221" s="7" t="s">
        <v>678</v>
      </c>
      <c r="E221" s="7">
        <v>45135</v>
      </c>
      <c r="F221" s="7">
        <v>46230</v>
      </c>
      <c r="G221">
        <v>150000000</v>
      </c>
      <c r="H221" t="s">
        <v>679</v>
      </c>
      <c r="I221" t="s">
        <v>304</v>
      </c>
      <c r="K221">
        <v>150000000</v>
      </c>
      <c r="L221" s="7">
        <v>46230</v>
      </c>
      <c r="M221" s="9">
        <v>6.7000000000000004E-2</v>
      </c>
      <c r="N221">
        <v>99.820667</v>
      </c>
      <c r="O221">
        <v>4</v>
      </c>
      <c r="P221" s="8">
        <f t="shared" si="3"/>
        <v>7.0751268577908283E-2</v>
      </c>
      <c r="Q221" t="str">
        <f t="array" ref="Q221:R221">VLOOKUP(A221,$X$3:$AA$330,{3,4},0)</f>
        <v>Indemnity</v>
      </c>
      <c r="R221" t="str">
        <v>Annual Aggregate</v>
      </c>
      <c r="X221" t="s">
        <v>549</v>
      </c>
      <c r="Y221">
        <v>211</v>
      </c>
      <c r="Z221" t="s">
        <v>32</v>
      </c>
      <c r="AA221" t="s">
        <v>33</v>
      </c>
    </row>
    <row r="222" spans="1:27">
      <c r="A222" t="s">
        <v>680</v>
      </c>
      <c r="B222">
        <v>262</v>
      </c>
      <c r="C222">
        <v>262</v>
      </c>
      <c r="D222" s="7" t="s">
        <v>681</v>
      </c>
      <c r="E222" s="7">
        <v>45135</v>
      </c>
      <c r="F222" s="7">
        <v>46230</v>
      </c>
      <c r="G222">
        <v>100000000</v>
      </c>
      <c r="H222" t="s">
        <v>679</v>
      </c>
      <c r="I222" t="s">
        <v>682</v>
      </c>
      <c r="K222">
        <v>300000000</v>
      </c>
      <c r="L222" s="7">
        <v>46230</v>
      </c>
      <c r="M222" s="9">
        <v>6.2300000000000001E-2</v>
      </c>
      <c r="N222">
        <v>99.084083000000007</v>
      </c>
      <c r="O222">
        <v>4</v>
      </c>
      <c r="P222" s="8">
        <f t="shared" si="3"/>
        <v>8.158715128218641E-2</v>
      </c>
      <c r="Q222" t="str">
        <f t="array" ref="Q222:R222">VLOOKUP(A222,$X$3:$AA$330,{3,4},0)</f>
        <v>Indemnity</v>
      </c>
      <c r="R222" t="str">
        <v>Per Occurrence (Named Storm) and Annual Aggregate (Earthquake)</v>
      </c>
      <c r="X222" t="s">
        <v>553</v>
      </c>
      <c r="Y222">
        <v>212</v>
      </c>
      <c r="Z222" t="s">
        <v>32</v>
      </c>
      <c r="AA222" t="s">
        <v>33</v>
      </c>
    </row>
    <row r="223" spans="1:27">
      <c r="A223" t="s">
        <v>683</v>
      </c>
      <c r="B223">
        <v>263</v>
      </c>
      <c r="C223">
        <v>263</v>
      </c>
      <c r="D223" s="7" t="s">
        <v>684</v>
      </c>
      <c r="E223" s="7">
        <v>45809</v>
      </c>
      <c r="F223" s="7">
        <v>46904</v>
      </c>
      <c r="G223">
        <v>95000000</v>
      </c>
      <c r="H223" t="s">
        <v>685</v>
      </c>
      <c r="I223" t="s">
        <v>237</v>
      </c>
      <c r="K223">
        <v>110000000</v>
      </c>
      <c r="L223" s="7">
        <v>46904</v>
      </c>
      <c r="M223" s="9">
        <v>7.2499999999999995E-2</v>
      </c>
      <c r="N223">
        <v>99.747</v>
      </c>
      <c r="O223">
        <v>4</v>
      </c>
      <c r="P223" s="8">
        <f t="shared" si="3"/>
        <v>7.3672774830430651E-2</v>
      </c>
      <c r="Q223" t="str">
        <f t="array" ref="Q223:R223">VLOOKUP(A223,$X$3:$AA$330,{3,4},0)</f>
        <v>Indemnity</v>
      </c>
      <c r="R223" t="str">
        <v>Per Occurrence</v>
      </c>
      <c r="X223" t="s">
        <v>556</v>
      </c>
      <c r="Y223">
        <v>213</v>
      </c>
      <c r="Z223" t="s">
        <v>686</v>
      </c>
      <c r="AA223" t="s">
        <v>687</v>
      </c>
    </row>
    <row r="224" spans="1:27">
      <c r="A224" t="s">
        <v>688</v>
      </c>
      <c r="B224">
        <v>264</v>
      </c>
      <c r="C224">
        <v>264</v>
      </c>
      <c r="D224" s="7" t="s">
        <v>689</v>
      </c>
      <c r="E224" s="7">
        <v>45292</v>
      </c>
      <c r="F224" s="7">
        <v>46477</v>
      </c>
      <c r="G224">
        <v>100000000</v>
      </c>
      <c r="H224" t="s">
        <v>635</v>
      </c>
      <c r="I224" t="s">
        <v>81</v>
      </c>
      <c r="J224">
        <v>0</v>
      </c>
      <c r="K224">
        <v>36000000</v>
      </c>
      <c r="L224" s="7">
        <v>46477</v>
      </c>
      <c r="M224" s="9">
        <v>0.12379999999999999</v>
      </c>
      <c r="N224">
        <v>99.188056000000003</v>
      </c>
      <c r="O224">
        <v>4</v>
      </c>
      <c r="P224" s="8">
        <f t="shared" si="3"/>
        <v>0.13131557998361276</v>
      </c>
      <c r="Q224" t="str">
        <f t="array" ref="Q224:R224">VLOOKUP(A224,$X$3:$AA$330,{3,4},0)</f>
        <v>Industry Loss</v>
      </c>
      <c r="R224" t="str">
        <v>Annual Aggregate</v>
      </c>
      <c r="X224" t="s">
        <v>560</v>
      </c>
      <c r="Y224">
        <v>214</v>
      </c>
      <c r="Z224" t="s">
        <v>32</v>
      </c>
      <c r="AA224" t="s">
        <v>33</v>
      </c>
    </row>
    <row r="225" spans="1:27">
      <c r="A225" t="s">
        <v>690</v>
      </c>
      <c r="B225">
        <v>265</v>
      </c>
      <c r="C225">
        <v>265</v>
      </c>
      <c r="D225" s="7" t="s">
        <v>691</v>
      </c>
      <c r="E225" s="7">
        <v>45292</v>
      </c>
      <c r="F225" s="7">
        <v>46477</v>
      </c>
      <c r="G225">
        <v>100000000</v>
      </c>
      <c r="H225" t="s">
        <v>692</v>
      </c>
      <c r="I225" t="s">
        <v>693</v>
      </c>
      <c r="K225">
        <v>300000000</v>
      </c>
      <c r="L225" s="7">
        <v>46477</v>
      </c>
      <c r="M225" s="9">
        <v>0.10290000000000001</v>
      </c>
      <c r="N225">
        <v>100</v>
      </c>
      <c r="O225">
        <v>4</v>
      </c>
      <c r="P225" s="8">
        <f t="shared" si="3"/>
        <v>0.1028333054502394</v>
      </c>
      <c r="Q225" t="str">
        <f t="array" ref="Q225:R225">VLOOKUP(A225,$X$3:$AA$330,{3,4},0)</f>
        <v>Indemnity</v>
      </c>
      <c r="R225" t="str">
        <v>Per Occurrence</v>
      </c>
      <c r="X225" t="s">
        <v>564</v>
      </c>
      <c r="Y225">
        <v>215</v>
      </c>
      <c r="Z225" t="s">
        <v>32</v>
      </c>
      <c r="AA225" t="s">
        <v>33</v>
      </c>
    </row>
    <row r="226" spans="1:27">
      <c r="A226" t="s">
        <v>694</v>
      </c>
      <c r="B226">
        <v>266</v>
      </c>
      <c r="C226">
        <v>266</v>
      </c>
      <c r="D226" s="7" t="s">
        <v>695</v>
      </c>
      <c r="E226" s="7">
        <v>45658</v>
      </c>
      <c r="F226" s="7">
        <v>46843</v>
      </c>
      <c r="G226">
        <v>200000000</v>
      </c>
      <c r="H226" t="s">
        <v>696</v>
      </c>
      <c r="I226" t="s">
        <v>693</v>
      </c>
      <c r="J226">
        <v>0</v>
      </c>
      <c r="K226">
        <v>300000000</v>
      </c>
      <c r="L226" s="7">
        <v>46843</v>
      </c>
      <c r="M226" s="9">
        <v>5.1400000000000001E-2</v>
      </c>
      <c r="N226">
        <v>99.893056000000001</v>
      </c>
      <c r="O226">
        <v>4</v>
      </c>
      <c r="P226" s="8">
        <f t="shared" si="3"/>
        <v>5.1916028302966273E-2</v>
      </c>
      <c r="Q226" t="str">
        <f t="array" ref="Q226:R226">VLOOKUP(A226,$X$3:$AA$330,{3,4},0)</f>
        <v>Indemnity</v>
      </c>
      <c r="R226" t="str">
        <v>Per Occurrence</v>
      </c>
      <c r="X226" t="s">
        <v>566</v>
      </c>
      <c r="Y226">
        <v>216</v>
      </c>
      <c r="Z226" t="s">
        <v>32</v>
      </c>
      <c r="AA226" t="s">
        <v>33</v>
      </c>
    </row>
    <row r="227" spans="1:27">
      <c r="A227" t="s">
        <v>697</v>
      </c>
      <c r="B227">
        <v>267</v>
      </c>
      <c r="C227">
        <v>267</v>
      </c>
      <c r="D227" s="7" t="s">
        <v>698</v>
      </c>
      <c r="E227" s="7">
        <v>45748</v>
      </c>
      <c r="F227" s="7">
        <v>46843</v>
      </c>
      <c r="G227">
        <v>85000000</v>
      </c>
      <c r="H227" t="s">
        <v>635</v>
      </c>
      <c r="I227" t="s">
        <v>81</v>
      </c>
      <c r="K227">
        <v>85000000</v>
      </c>
      <c r="L227" s="7">
        <v>46843</v>
      </c>
      <c r="M227" s="9">
        <v>5.7500000000000002E-2</v>
      </c>
      <c r="N227">
        <v>99.232485999999994</v>
      </c>
      <c r="O227">
        <v>4</v>
      </c>
      <c r="P227" s="8">
        <f t="shared" si="3"/>
        <v>6.1297799090386469E-2</v>
      </c>
      <c r="Q227" t="str">
        <f t="array" ref="Q227:R227">VLOOKUP(A227,$X$3:$AA$330,{3,4},0)</f>
        <v>Industry Loss</v>
      </c>
      <c r="R227" t="str">
        <v>Per Occurrence</v>
      </c>
      <c r="X227" t="s">
        <v>699</v>
      </c>
      <c r="Y227">
        <v>217</v>
      </c>
      <c r="Z227" t="s">
        <v>26</v>
      </c>
      <c r="AA227" t="s">
        <v>27</v>
      </c>
    </row>
    <row r="228" spans="1:27">
      <c r="A228" t="s">
        <v>700</v>
      </c>
      <c r="B228">
        <v>268</v>
      </c>
      <c r="C228">
        <v>268</v>
      </c>
      <c r="D228" s="7" t="s">
        <v>701</v>
      </c>
      <c r="E228" s="7">
        <v>45748</v>
      </c>
      <c r="F228" s="7">
        <v>46843</v>
      </c>
      <c r="G228">
        <v>30000000</v>
      </c>
      <c r="H228" t="s">
        <v>635</v>
      </c>
      <c r="I228" t="s">
        <v>81</v>
      </c>
      <c r="J228">
        <v>5000000</v>
      </c>
      <c r="K228">
        <v>5000000</v>
      </c>
      <c r="L228" s="7">
        <v>46843</v>
      </c>
      <c r="M228" s="9">
        <v>6.6100000000000006E-2</v>
      </c>
      <c r="N228">
        <v>99.245000000000005</v>
      </c>
      <c r="O228">
        <v>4</v>
      </c>
      <c r="P228" s="8">
        <f t="shared" si="3"/>
        <v>6.9869387244817893E-2</v>
      </c>
      <c r="Q228" t="str">
        <f t="array" ref="Q228:R228">VLOOKUP(A228,$X$3:$AA$330,{3,4},0)</f>
        <v>Industry Loss</v>
      </c>
      <c r="R228" t="str">
        <v>Per Occurrence</v>
      </c>
      <c r="X228" t="s">
        <v>702</v>
      </c>
      <c r="Y228">
        <v>218</v>
      </c>
      <c r="Z228" t="s">
        <v>32</v>
      </c>
      <c r="AA228" t="s">
        <v>33</v>
      </c>
    </row>
    <row r="229" spans="1:27">
      <c r="A229" t="s">
        <v>703</v>
      </c>
      <c r="B229">
        <v>269</v>
      </c>
      <c r="C229">
        <v>269</v>
      </c>
      <c r="D229" s="7" t="s">
        <v>704</v>
      </c>
      <c r="E229" s="7">
        <v>45658</v>
      </c>
      <c r="F229" s="7">
        <v>46752</v>
      </c>
      <c r="G229">
        <v>125000000</v>
      </c>
      <c r="H229" t="s">
        <v>589</v>
      </c>
      <c r="I229" t="s">
        <v>693</v>
      </c>
      <c r="J229">
        <v>0</v>
      </c>
      <c r="K229">
        <v>1300000000</v>
      </c>
      <c r="L229" s="7">
        <v>46752</v>
      </c>
      <c r="M229" s="9">
        <v>0.04</v>
      </c>
      <c r="N229">
        <v>99.245000000000005</v>
      </c>
      <c r="O229">
        <v>4</v>
      </c>
      <c r="P229" s="8">
        <f t="shared" si="3"/>
        <v>4.4123052365965566E-2</v>
      </c>
      <c r="Q229" t="str">
        <f t="array" ref="Q229:R229">VLOOKUP(A229,$X$3:$AA$330,{3,4},0)</f>
        <v>Indemnity</v>
      </c>
      <c r="R229" t="str">
        <v>Per Occurrence</v>
      </c>
      <c r="X229" t="s">
        <v>568</v>
      </c>
      <c r="Y229">
        <v>219</v>
      </c>
      <c r="Z229" t="s">
        <v>32</v>
      </c>
      <c r="AA229" t="s">
        <v>27</v>
      </c>
    </row>
    <row r="230" spans="1:27">
      <c r="A230" t="s">
        <v>705</v>
      </c>
      <c r="B230">
        <v>270</v>
      </c>
      <c r="C230">
        <v>270</v>
      </c>
      <c r="D230" s="7" t="s">
        <v>706</v>
      </c>
      <c r="E230" s="7">
        <v>45658</v>
      </c>
      <c r="F230" s="7">
        <v>46752</v>
      </c>
      <c r="G230">
        <v>100000000</v>
      </c>
      <c r="H230" t="s">
        <v>589</v>
      </c>
      <c r="I230" t="s">
        <v>693</v>
      </c>
      <c r="J230">
        <v>0</v>
      </c>
      <c r="K230">
        <v>750000000</v>
      </c>
      <c r="L230" s="7">
        <v>46752</v>
      </c>
      <c r="M230" s="9">
        <v>0.10249999999999999</v>
      </c>
      <c r="N230">
        <v>101</v>
      </c>
      <c r="O230">
        <v>4</v>
      </c>
      <c r="P230" s="8">
        <f t="shared" si="3"/>
        <v>9.6682409055478785E-2</v>
      </c>
      <c r="Q230" t="str">
        <f t="array" ref="Q230:R230">VLOOKUP(A230,$X$3:$AA$330,{3,4},0)</f>
        <v>Indemnity</v>
      </c>
      <c r="R230" t="str">
        <v>Per Occurrence</v>
      </c>
      <c r="X230" t="s">
        <v>571</v>
      </c>
      <c r="Y230">
        <v>220</v>
      </c>
      <c r="Z230" t="s">
        <v>32</v>
      </c>
      <c r="AA230" t="s">
        <v>27</v>
      </c>
    </row>
    <row r="231" spans="1:27">
      <c r="A231" t="s">
        <v>707</v>
      </c>
      <c r="B231">
        <v>271</v>
      </c>
      <c r="C231">
        <v>271</v>
      </c>
      <c r="D231" s="7" t="s">
        <v>708</v>
      </c>
      <c r="E231" s="7">
        <v>45658</v>
      </c>
      <c r="F231" s="7">
        <v>46752</v>
      </c>
      <c r="G231">
        <v>100000000</v>
      </c>
      <c r="H231" t="s">
        <v>589</v>
      </c>
      <c r="I231" t="s">
        <v>709</v>
      </c>
      <c r="J231">
        <v>0</v>
      </c>
      <c r="K231">
        <v>500000000</v>
      </c>
      <c r="L231" s="7">
        <v>46752</v>
      </c>
      <c r="M231" s="9">
        <v>0.14000000000000001</v>
      </c>
      <c r="N231">
        <v>100.2</v>
      </c>
      <c r="O231">
        <v>4</v>
      </c>
      <c r="P231" s="8">
        <f t="shared" si="3"/>
        <v>0.13871397775808891</v>
      </c>
      <c r="Q231" t="str">
        <f t="array" ref="Q231:R231">VLOOKUP(A231,$X$3:$AA$330,{3,4},0)</f>
        <v>Indemnity</v>
      </c>
      <c r="R231" t="str">
        <v>Annual Aggregate</v>
      </c>
      <c r="X231" t="s">
        <v>573</v>
      </c>
      <c r="Y231">
        <v>221</v>
      </c>
      <c r="Z231" t="s">
        <v>32</v>
      </c>
      <c r="AA231" t="s">
        <v>27</v>
      </c>
    </row>
    <row r="232" spans="1:27">
      <c r="A232" t="s">
        <v>710</v>
      </c>
      <c r="B232">
        <v>272</v>
      </c>
      <c r="C232">
        <v>272</v>
      </c>
      <c r="D232" s="7" t="s">
        <v>711</v>
      </c>
      <c r="E232" s="7">
        <v>45078</v>
      </c>
      <c r="F232" s="7">
        <v>46173</v>
      </c>
      <c r="G232">
        <v>500000000</v>
      </c>
      <c r="H232" t="s">
        <v>712</v>
      </c>
      <c r="I232" t="s">
        <v>434</v>
      </c>
      <c r="K232">
        <v>1000000000</v>
      </c>
      <c r="L232" s="7">
        <v>46173</v>
      </c>
      <c r="M232" s="9">
        <v>9.0800000000000006E-2</v>
      </c>
      <c r="N232">
        <v>102.85</v>
      </c>
      <c r="O232">
        <v>4</v>
      </c>
      <c r="P232" s="8">
        <f t="shared" si="3"/>
        <v>5.1615028620166656E-3</v>
      </c>
      <c r="Q232" t="str">
        <f t="array" ref="Q232:R232">VLOOKUP(A232,$X$3:$AA$330,{3,4},0)</f>
        <v>Indemnity</v>
      </c>
      <c r="R232" t="str">
        <v>Annual Aggregate</v>
      </c>
      <c r="X232" t="s">
        <v>575</v>
      </c>
      <c r="Y232">
        <v>222</v>
      </c>
      <c r="Z232" t="s">
        <v>32</v>
      </c>
      <c r="AA232" t="s">
        <v>27</v>
      </c>
    </row>
    <row r="233" spans="1:27">
      <c r="A233" t="s">
        <v>713</v>
      </c>
      <c r="B233">
        <v>273</v>
      </c>
      <c r="C233">
        <v>273</v>
      </c>
      <c r="D233" s="7" t="s">
        <v>714</v>
      </c>
      <c r="E233" s="7">
        <v>45444</v>
      </c>
      <c r="F233" s="7">
        <v>46538</v>
      </c>
      <c r="G233">
        <v>500000000</v>
      </c>
      <c r="H233" t="s">
        <v>712</v>
      </c>
      <c r="I233" t="s">
        <v>434</v>
      </c>
      <c r="K233">
        <v>1427000000</v>
      </c>
      <c r="L233" s="7">
        <v>46538</v>
      </c>
      <c r="M233" s="9">
        <v>6.54E-2</v>
      </c>
      <c r="N233">
        <v>101</v>
      </c>
      <c r="O233">
        <v>4</v>
      </c>
      <c r="P233" s="8">
        <f t="shared" si="3"/>
        <v>5.7534496272377271E-2</v>
      </c>
      <c r="Q233" t="str">
        <f t="array" ref="Q233:R233">VLOOKUP(A233,$X$3:$AA$330,{3,4},0)</f>
        <v>Indemnity</v>
      </c>
      <c r="R233" t="str">
        <v>Annual Aggregate</v>
      </c>
      <c r="X233" t="s">
        <v>577</v>
      </c>
      <c r="Y233">
        <v>223</v>
      </c>
      <c r="Z233" t="s">
        <v>32</v>
      </c>
      <c r="AA233" t="s">
        <v>27</v>
      </c>
    </row>
    <row r="234" spans="1:27">
      <c r="A234" t="s">
        <v>715</v>
      </c>
      <c r="B234">
        <v>274</v>
      </c>
      <c r="C234">
        <v>274</v>
      </c>
      <c r="D234" s="7" t="s">
        <v>716</v>
      </c>
      <c r="E234" s="7">
        <v>45444</v>
      </c>
      <c r="F234" s="7">
        <v>46538</v>
      </c>
      <c r="G234">
        <v>500000000</v>
      </c>
      <c r="H234" t="s">
        <v>712</v>
      </c>
      <c r="I234" t="s">
        <v>434</v>
      </c>
      <c r="K234">
        <v>1000000000</v>
      </c>
      <c r="L234" s="7">
        <v>46538</v>
      </c>
      <c r="M234" s="9">
        <v>8.4339999999999998E-2</v>
      </c>
      <c r="N234">
        <v>103.95</v>
      </c>
      <c r="O234">
        <v>4</v>
      </c>
      <c r="P234" s="8">
        <f t="shared" si="3"/>
        <v>5.3425669034294208E-2</v>
      </c>
      <c r="Q234" t="str">
        <f t="array" ref="Q234:R234">VLOOKUP(A234,$X$3:$AA$330,{3,4},0)</f>
        <v>Indemnity</v>
      </c>
      <c r="R234" t="str">
        <v>Annual Aggregate</v>
      </c>
      <c r="X234" t="s">
        <v>579</v>
      </c>
      <c r="Y234">
        <v>224</v>
      </c>
      <c r="Z234" t="s">
        <v>32</v>
      </c>
      <c r="AA234" t="s">
        <v>27</v>
      </c>
    </row>
    <row r="235" spans="1:27">
      <c r="A235" t="s">
        <v>717</v>
      </c>
      <c r="B235">
        <v>275</v>
      </c>
      <c r="C235">
        <v>275</v>
      </c>
      <c r="D235" s="7" t="s">
        <v>718</v>
      </c>
      <c r="E235" s="7">
        <v>45444</v>
      </c>
      <c r="F235" s="7">
        <v>46173</v>
      </c>
      <c r="G235">
        <v>400000000</v>
      </c>
      <c r="H235" t="s">
        <v>712</v>
      </c>
      <c r="I235" t="s">
        <v>434</v>
      </c>
      <c r="K235">
        <v>1800000000</v>
      </c>
      <c r="L235" s="7">
        <v>46173</v>
      </c>
      <c r="M235" s="9">
        <v>0.1188</v>
      </c>
      <c r="N235">
        <v>100.25</v>
      </c>
      <c r="O235">
        <v>4</v>
      </c>
      <c r="P235" s="8">
        <f t="shared" si="3"/>
        <v>0.11077768785524626</v>
      </c>
      <c r="Q235" t="str">
        <f t="array" ref="Q235:R235">VLOOKUP(A235,$X$3:$AA$330,{3,4},0)</f>
        <v>Indemnity</v>
      </c>
      <c r="R235" t="str">
        <v>Annual Aggregate</v>
      </c>
      <c r="X235" t="s">
        <v>581</v>
      </c>
      <c r="Y235">
        <v>225</v>
      </c>
      <c r="Z235" t="s">
        <v>32</v>
      </c>
      <c r="AA235" t="s">
        <v>27</v>
      </c>
    </row>
    <row r="236" spans="1:27">
      <c r="A236" t="s">
        <v>719</v>
      </c>
      <c r="B236">
        <v>277</v>
      </c>
      <c r="C236">
        <v>277</v>
      </c>
      <c r="D236" s="7" t="s">
        <v>720</v>
      </c>
      <c r="E236" s="7">
        <v>45078</v>
      </c>
      <c r="F236" s="7">
        <v>46173</v>
      </c>
      <c r="G236">
        <v>300000000</v>
      </c>
      <c r="H236" t="s">
        <v>198</v>
      </c>
      <c r="I236" t="s">
        <v>721</v>
      </c>
      <c r="J236">
        <v>0</v>
      </c>
      <c r="K236">
        <v>300000000</v>
      </c>
      <c r="L236" s="7">
        <v>46173</v>
      </c>
      <c r="M236" s="9">
        <v>7.7200000000000005E-2</v>
      </c>
      <c r="N236">
        <v>102.3</v>
      </c>
      <c r="O236">
        <v>4</v>
      </c>
      <c r="P236" s="8">
        <f t="shared" si="3"/>
        <v>8.0255415510790944E-3</v>
      </c>
      <c r="Q236" t="str">
        <f t="array" ref="Q236:R236">VLOOKUP(A236,$X$3:$AA$330,{3,4},0)</f>
        <v>Indemnity</v>
      </c>
      <c r="R236" t="str">
        <v>Per Occurrence</v>
      </c>
      <c r="X236" t="s">
        <v>583</v>
      </c>
      <c r="Y236">
        <v>226</v>
      </c>
      <c r="Z236" t="s">
        <v>32</v>
      </c>
      <c r="AA236" t="s">
        <v>33</v>
      </c>
    </row>
    <row r="237" spans="1:27">
      <c r="A237" t="s">
        <v>722</v>
      </c>
      <c r="B237">
        <v>278</v>
      </c>
      <c r="C237">
        <v>278</v>
      </c>
      <c r="D237" s="7" t="s">
        <v>723</v>
      </c>
      <c r="E237" s="7">
        <v>45658</v>
      </c>
      <c r="F237" s="7">
        <v>47118</v>
      </c>
      <c r="G237">
        <v>175000000</v>
      </c>
      <c r="H237" t="s">
        <v>724</v>
      </c>
      <c r="I237" t="s">
        <v>81</v>
      </c>
      <c r="J237">
        <v>0</v>
      </c>
      <c r="K237">
        <v>200000000</v>
      </c>
      <c r="L237" s="7">
        <v>47118</v>
      </c>
      <c r="M237" s="9">
        <v>0.08</v>
      </c>
      <c r="N237">
        <v>102.2</v>
      </c>
      <c r="O237">
        <v>4</v>
      </c>
      <c r="P237" s="8">
        <f t="shared" si="3"/>
        <v>7.1560509980549566E-2</v>
      </c>
      <c r="Q237" t="str">
        <f t="array" ref="Q237:R237">VLOOKUP(A237,$X$3:$AA$330,{3,4},0)</f>
        <v>Industry Loss</v>
      </c>
      <c r="R237" t="str">
        <v>Annual Aggregate</v>
      </c>
      <c r="X237" t="s">
        <v>725</v>
      </c>
      <c r="Y237">
        <v>227</v>
      </c>
      <c r="Z237" t="s">
        <v>32</v>
      </c>
      <c r="AA237" t="s">
        <v>33</v>
      </c>
    </row>
    <row r="238" spans="1:27">
      <c r="A238" t="s">
        <v>726</v>
      </c>
      <c r="B238">
        <v>279</v>
      </c>
      <c r="C238">
        <v>279</v>
      </c>
      <c r="D238" s="7" t="s">
        <v>727</v>
      </c>
      <c r="E238" s="7">
        <v>45658</v>
      </c>
      <c r="F238" s="7">
        <v>46752</v>
      </c>
      <c r="G238">
        <v>175000000</v>
      </c>
      <c r="H238" t="s">
        <v>724</v>
      </c>
      <c r="I238" t="s">
        <v>81</v>
      </c>
      <c r="J238">
        <v>0</v>
      </c>
      <c r="K238">
        <v>200000000</v>
      </c>
      <c r="L238" s="7">
        <v>46752</v>
      </c>
      <c r="M238" s="9">
        <v>0.105</v>
      </c>
      <c r="N238">
        <v>102.6</v>
      </c>
      <c r="O238">
        <v>4</v>
      </c>
      <c r="P238" s="8">
        <f t="shared" si="3"/>
        <v>9.0041634665630643E-2</v>
      </c>
      <c r="Q238" t="str">
        <f t="array" ref="Q238:R238">VLOOKUP(A238,$X$3:$AA$330,{3,4},0)</f>
        <v>Industry Loss</v>
      </c>
      <c r="R238" t="str">
        <v>Annual Aggregate</v>
      </c>
      <c r="X238" t="s">
        <v>587</v>
      </c>
      <c r="Y238">
        <v>228</v>
      </c>
      <c r="Z238" t="s">
        <v>26</v>
      </c>
      <c r="AA238" t="s">
        <v>33</v>
      </c>
    </row>
    <row r="239" spans="1:27">
      <c r="A239" t="s">
        <v>728</v>
      </c>
      <c r="B239">
        <v>280</v>
      </c>
      <c r="C239">
        <v>280</v>
      </c>
      <c r="D239" s="7" t="s">
        <v>729</v>
      </c>
      <c r="E239" s="7">
        <v>45462</v>
      </c>
      <c r="F239" s="7">
        <v>46556</v>
      </c>
      <c r="G239">
        <v>150000000</v>
      </c>
      <c r="H239" t="s">
        <v>724</v>
      </c>
      <c r="I239" t="s">
        <v>81</v>
      </c>
      <c r="J239">
        <v>0</v>
      </c>
      <c r="K239">
        <v>150000000</v>
      </c>
      <c r="L239" s="7">
        <v>46556</v>
      </c>
      <c r="M239" s="9">
        <v>9.7500000000000003E-2</v>
      </c>
      <c r="N239">
        <v>101.6</v>
      </c>
      <c r="O239">
        <v>4</v>
      </c>
      <c r="P239" s="8">
        <f t="shared" si="3"/>
        <v>8.5044568741467416E-2</v>
      </c>
      <c r="Q239" t="str">
        <f t="array" ref="Q239:R239">VLOOKUP(A239,$X$3:$AA$330,{3,4},0)</f>
        <v>Industry Loss</v>
      </c>
      <c r="R239" t="str">
        <v>Annual Aggregate</v>
      </c>
      <c r="X239" t="s">
        <v>590</v>
      </c>
      <c r="Y239">
        <v>229</v>
      </c>
      <c r="Z239" t="s">
        <v>26</v>
      </c>
      <c r="AA239" t="s">
        <v>33</v>
      </c>
    </row>
    <row r="240" spans="1:27">
      <c r="A240" t="s">
        <v>730</v>
      </c>
      <c r="B240">
        <v>283</v>
      </c>
      <c r="C240">
        <v>283</v>
      </c>
      <c r="D240" s="7" t="e">
        <v>#VALUE!</v>
      </c>
      <c r="E240" s="7">
        <v>45292</v>
      </c>
      <c r="F240" s="7">
        <v>46387</v>
      </c>
      <c r="G240">
        <v>175000000</v>
      </c>
      <c r="H240" t="s">
        <v>731</v>
      </c>
      <c r="I240" t="s">
        <v>732</v>
      </c>
      <c r="K240">
        <v>250000000</v>
      </c>
      <c r="L240" s="7">
        <v>46387</v>
      </c>
      <c r="M240" s="9">
        <v>5.3999999999999999E-2</v>
      </c>
      <c r="N240">
        <v>103.85</v>
      </c>
      <c r="O240">
        <v>4</v>
      </c>
      <c r="P240" s="8">
        <f t="shared" si="3"/>
        <v>1.170796763540769E-2</v>
      </c>
      <c r="Q240" t="str">
        <f t="array" ref="Q240:R240">VLOOKUP(A240,$X$3:$AA$330,{3,4},0)</f>
        <v>Indemnity</v>
      </c>
      <c r="R240" t="str">
        <v>Per Occurrence</v>
      </c>
      <c r="X240" t="s">
        <v>593</v>
      </c>
      <c r="Y240">
        <v>230</v>
      </c>
      <c r="Z240" t="s">
        <v>32</v>
      </c>
      <c r="AA240" t="s">
        <v>33</v>
      </c>
    </row>
    <row r="241" spans="1:27">
      <c r="A241" t="s">
        <v>733</v>
      </c>
      <c r="B241">
        <v>284</v>
      </c>
      <c r="C241">
        <v>284</v>
      </c>
      <c r="D241" s="7" t="s">
        <v>734</v>
      </c>
      <c r="E241" s="7">
        <v>45658</v>
      </c>
      <c r="F241" s="7">
        <v>47118</v>
      </c>
      <c r="G241">
        <v>75000000</v>
      </c>
      <c r="H241" t="s">
        <v>735</v>
      </c>
      <c r="I241" t="s">
        <v>736</v>
      </c>
      <c r="K241">
        <v>75000000</v>
      </c>
      <c r="L241" s="7">
        <v>47118</v>
      </c>
      <c r="M241" s="9">
        <v>0.06</v>
      </c>
      <c r="N241">
        <v>102.4</v>
      </c>
      <c r="O241">
        <v>4</v>
      </c>
      <c r="P241" s="8">
        <f t="shared" si="3"/>
        <v>5.1083035138982803E-2</v>
      </c>
      <c r="Q241" t="str">
        <f t="array" ref="Q241:R241">VLOOKUP(A241,$X$3:$AA$330,{3,4},0)</f>
        <v>Indemnity</v>
      </c>
      <c r="R241" t="str">
        <v>Per Occurrence</v>
      </c>
      <c r="X241" t="s">
        <v>597</v>
      </c>
      <c r="Y241">
        <v>231</v>
      </c>
      <c r="Z241" t="s">
        <v>32</v>
      </c>
      <c r="AA241" t="s">
        <v>33</v>
      </c>
    </row>
    <row r="242" spans="1:27">
      <c r="A242" t="s">
        <v>737</v>
      </c>
      <c r="B242">
        <v>285</v>
      </c>
      <c r="C242">
        <v>285</v>
      </c>
      <c r="D242" s="7" t="s">
        <v>738</v>
      </c>
      <c r="E242" s="7">
        <v>45292</v>
      </c>
      <c r="F242" s="7">
        <v>46387</v>
      </c>
      <c r="G242">
        <v>75000000</v>
      </c>
      <c r="H242" t="s">
        <v>735</v>
      </c>
      <c r="I242" t="s">
        <v>736</v>
      </c>
      <c r="K242">
        <v>75000000</v>
      </c>
      <c r="L242" s="7">
        <v>46387</v>
      </c>
      <c r="M242" s="9">
        <v>7.8100000000000003E-2</v>
      </c>
      <c r="N242">
        <v>103.1</v>
      </c>
      <c r="O242">
        <v>4</v>
      </c>
      <c r="P242" s="8">
        <f t="shared" si="3"/>
        <v>4.3395467383722096E-2</v>
      </c>
      <c r="Q242" t="str">
        <f t="array" ref="Q242:R242">VLOOKUP(A242,$X$3:$AA$330,{3,4},0)</f>
        <v>Indemnity</v>
      </c>
      <c r="R242" t="str">
        <v>Per Occurrence</v>
      </c>
      <c r="X242" t="s">
        <v>601</v>
      </c>
      <c r="Y242">
        <v>232</v>
      </c>
      <c r="Z242" t="s">
        <v>32</v>
      </c>
      <c r="AA242" t="s">
        <v>33</v>
      </c>
    </row>
    <row r="243" spans="1:27">
      <c r="A243" t="s">
        <v>739</v>
      </c>
      <c r="B243">
        <v>287</v>
      </c>
      <c r="C243">
        <v>287</v>
      </c>
      <c r="D243" s="7" t="s">
        <v>740</v>
      </c>
      <c r="E243" s="7">
        <v>45345</v>
      </c>
      <c r="F243" s="7">
        <v>46752</v>
      </c>
      <c r="G243">
        <v>100000000</v>
      </c>
      <c r="H243" t="s">
        <v>24</v>
      </c>
      <c r="I243" t="s">
        <v>231</v>
      </c>
      <c r="J243">
        <v>0</v>
      </c>
      <c r="K243">
        <v>47163000000</v>
      </c>
      <c r="L243" s="7">
        <v>46752</v>
      </c>
      <c r="M243" s="9">
        <v>6.9000000000000006E-2</v>
      </c>
      <c r="N243">
        <v>101.15</v>
      </c>
      <c r="O243">
        <v>4</v>
      </c>
      <c r="P243" s="8">
        <f t="shared" si="3"/>
        <v>6.2569707407038044E-2</v>
      </c>
      <c r="Q243" t="str">
        <f t="array" ref="Q243:R243">VLOOKUP(A243,$X$3:$AA$330,{3,4},0)</f>
        <v>Industry Loss</v>
      </c>
      <c r="R243" t="str">
        <v>Annual Aggregate</v>
      </c>
      <c r="X243" t="s">
        <v>604</v>
      </c>
      <c r="Y243">
        <v>233</v>
      </c>
      <c r="Z243" t="s">
        <v>32</v>
      </c>
      <c r="AA243" t="s">
        <v>33</v>
      </c>
    </row>
    <row r="244" spans="1:27">
      <c r="A244" t="s">
        <v>741</v>
      </c>
      <c r="B244">
        <v>288</v>
      </c>
      <c r="C244">
        <v>288</v>
      </c>
      <c r="D244" s="7" t="s">
        <v>742</v>
      </c>
      <c r="E244" s="7">
        <v>45345</v>
      </c>
      <c r="F244" s="7">
        <v>46752</v>
      </c>
      <c r="G244">
        <v>50000000</v>
      </c>
      <c r="H244" t="s">
        <v>24</v>
      </c>
      <c r="I244" t="s">
        <v>231</v>
      </c>
      <c r="J244">
        <v>0</v>
      </c>
      <c r="K244">
        <v>44649000000</v>
      </c>
      <c r="L244" s="7">
        <v>46752</v>
      </c>
      <c r="M244" s="9">
        <v>9.9000000000000005E-2</v>
      </c>
      <c r="N244">
        <v>101.95</v>
      </c>
      <c r="O244">
        <v>4</v>
      </c>
      <c r="P244" s="8">
        <f t="shared" si="3"/>
        <v>8.7800886680236084E-2</v>
      </c>
      <c r="Q244" t="str">
        <f t="array" ref="Q244:R244">VLOOKUP(A244,$X$3:$AA$330,{3,4},0)</f>
        <v>Industry Loss</v>
      </c>
      <c r="R244" t="str">
        <v>Annual Aggregate</v>
      </c>
      <c r="X244" t="s">
        <v>606</v>
      </c>
      <c r="Y244">
        <v>234</v>
      </c>
      <c r="Z244" t="s">
        <v>32</v>
      </c>
      <c r="AA244" t="s">
        <v>33</v>
      </c>
    </row>
    <row r="245" spans="1:27">
      <c r="A245" t="s">
        <v>743</v>
      </c>
      <c r="B245">
        <v>289</v>
      </c>
      <c r="C245">
        <v>289</v>
      </c>
      <c r="D245" s="7" t="s">
        <v>744</v>
      </c>
      <c r="E245" s="7">
        <v>45654</v>
      </c>
      <c r="F245" s="7">
        <v>47118</v>
      </c>
      <c r="G245">
        <v>150000000</v>
      </c>
      <c r="H245" t="s">
        <v>24</v>
      </c>
      <c r="I245" t="s">
        <v>231</v>
      </c>
      <c r="J245">
        <v>0</v>
      </c>
      <c r="K245">
        <v>40000000000</v>
      </c>
      <c r="L245" s="7">
        <v>47118</v>
      </c>
      <c r="M245" s="9">
        <v>7.2499999999999995E-2</v>
      </c>
      <c r="N245">
        <v>102</v>
      </c>
      <c r="O245">
        <v>4</v>
      </c>
      <c r="P245" s="8">
        <f t="shared" si="3"/>
        <v>6.4905735368510645E-2</v>
      </c>
      <c r="Q245" t="str">
        <f t="array" ref="Q245:R245">VLOOKUP(A245,$X$3:$AA$330,{3,4},0)</f>
        <v>Industry Loss</v>
      </c>
      <c r="R245" t="str">
        <v>Annual Aggregate</v>
      </c>
      <c r="X245" t="s">
        <v>609</v>
      </c>
      <c r="Y245">
        <v>235</v>
      </c>
      <c r="Z245" t="s">
        <v>32</v>
      </c>
      <c r="AA245" t="s">
        <v>33</v>
      </c>
    </row>
    <row r="246" spans="1:27">
      <c r="A246" t="s">
        <v>745</v>
      </c>
      <c r="B246">
        <v>290</v>
      </c>
      <c r="C246">
        <v>290</v>
      </c>
      <c r="D246" s="7" t="s">
        <v>746</v>
      </c>
      <c r="E246" s="7">
        <v>45654</v>
      </c>
      <c r="F246" s="7">
        <v>47118</v>
      </c>
      <c r="G246">
        <v>150000000</v>
      </c>
      <c r="H246" t="s">
        <v>24</v>
      </c>
      <c r="I246" t="s">
        <v>231</v>
      </c>
      <c r="J246">
        <v>0</v>
      </c>
      <c r="K246">
        <v>43000000000</v>
      </c>
      <c r="L246" s="7">
        <v>47118</v>
      </c>
      <c r="M246" s="9">
        <v>0.1075</v>
      </c>
      <c r="N246">
        <v>99.85</v>
      </c>
      <c r="O246">
        <v>4</v>
      </c>
      <c r="P246" s="8">
        <f t="shared" si="3"/>
        <v>0.10807431498122452</v>
      </c>
      <c r="Q246" t="str">
        <f t="array" ref="Q246:R246">VLOOKUP(A246,$X$3:$AA$330,{3,4},0)</f>
        <v>Industry Loss</v>
      </c>
      <c r="R246" t="str">
        <v>Annual Aggregate</v>
      </c>
      <c r="X246" t="s">
        <v>611</v>
      </c>
      <c r="Y246">
        <v>236</v>
      </c>
      <c r="Z246" t="s">
        <v>242</v>
      </c>
      <c r="AA246" t="s">
        <v>33</v>
      </c>
    </row>
    <row r="247" spans="1:27">
      <c r="A247" t="s">
        <v>747</v>
      </c>
      <c r="B247">
        <v>291</v>
      </c>
      <c r="C247">
        <v>291</v>
      </c>
      <c r="D247" s="7" t="s">
        <v>748</v>
      </c>
      <c r="E247" s="7">
        <v>45654</v>
      </c>
      <c r="F247" s="7">
        <v>46387</v>
      </c>
      <c r="G247">
        <v>75000000</v>
      </c>
      <c r="H247" t="s">
        <v>24</v>
      </c>
      <c r="I247" t="s">
        <v>231</v>
      </c>
      <c r="J247">
        <v>0</v>
      </c>
      <c r="K247">
        <v>40000000000</v>
      </c>
      <c r="L247" s="7">
        <v>46387</v>
      </c>
      <c r="M247" s="9">
        <v>0.23</v>
      </c>
      <c r="N247">
        <v>101.95</v>
      </c>
      <c r="O247">
        <v>4</v>
      </c>
      <c r="P247" s="8">
        <f t="shared" si="3"/>
        <v>0.20572620855019411</v>
      </c>
      <c r="Q247" t="str">
        <f t="array" ref="Q247:R247">VLOOKUP(A247,$X$3:$AA$330,{3,4},0)</f>
        <v>Industry Loss</v>
      </c>
      <c r="R247" t="str">
        <v>Annual Aggregate</v>
      </c>
      <c r="X247" t="s">
        <v>615</v>
      </c>
      <c r="Y247">
        <v>237</v>
      </c>
      <c r="Z247" t="s">
        <v>242</v>
      </c>
      <c r="AA247" t="s">
        <v>33</v>
      </c>
    </row>
    <row r="248" spans="1:27">
      <c r="A248" t="s">
        <v>749</v>
      </c>
      <c r="B248">
        <v>292</v>
      </c>
      <c r="C248">
        <v>292</v>
      </c>
      <c r="D248" s="7" t="s">
        <v>750</v>
      </c>
      <c r="E248" s="7">
        <v>44889</v>
      </c>
      <c r="F248" s="7">
        <v>46387</v>
      </c>
      <c r="G248">
        <v>80000000</v>
      </c>
      <c r="H248" t="s">
        <v>24</v>
      </c>
      <c r="I248" t="s">
        <v>751</v>
      </c>
      <c r="J248">
        <v>0</v>
      </c>
      <c r="K248">
        <v>7671000000</v>
      </c>
      <c r="L248" s="7">
        <v>46387</v>
      </c>
      <c r="M248" s="9">
        <v>0.13500000000000001</v>
      </c>
      <c r="N248">
        <v>102.8</v>
      </c>
      <c r="O248">
        <v>4</v>
      </c>
      <c r="P248" s="8">
        <f t="shared" si="3"/>
        <v>0.10249807214471499</v>
      </c>
      <c r="Q248" t="str">
        <f t="array" ref="Q248:R248">VLOOKUP(A248,$X$3:$AA$330,{3,4},0)</f>
        <v>Industry Loss</v>
      </c>
      <c r="R248" t="str">
        <v>Annual Aggregate</v>
      </c>
      <c r="X248" t="s">
        <v>752</v>
      </c>
      <c r="Y248">
        <v>238</v>
      </c>
      <c r="Z248" t="s">
        <v>242</v>
      </c>
      <c r="AA248" t="s">
        <v>33</v>
      </c>
    </row>
    <row r="249" spans="1:27">
      <c r="A249" t="s">
        <v>753</v>
      </c>
      <c r="B249">
        <v>295</v>
      </c>
      <c r="C249">
        <v>295</v>
      </c>
      <c r="D249" s="7" t="s">
        <v>754</v>
      </c>
      <c r="E249" s="7">
        <v>45091</v>
      </c>
      <c r="F249" s="7">
        <v>46186</v>
      </c>
      <c r="G249">
        <v>200000000</v>
      </c>
      <c r="H249" t="s">
        <v>755</v>
      </c>
      <c r="I249" t="s">
        <v>304</v>
      </c>
      <c r="J249">
        <v>0</v>
      </c>
      <c r="K249">
        <v>500000000</v>
      </c>
      <c r="L249" s="7">
        <v>46186</v>
      </c>
      <c r="M249" s="9">
        <v>9.7500000000000003E-2</v>
      </c>
      <c r="N249">
        <v>102.85</v>
      </c>
      <c r="O249">
        <v>4</v>
      </c>
      <c r="P249" s="8">
        <f t="shared" si="3"/>
        <v>1.9270716301848543E-2</v>
      </c>
      <c r="Q249" t="str">
        <f t="array" ref="Q249:R249">VLOOKUP(A249,$X$3:$AA$330,{3,4},0)</f>
        <v>Indemnity</v>
      </c>
      <c r="R249" t="str">
        <v>Annual Aggregate</v>
      </c>
      <c r="X249" t="s">
        <v>756</v>
      </c>
      <c r="Y249">
        <v>239</v>
      </c>
      <c r="Z249" t="s">
        <v>32</v>
      </c>
      <c r="AA249" t="s">
        <v>27</v>
      </c>
    </row>
    <row r="250" spans="1:27">
      <c r="A250" t="s">
        <v>757</v>
      </c>
      <c r="B250">
        <v>296</v>
      </c>
      <c r="C250">
        <v>296</v>
      </c>
      <c r="D250" s="7" t="s">
        <v>758</v>
      </c>
      <c r="E250" s="7">
        <v>45474</v>
      </c>
      <c r="F250" s="7">
        <v>46934</v>
      </c>
      <c r="G250">
        <v>100000000</v>
      </c>
      <c r="H250" t="s">
        <v>759</v>
      </c>
      <c r="I250" t="s">
        <v>760</v>
      </c>
      <c r="J250">
        <v>0</v>
      </c>
      <c r="K250">
        <v>150000000</v>
      </c>
      <c r="L250" s="7">
        <v>46934</v>
      </c>
      <c r="M250" s="9">
        <v>5.21E-2</v>
      </c>
      <c r="N250">
        <v>103.75</v>
      </c>
      <c r="O250">
        <v>4</v>
      </c>
      <c r="P250" s="8">
        <f t="shared" si="3"/>
        <v>3.5826382063507058E-2</v>
      </c>
      <c r="Q250" t="str">
        <f t="array" ref="Q250:R250">VLOOKUP(A250,$X$3:$AA$330,{3,4},0)</f>
        <v>Indemnity</v>
      </c>
      <c r="R250" t="str">
        <v>Per Occurrence</v>
      </c>
      <c r="X250" t="s">
        <v>761</v>
      </c>
      <c r="Y250">
        <v>240</v>
      </c>
      <c r="Z250" t="s">
        <v>32</v>
      </c>
      <c r="AA250" t="s">
        <v>27</v>
      </c>
    </row>
    <row r="251" spans="1:27">
      <c r="A251" t="s">
        <v>762</v>
      </c>
      <c r="B251">
        <v>299</v>
      </c>
      <c r="C251">
        <v>299</v>
      </c>
      <c r="D251" s="7" t="s">
        <v>763</v>
      </c>
      <c r="E251" s="7">
        <v>45618</v>
      </c>
      <c r="F251" s="7">
        <v>46712</v>
      </c>
      <c r="G251">
        <v>175000000</v>
      </c>
      <c r="H251" t="s">
        <v>764</v>
      </c>
      <c r="I251" t="s">
        <v>118</v>
      </c>
      <c r="K251">
        <v>1225000000</v>
      </c>
      <c r="L251" s="7">
        <v>46712</v>
      </c>
      <c r="M251" s="9">
        <v>6.25E-2</v>
      </c>
      <c r="N251">
        <v>102.8</v>
      </c>
      <c r="O251">
        <v>4</v>
      </c>
      <c r="P251" s="8">
        <f t="shared" si="3"/>
        <v>4.6237551530348475E-2</v>
      </c>
      <c r="Q251" t="str">
        <f t="array" ref="Q251:R251">VLOOKUP(A251,$X$3:$AA$330,{3,4},0)</f>
        <v>Industry Loss</v>
      </c>
      <c r="R251" t="str">
        <v>Annual Aggregate</v>
      </c>
      <c r="X251" t="s">
        <v>618</v>
      </c>
      <c r="Y251">
        <v>241</v>
      </c>
      <c r="Z251" t="s">
        <v>32</v>
      </c>
      <c r="AA251" t="s">
        <v>27</v>
      </c>
    </row>
    <row r="252" spans="1:27">
      <c r="A252" t="s">
        <v>765</v>
      </c>
      <c r="B252">
        <v>300</v>
      </c>
      <c r="C252">
        <v>300</v>
      </c>
      <c r="D252" s="7" t="s">
        <v>766</v>
      </c>
      <c r="E252" s="7">
        <v>45618</v>
      </c>
      <c r="F252" s="7">
        <v>46712</v>
      </c>
      <c r="G252">
        <v>150000000</v>
      </c>
      <c r="H252" t="s">
        <v>764</v>
      </c>
      <c r="I252" t="s">
        <v>118</v>
      </c>
      <c r="K252">
        <v>520000000</v>
      </c>
      <c r="L252" s="7">
        <v>46712</v>
      </c>
      <c r="M252" s="9">
        <v>9.5000000000000001E-2</v>
      </c>
      <c r="N252">
        <v>99.3</v>
      </c>
      <c r="O252">
        <v>4</v>
      </c>
      <c r="P252" s="8">
        <f t="shared" si="3"/>
        <v>9.9251603637773259E-2</v>
      </c>
      <c r="Q252" t="str">
        <f t="array" ref="Q252:R252">VLOOKUP(A252,$X$3:$AA$330,{3,4},0)</f>
        <v>Industry Loss</v>
      </c>
      <c r="R252" t="str">
        <v>Annual Aggregate</v>
      </c>
      <c r="X252" t="s">
        <v>621</v>
      </c>
      <c r="Y252">
        <v>242</v>
      </c>
      <c r="Z252" t="s">
        <v>32</v>
      </c>
      <c r="AA252" t="s">
        <v>27</v>
      </c>
    </row>
    <row r="253" spans="1:27">
      <c r="A253" t="s">
        <v>767</v>
      </c>
      <c r="B253">
        <v>301</v>
      </c>
      <c r="C253">
        <v>301</v>
      </c>
      <c r="D253" s="7" t="s">
        <v>768</v>
      </c>
      <c r="E253" s="7">
        <v>45840</v>
      </c>
      <c r="F253" s="7">
        <v>47299</v>
      </c>
      <c r="G253">
        <v>75000000</v>
      </c>
      <c r="H253" t="s">
        <v>764</v>
      </c>
      <c r="I253" t="s">
        <v>769</v>
      </c>
      <c r="K253">
        <v>300000000</v>
      </c>
      <c r="L253" s="7">
        <v>47299</v>
      </c>
      <c r="M253" s="9">
        <v>6.25E-2</v>
      </c>
      <c r="N253">
        <v>103.1</v>
      </c>
      <c r="O253">
        <v>4</v>
      </c>
      <c r="P253" s="8">
        <f t="shared" si="3"/>
        <v>5.2521846884196567E-2</v>
      </c>
      <c r="Q253" t="str">
        <f t="array" ref="Q253:R253">VLOOKUP(A253,$X$3:$AA$330,{3,4},0)</f>
        <v>Industry Loss</v>
      </c>
      <c r="R253" t="str">
        <v>Annual Aggregate</v>
      </c>
      <c r="X253" t="s">
        <v>625</v>
      </c>
      <c r="Y253">
        <v>243</v>
      </c>
      <c r="Z253" t="s">
        <v>32</v>
      </c>
      <c r="AA253" t="s">
        <v>27</v>
      </c>
    </row>
    <row r="254" spans="1:27">
      <c r="A254" t="s">
        <v>770</v>
      </c>
      <c r="B254">
        <v>302</v>
      </c>
      <c r="C254">
        <v>302</v>
      </c>
      <c r="D254" s="7" t="s">
        <v>771</v>
      </c>
      <c r="E254" s="7">
        <v>45840</v>
      </c>
      <c r="F254" s="7">
        <v>47299</v>
      </c>
      <c r="G254">
        <v>75000000</v>
      </c>
      <c r="H254" t="s">
        <v>764</v>
      </c>
      <c r="I254" t="s">
        <v>769</v>
      </c>
      <c r="K254">
        <v>300000000</v>
      </c>
      <c r="L254" s="7">
        <v>47299</v>
      </c>
      <c r="M254" s="9">
        <v>0.16250000000000001</v>
      </c>
      <c r="N254">
        <v>102.925</v>
      </c>
      <c r="O254">
        <v>4</v>
      </c>
      <c r="P254" s="8">
        <f t="shared" si="3"/>
        <v>0.15131515769938458</v>
      </c>
      <c r="Q254" t="str">
        <f t="array" ref="Q254:R254">VLOOKUP(A254,$X$3:$AA$330,{3,4},0)</f>
        <v>Industry Loss</v>
      </c>
      <c r="R254" t="str">
        <v>Annual Aggregate</v>
      </c>
      <c r="X254" t="s">
        <v>628</v>
      </c>
      <c r="Y254">
        <v>244</v>
      </c>
      <c r="Z254" t="s">
        <v>32</v>
      </c>
      <c r="AA254" t="s">
        <v>27</v>
      </c>
    </row>
    <row r="255" spans="1:27">
      <c r="A255" t="s">
        <v>772</v>
      </c>
      <c r="B255">
        <v>303</v>
      </c>
      <c r="C255">
        <v>303</v>
      </c>
      <c r="D255" s="7" t="s">
        <v>773</v>
      </c>
      <c r="E255" s="7">
        <v>45408</v>
      </c>
      <c r="F255" s="7">
        <v>46502</v>
      </c>
      <c r="G255">
        <v>225000000</v>
      </c>
      <c r="H255" t="s">
        <v>774</v>
      </c>
      <c r="I255" t="s">
        <v>775</v>
      </c>
      <c r="K255">
        <v>150000000</v>
      </c>
      <c r="L255" s="7">
        <v>46502</v>
      </c>
      <c r="M255" s="9">
        <v>6.25E-2</v>
      </c>
      <c r="N255">
        <v>102.75</v>
      </c>
      <c r="O255">
        <v>4</v>
      </c>
      <c r="P255" s="8">
        <f t="shared" si="3"/>
        <v>3.9540611005170472E-2</v>
      </c>
      <c r="Q255" t="str">
        <f t="array" ref="Q255:R255">VLOOKUP(A255,$X$3:$AA$330,{3,4},0)</f>
        <v>Industry Loss</v>
      </c>
      <c r="R255" t="str">
        <v>Annual Aggregate</v>
      </c>
      <c r="X255" t="s">
        <v>776</v>
      </c>
      <c r="Y255">
        <v>245</v>
      </c>
      <c r="Z255" t="s">
        <v>32</v>
      </c>
      <c r="AA255" t="s">
        <v>27</v>
      </c>
    </row>
    <row r="256" spans="1:27">
      <c r="A256" t="s">
        <v>777</v>
      </c>
      <c r="B256">
        <v>304</v>
      </c>
      <c r="C256">
        <v>304</v>
      </c>
      <c r="D256" s="7" t="s">
        <v>778</v>
      </c>
      <c r="E256" s="7">
        <v>45408</v>
      </c>
      <c r="F256" s="7">
        <v>46502</v>
      </c>
      <c r="G256">
        <v>75000000</v>
      </c>
      <c r="H256" t="s">
        <v>774</v>
      </c>
      <c r="I256" t="s">
        <v>775</v>
      </c>
      <c r="K256">
        <v>150000000</v>
      </c>
      <c r="L256" s="7">
        <v>46502</v>
      </c>
      <c r="M256" s="9">
        <v>7.7380000000000004E-2</v>
      </c>
      <c r="N256">
        <v>103.85</v>
      </c>
      <c r="O256">
        <v>4</v>
      </c>
      <c r="P256" s="8">
        <f t="shared" si="3"/>
        <v>4.5106161262694552E-2</v>
      </c>
      <c r="Q256" t="str">
        <f t="array" ref="Q256:R256">VLOOKUP(A256,$X$3:$AA$330,{3,4},0)</f>
        <v>Industry Loss</v>
      </c>
      <c r="R256" t="str">
        <v>Annual Aggregate</v>
      </c>
      <c r="X256" t="s">
        <v>779</v>
      </c>
      <c r="Y256">
        <v>246</v>
      </c>
      <c r="Z256" t="s">
        <v>32</v>
      </c>
      <c r="AA256" t="s">
        <v>27</v>
      </c>
    </row>
    <row r="257" spans="1:27">
      <c r="A257" t="s">
        <v>780</v>
      </c>
      <c r="B257">
        <v>305</v>
      </c>
      <c r="C257">
        <v>305</v>
      </c>
      <c r="D257" s="7" t="s">
        <v>781</v>
      </c>
      <c r="E257" s="7">
        <v>45809</v>
      </c>
      <c r="F257" s="7">
        <v>46904</v>
      </c>
      <c r="G257">
        <v>150000000</v>
      </c>
      <c r="H257" t="s">
        <v>100</v>
      </c>
      <c r="I257" t="s">
        <v>721</v>
      </c>
      <c r="J257">
        <v>0</v>
      </c>
      <c r="K257">
        <v>300000000</v>
      </c>
      <c r="L257" s="7">
        <v>46904</v>
      </c>
      <c r="M257" s="9">
        <v>7.0000000000000007E-2</v>
      </c>
      <c r="N257">
        <v>102.9</v>
      </c>
      <c r="O257">
        <v>4</v>
      </c>
      <c r="P257" s="8">
        <f t="shared" si="3"/>
        <v>5.6631937844572558E-2</v>
      </c>
      <c r="Q257" t="str">
        <f t="array" ref="Q257:R257">VLOOKUP(A257,$X$3:$AA$330,{3,4},0)</f>
        <v>Indemnity</v>
      </c>
      <c r="R257" t="str">
        <v>Per Occurrence</v>
      </c>
      <c r="X257" t="s">
        <v>631</v>
      </c>
      <c r="Y257">
        <v>247</v>
      </c>
      <c r="Z257" t="s">
        <v>32</v>
      </c>
      <c r="AA257" t="s">
        <v>27</v>
      </c>
    </row>
    <row r="258" spans="1:27">
      <c r="A258" t="s">
        <v>782</v>
      </c>
      <c r="B258">
        <v>306</v>
      </c>
      <c r="C258">
        <v>306</v>
      </c>
      <c r="D258" s="7" t="s">
        <v>783</v>
      </c>
      <c r="E258" s="7">
        <v>45269</v>
      </c>
      <c r="F258" s="7">
        <v>46387</v>
      </c>
      <c r="G258">
        <v>325000000</v>
      </c>
      <c r="H258" t="s">
        <v>784</v>
      </c>
      <c r="I258" t="s">
        <v>785</v>
      </c>
      <c r="K258">
        <v>600000000</v>
      </c>
      <c r="L258" s="7">
        <v>46387</v>
      </c>
      <c r="M258" s="9">
        <v>5.6399999999999999E-2</v>
      </c>
      <c r="N258">
        <v>100</v>
      </c>
      <c r="O258">
        <v>4</v>
      </c>
      <c r="P258" s="8">
        <f t="shared" si="3"/>
        <v>5.6375308337857526E-2</v>
      </c>
      <c r="Q258" t="str">
        <f t="array" ref="Q258:R258">VLOOKUP(A258,$X$3:$AA$330,{3,4},0)</f>
        <v>Indemnity</v>
      </c>
      <c r="R258" t="str">
        <v>Per Occurrence</v>
      </c>
      <c r="X258" t="s">
        <v>633</v>
      </c>
      <c r="Y258">
        <v>248</v>
      </c>
      <c r="Z258" t="s">
        <v>26</v>
      </c>
      <c r="AA258" t="s">
        <v>27</v>
      </c>
    </row>
    <row r="259" spans="1:27">
      <c r="A259" t="s">
        <v>786</v>
      </c>
      <c r="B259">
        <v>307</v>
      </c>
      <c r="C259">
        <v>307</v>
      </c>
      <c r="D259" s="7" t="s">
        <v>787</v>
      </c>
      <c r="E259" s="7">
        <v>45383</v>
      </c>
      <c r="F259" s="7">
        <v>46843</v>
      </c>
      <c r="G259">
        <v>100000000</v>
      </c>
      <c r="H259" t="s">
        <v>788</v>
      </c>
      <c r="I259" t="s">
        <v>789</v>
      </c>
      <c r="J259">
        <v>0</v>
      </c>
      <c r="K259">
        <v>100000000</v>
      </c>
      <c r="L259" s="7">
        <v>46843</v>
      </c>
      <c r="M259" s="9">
        <v>6.3899999999999998E-2</v>
      </c>
      <c r="N259">
        <v>104.5</v>
      </c>
      <c r="O259">
        <v>4</v>
      </c>
      <c r="P259" s="8">
        <f t="shared" ref="P259:P268" si="4">YIELD($O$1,L259,M259,N259,$P$1,O259)</f>
        <v>4.2052313337073148E-2</v>
      </c>
      <c r="Q259" t="str">
        <f t="array" ref="Q259:R259">VLOOKUP(A259,$X$3:$AA$330,{3,4},0)</f>
        <v>Indemnity</v>
      </c>
      <c r="R259" t="str">
        <v>Per Occurrence</v>
      </c>
      <c r="X259" t="s">
        <v>637</v>
      </c>
      <c r="Y259">
        <v>249</v>
      </c>
      <c r="Z259" t="s">
        <v>32</v>
      </c>
      <c r="AA259" t="s">
        <v>33</v>
      </c>
    </row>
    <row r="260" spans="1:27">
      <c r="A260" t="s">
        <v>790</v>
      </c>
      <c r="B260">
        <v>309</v>
      </c>
      <c r="C260">
        <v>309</v>
      </c>
      <c r="D260" s="7" t="s">
        <v>791</v>
      </c>
      <c r="E260" s="7">
        <v>45292</v>
      </c>
      <c r="F260" s="7">
        <v>46387</v>
      </c>
      <c r="G260">
        <v>250000000</v>
      </c>
      <c r="H260" t="s">
        <v>792</v>
      </c>
      <c r="I260" t="s">
        <v>760</v>
      </c>
      <c r="K260">
        <v>800000000</v>
      </c>
      <c r="L260" s="7">
        <v>46387</v>
      </c>
      <c r="M260" s="9">
        <v>6.164E-2</v>
      </c>
      <c r="N260">
        <v>105.2</v>
      </c>
      <c r="O260">
        <v>4</v>
      </c>
      <c r="P260" s="8">
        <f t="shared" si="4"/>
        <v>4.7531344563336948E-3</v>
      </c>
      <c r="Q260" t="str">
        <f t="array" ref="Q260:R260">VLOOKUP(A260,$X$3:$AA$330,{3,4},0)</f>
        <v>Industry Loss</v>
      </c>
      <c r="R260" t="str">
        <v>Per Occurrence</v>
      </c>
      <c r="X260" t="s">
        <v>641</v>
      </c>
      <c r="Y260">
        <v>250</v>
      </c>
      <c r="Z260" t="s">
        <v>32</v>
      </c>
      <c r="AA260" t="s">
        <v>33</v>
      </c>
    </row>
    <row r="261" spans="1:27">
      <c r="A261" t="s">
        <v>793</v>
      </c>
      <c r="B261">
        <v>312</v>
      </c>
      <c r="C261">
        <v>312</v>
      </c>
      <c r="D261" s="7" t="s">
        <v>794</v>
      </c>
      <c r="E261" s="7">
        <v>45809</v>
      </c>
      <c r="F261" s="7">
        <v>46904</v>
      </c>
      <c r="G261">
        <v>240000000</v>
      </c>
      <c r="H261" t="s">
        <v>426</v>
      </c>
      <c r="I261" t="s">
        <v>795</v>
      </c>
      <c r="J261">
        <v>0</v>
      </c>
      <c r="K261">
        <v>273900000</v>
      </c>
      <c r="L261" s="7">
        <v>46904</v>
      </c>
      <c r="M261" s="9">
        <v>7.2499999999999995E-2</v>
      </c>
      <c r="N261">
        <v>108.35</v>
      </c>
      <c r="O261">
        <v>4</v>
      </c>
      <c r="P261" s="8">
        <f t="shared" si="4"/>
        <v>3.5065897894465577E-2</v>
      </c>
      <c r="Q261" t="str">
        <f t="array" ref="Q261:R261">VLOOKUP(A261,$X$3:$AA$330,{3,4},0)</f>
        <v>Industry Loss</v>
      </c>
      <c r="R261" t="str">
        <v>Annual Aggregate</v>
      </c>
      <c r="X261" t="s">
        <v>643</v>
      </c>
      <c r="Y261">
        <v>251</v>
      </c>
      <c r="Z261" t="s">
        <v>32</v>
      </c>
      <c r="AA261" t="s">
        <v>33</v>
      </c>
    </row>
    <row r="262" spans="1:27">
      <c r="A262" t="s">
        <v>796</v>
      </c>
      <c r="B262">
        <v>313</v>
      </c>
      <c r="C262">
        <v>313</v>
      </c>
      <c r="D262" s="7" t="s">
        <v>797</v>
      </c>
      <c r="E262" s="7">
        <v>45839</v>
      </c>
      <c r="F262" s="7">
        <v>46934</v>
      </c>
      <c r="G262">
        <v>200000000</v>
      </c>
      <c r="H262" t="s">
        <v>798</v>
      </c>
      <c r="I262" t="s">
        <v>37</v>
      </c>
      <c r="K262">
        <v>150000000</v>
      </c>
      <c r="L262" s="7">
        <v>46934</v>
      </c>
      <c r="M262" s="9">
        <v>3.7499999999999999E-2</v>
      </c>
      <c r="N262">
        <v>107.75</v>
      </c>
      <c r="O262">
        <v>4</v>
      </c>
      <c r="P262" s="8">
        <f t="shared" si="4"/>
        <v>5.2073905794505814E-3</v>
      </c>
      <c r="Q262" t="str">
        <f t="array" ref="Q262:R262">VLOOKUP(A262,$X$3:$AA$330,{3,4},0)</f>
        <v>Indemnity</v>
      </c>
      <c r="R262" t="str">
        <v>Per Occurrence</v>
      </c>
      <c r="X262" t="s">
        <v>645</v>
      </c>
      <c r="Y262">
        <v>252</v>
      </c>
      <c r="Z262" t="s">
        <v>32</v>
      </c>
      <c r="AA262" t="s">
        <v>33</v>
      </c>
    </row>
    <row r="263" spans="1:27">
      <c r="A263" t="s">
        <v>799</v>
      </c>
      <c r="B263">
        <v>314</v>
      </c>
      <c r="C263">
        <v>314</v>
      </c>
      <c r="D263" s="7" t="s">
        <v>800</v>
      </c>
      <c r="E263" s="7">
        <v>45809</v>
      </c>
      <c r="F263" s="7">
        <v>46816</v>
      </c>
      <c r="G263">
        <v>150000000</v>
      </c>
      <c r="H263" t="s">
        <v>801</v>
      </c>
      <c r="I263" t="s">
        <v>53</v>
      </c>
      <c r="K263">
        <v>150000000</v>
      </c>
      <c r="L263" s="7">
        <v>46816</v>
      </c>
      <c r="M263" s="9">
        <v>7.4999999999999997E-2</v>
      </c>
      <c r="N263">
        <v>100</v>
      </c>
      <c r="O263">
        <v>4</v>
      </c>
      <c r="P263" s="8">
        <f t="shared" si="4"/>
        <v>7.4978917576676157E-2</v>
      </c>
      <c r="Q263" t="str">
        <f t="array" ref="Q263:R263">VLOOKUP(A263,$X$3:$AA$330,{3,4},0)</f>
        <v>Indemnity</v>
      </c>
      <c r="R263" t="str">
        <v>Per Occurrence</v>
      </c>
      <c r="X263" t="s">
        <v>646</v>
      </c>
      <c r="Y263">
        <v>253</v>
      </c>
      <c r="Z263" t="s">
        <v>32</v>
      </c>
      <c r="AA263" t="s">
        <v>33</v>
      </c>
    </row>
    <row r="264" spans="1:27">
      <c r="A264" t="s">
        <v>802</v>
      </c>
      <c r="B264">
        <v>316</v>
      </c>
      <c r="C264">
        <v>316</v>
      </c>
      <c r="D264" s="7" t="s">
        <v>803</v>
      </c>
      <c r="E264" s="7">
        <v>45689</v>
      </c>
      <c r="F264" s="7">
        <v>46783</v>
      </c>
      <c r="G264">
        <v>100000000</v>
      </c>
      <c r="H264" t="s">
        <v>335</v>
      </c>
      <c r="I264" t="s">
        <v>804</v>
      </c>
      <c r="J264">
        <v>0</v>
      </c>
      <c r="K264">
        <v>10000000000</v>
      </c>
      <c r="L264" s="7">
        <v>46783</v>
      </c>
      <c r="M264" s="9">
        <v>0.03</v>
      </c>
      <c r="N264">
        <v>103.1</v>
      </c>
      <c r="O264">
        <v>4</v>
      </c>
      <c r="P264" s="8">
        <f t="shared" si="4"/>
        <v>1.4250476336219247E-2</v>
      </c>
      <c r="Q264" t="str">
        <f t="array" ref="Q264:R264">VLOOKUP(A264,$X$3:$AA$330,{3,4},0)</f>
        <v>Industry Loss</v>
      </c>
      <c r="R264" t="str">
        <v>Per Occurrence</v>
      </c>
      <c r="X264" t="s">
        <v>648</v>
      </c>
      <c r="Y264">
        <v>254</v>
      </c>
      <c r="Z264" t="s">
        <v>32</v>
      </c>
      <c r="AA264" t="s">
        <v>33</v>
      </c>
    </row>
    <row r="265" spans="1:27">
      <c r="A265" t="s">
        <v>805</v>
      </c>
      <c r="B265">
        <v>317</v>
      </c>
      <c r="C265">
        <v>317</v>
      </c>
      <c r="D265" s="7" t="s">
        <v>806</v>
      </c>
      <c r="E265" s="7">
        <v>45689</v>
      </c>
      <c r="F265" s="7">
        <v>46783</v>
      </c>
      <c r="G265">
        <v>100000000</v>
      </c>
      <c r="H265" t="s">
        <v>335</v>
      </c>
      <c r="I265" t="s">
        <v>807</v>
      </c>
      <c r="J265">
        <v>0</v>
      </c>
      <c r="K265">
        <v>30000000000</v>
      </c>
      <c r="L265" s="7">
        <v>46783</v>
      </c>
      <c r="M265" s="9">
        <v>0.21249999999999999</v>
      </c>
      <c r="N265">
        <v>101.25</v>
      </c>
      <c r="O265">
        <v>4</v>
      </c>
      <c r="P265" s="8">
        <f t="shared" si="4"/>
        <v>0.20472691205364427</v>
      </c>
      <c r="Q265" t="str">
        <f t="array" ref="Q265:R265">VLOOKUP(A265,$X$3:$AA$330,{3,4},0)</f>
        <v>Industry Loss</v>
      </c>
      <c r="R265" t="str">
        <v>Annual Aggregate</v>
      </c>
      <c r="X265" t="s">
        <v>653</v>
      </c>
      <c r="Y265">
        <v>255</v>
      </c>
      <c r="Z265" t="s">
        <v>32</v>
      </c>
      <c r="AA265" t="s">
        <v>27</v>
      </c>
    </row>
    <row r="266" spans="1:27">
      <c r="A266" t="s">
        <v>808</v>
      </c>
      <c r="B266">
        <v>318</v>
      </c>
      <c r="C266">
        <v>318</v>
      </c>
      <c r="D266" s="7" t="s">
        <v>809</v>
      </c>
      <c r="E266" s="7">
        <v>45292</v>
      </c>
      <c r="F266" s="7">
        <v>46387</v>
      </c>
      <c r="G266">
        <v>275000000</v>
      </c>
      <c r="H266" t="s">
        <v>810</v>
      </c>
      <c r="I266" t="s">
        <v>775</v>
      </c>
      <c r="J266">
        <v>0</v>
      </c>
      <c r="K266">
        <v>275000000</v>
      </c>
      <c r="L266" s="7">
        <v>46387</v>
      </c>
      <c r="M266" s="9">
        <v>0.13039999999999999</v>
      </c>
      <c r="N266">
        <v>104.2</v>
      </c>
      <c r="O266">
        <v>4</v>
      </c>
      <c r="P266" s="8">
        <f t="shared" si="4"/>
        <v>8.2278580872014354E-2</v>
      </c>
      <c r="Q266" t="str">
        <f t="array" ref="Q266:R266">VLOOKUP(A266,$X$3:$AA$330,{3,4},0)</f>
        <v>Industry Loss</v>
      </c>
      <c r="R266" t="str">
        <v>Per Occurrence</v>
      </c>
      <c r="X266" t="s">
        <v>657</v>
      </c>
      <c r="Y266">
        <v>256</v>
      </c>
      <c r="Z266" t="s">
        <v>32</v>
      </c>
      <c r="AA266" t="s">
        <v>33</v>
      </c>
    </row>
    <row r="267" spans="1:27">
      <c r="A267" t="s">
        <v>811</v>
      </c>
      <c r="B267">
        <v>319</v>
      </c>
      <c r="C267">
        <v>319</v>
      </c>
      <c r="D267" s="7" t="s">
        <v>23</v>
      </c>
      <c r="E267" s="7">
        <v>45804</v>
      </c>
      <c r="F267" s="7">
        <v>46538</v>
      </c>
      <c r="G267">
        <v>90000000</v>
      </c>
      <c r="H267" t="s">
        <v>24</v>
      </c>
      <c r="I267" t="s">
        <v>25</v>
      </c>
      <c r="K267">
        <v>30000000000</v>
      </c>
      <c r="L267" s="7">
        <v>46538</v>
      </c>
      <c r="M267" s="9">
        <v>0.31</v>
      </c>
      <c r="N267">
        <v>103.15</v>
      </c>
      <c r="O267">
        <v>4</v>
      </c>
      <c r="P267" s="8">
        <f t="shared" si="4"/>
        <v>0.28033466465228302</v>
      </c>
      <c r="Q267" t="str">
        <f t="array" ref="Q267:R267">VLOOKUP(A267,$X$3:$AA$330,{3,4},0)</f>
        <v>Industry Loss</v>
      </c>
      <c r="R267" t="str">
        <v>Annual Aggregate</v>
      </c>
      <c r="X267" t="s">
        <v>662</v>
      </c>
      <c r="Y267">
        <v>257</v>
      </c>
      <c r="Z267" t="s">
        <v>32</v>
      </c>
      <c r="AA267" t="s">
        <v>33</v>
      </c>
    </row>
    <row r="268" spans="1:27">
      <c r="A268" t="s">
        <v>812</v>
      </c>
      <c r="B268">
        <v>320</v>
      </c>
      <c r="C268">
        <v>320</v>
      </c>
      <c r="D268" s="7" t="s">
        <v>813</v>
      </c>
      <c r="E268" s="7">
        <v>45992</v>
      </c>
      <c r="F268" s="7">
        <v>47452</v>
      </c>
      <c r="G268">
        <v>200000000</v>
      </c>
      <c r="H268" t="s">
        <v>106</v>
      </c>
      <c r="I268" t="s">
        <v>37</v>
      </c>
      <c r="J268">
        <v>0</v>
      </c>
      <c r="K268">
        <v>950000000</v>
      </c>
      <c r="L268" s="7">
        <v>47452</v>
      </c>
      <c r="M268" s="9">
        <v>0.10249999999999999</v>
      </c>
      <c r="N268">
        <v>102.35</v>
      </c>
      <c r="O268">
        <v>4</v>
      </c>
      <c r="P268" s="8">
        <f t="shared" si="4"/>
        <v>9.5091656662446206E-2</v>
      </c>
      <c r="Q268" t="str">
        <f t="array" ref="Q268:R268">VLOOKUP(A268,$X$3:$AA$330,{3,4},0)</f>
        <v>Indemnity</v>
      </c>
      <c r="R268" t="str">
        <v>Per Occurrence</v>
      </c>
      <c r="X268" t="s">
        <v>665</v>
      </c>
      <c r="Y268">
        <v>258</v>
      </c>
      <c r="Z268" t="s">
        <v>32</v>
      </c>
      <c r="AA268" t="s">
        <v>33</v>
      </c>
    </row>
    <row r="269" spans="1:27">
      <c r="X269" t="s">
        <v>669</v>
      </c>
      <c r="Y269">
        <v>259</v>
      </c>
      <c r="Z269" t="s">
        <v>32</v>
      </c>
      <c r="AA269" t="s">
        <v>33</v>
      </c>
    </row>
    <row r="270" spans="1:27">
      <c r="X270" t="s">
        <v>674</v>
      </c>
      <c r="Y270">
        <v>260</v>
      </c>
      <c r="Z270" t="s">
        <v>32</v>
      </c>
      <c r="AA270" t="s">
        <v>27</v>
      </c>
    </row>
    <row r="271" spans="1:27">
      <c r="X271" t="s">
        <v>677</v>
      </c>
      <c r="Y271">
        <v>261</v>
      </c>
      <c r="Z271" t="s">
        <v>32</v>
      </c>
      <c r="AA271" t="s">
        <v>27</v>
      </c>
    </row>
    <row r="272" spans="1:27">
      <c r="X272" t="s">
        <v>680</v>
      </c>
      <c r="Y272">
        <v>262</v>
      </c>
      <c r="Z272" t="s">
        <v>32</v>
      </c>
      <c r="AA272" t="s">
        <v>814</v>
      </c>
    </row>
    <row r="273" spans="24:27">
      <c r="X273" t="s">
        <v>683</v>
      </c>
      <c r="Y273">
        <v>263</v>
      </c>
      <c r="Z273" t="s">
        <v>32</v>
      </c>
      <c r="AA273" t="s">
        <v>33</v>
      </c>
    </row>
    <row r="274" spans="24:27">
      <c r="X274" t="s">
        <v>688</v>
      </c>
      <c r="Y274">
        <v>264</v>
      </c>
      <c r="Z274" t="s">
        <v>26</v>
      </c>
      <c r="AA274" t="s">
        <v>27</v>
      </c>
    </row>
    <row r="275" spans="24:27">
      <c r="X275" t="s">
        <v>690</v>
      </c>
      <c r="Y275">
        <v>265</v>
      </c>
      <c r="Z275" t="s">
        <v>32</v>
      </c>
      <c r="AA275" t="s">
        <v>33</v>
      </c>
    </row>
    <row r="276" spans="24:27">
      <c r="X276" t="s">
        <v>694</v>
      </c>
      <c r="Y276">
        <v>266</v>
      </c>
      <c r="Z276" t="s">
        <v>32</v>
      </c>
      <c r="AA276" t="s">
        <v>33</v>
      </c>
    </row>
    <row r="277" spans="24:27">
      <c r="X277" t="s">
        <v>697</v>
      </c>
      <c r="Y277">
        <v>267</v>
      </c>
      <c r="Z277" t="s">
        <v>26</v>
      </c>
      <c r="AA277" t="s">
        <v>33</v>
      </c>
    </row>
    <row r="278" spans="24:27">
      <c r="X278" t="s">
        <v>700</v>
      </c>
      <c r="Y278">
        <v>268</v>
      </c>
      <c r="Z278" t="s">
        <v>26</v>
      </c>
      <c r="AA278" t="s">
        <v>33</v>
      </c>
    </row>
    <row r="279" spans="24:27">
      <c r="X279" t="s">
        <v>703</v>
      </c>
      <c r="Y279">
        <v>269</v>
      </c>
      <c r="Z279" t="s">
        <v>32</v>
      </c>
      <c r="AA279" t="s">
        <v>33</v>
      </c>
    </row>
    <row r="280" spans="24:27">
      <c r="X280" t="s">
        <v>705</v>
      </c>
      <c r="Y280">
        <v>270</v>
      </c>
      <c r="Z280" t="s">
        <v>32</v>
      </c>
      <c r="AA280" t="s">
        <v>33</v>
      </c>
    </row>
    <row r="281" spans="24:27">
      <c r="X281" t="s">
        <v>707</v>
      </c>
      <c r="Y281">
        <v>271</v>
      </c>
      <c r="Z281" t="s">
        <v>32</v>
      </c>
      <c r="AA281" t="s">
        <v>27</v>
      </c>
    </row>
    <row r="282" spans="24:27">
      <c r="X282" t="s">
        <v>710</v>
      </c>
      <c r="Y282">
        <v>272</v>
      </c>
      <c r="Z282" t="s">
        <v>32</v>
      </c>
      <c r="AA282" t="s">
        <v>27</v>
      </c>
    </row>
    <row r="283" spans="24:27">
      <c r="X283" t="s">
        <v>713</v>
      </c>
      <c r="Y283">
        <v>273</v>
      </c>
      <c r="Z283" t="s">
        <v>32</v>
      </c>
      <c r="AA283" t="s">
        <v>27</v>
      </c>
    </row>
    <row r="284" spans="24:27">
      <c r="X284" t="s">
        <v>715</v>
      </c>
      <c r="Y284">
        <v>274</v>
      </c>
      <c r="Z284" t="s">
        <v>32</v>
      </c>
      <c r="AA284" t="s">
        <v>27</v>
      </c>
    </row>
    <row r="285" spans="24:27">
      <c r="X285" t="s">
        <v>717</v>
      </c>
      <c r="Y285">
        <v>275</v>
      </c>
      <c r="Z285" t="s">
        <v>32</v>
      </c>
      <c r="AA285" t="s">
        <v>27</v>
      </c>
    </row>
    <row r="286" spans="24:27">
      <c r="X286" t="s">
        <v>815</v>
      </c>
      <c r="Y286">
        <v>276</v>
      </c>
      <c r="Z286" t="s">
        <v>153</v>
      </c>
      <c r="AA286" t="s">
        <v>153</v>
      </c>
    </row>
    <row r="287" spans="24:27">
      <c r="X287" t="s">
        <v>719</v>
      </c>
      <c r="Y287">
        <v>277</v>
      </c>
      <c r="Z287" t="s">
        <v>32</v>
      </c>
      <c r="AA287" t="s">
        <v>33</v>
      </c>
    </row>
    <row r="288" spans="24:27">
      <c r="X288" t="s">
        <v>722</v>
      </c>
      <c r="Y288">
        <v>278</v>
      </c>
      <c r="Z288" t="s">
        <v>26</v>
      </c>
      <c r="AA288" t="s">
        <v>27</v>
      </c>
    </row>
    <row r="289" spans="24:27">
      <c r="X289" t="s">
        <v>726</v>
      </c>
      <c r="Y289">
        <v>279</v>
      </c>
      <c r="Z289" t="s">
        <v>26</v>
      </c>
      <c r="AA289" t="s">
        <v>27</v>
      </c>
    </row>
    <row r="290" spans="24:27">
      <c r="X290" t="s">
        <v>728</v>
      </c>
      <c r="Y290">
        <v>280</v>
      </c>
      <c r="Z290" t="s">
        <v>26</v>
      </c>
      <c r="AA290" t="s">
        <v>27</v>
      </c>
    </row>
    <row r="291" spans="24:27">
      <c r="X291" t="s">
        <v>816</v>
      </c>
      <c r="Y291">
        <v>281</v>
      </c>
      <c r="Z291" t="s">
        <v>26</v>
      </c>
      <c r="AA291" t="s">
        <v>27</v>
      </c>
    </row>
    <row r="292" spans="24:27">
      <c r="X292" t="s">
        <v>817</v>
      </c>
      <c r="Y292">
        <v>282</v>
      </c>
      <c r="Z292" t="s">
        <v>26</v>
      </c>
      <c r="AA292" t="s">
        <v>33</v>
      </c>
    </row>
    <row r="293" spans="24:27">
      <c r="X293" t="s">
        <v>730</v>
      </c>
      <c r="Y293">
        <v>283</v>
      </c>
      <c r="Z293" t="s">
        <v>32</v>
      </c>
      <c r="AA293" t="s">
        <v>33</v>
      </c>
    </row>
    <row r="294" spans="24:27">
      <c r="X294" t="s">
        <v>733</v>
      </c>
      <c r="Y294">
        <v>284</v>
      </c>
      <c r="Z294" t="s">
        <v>32</v>
      </c>
      <c r="AA294" t="s">
        <v>33</v>
      </c>
    </row>
    <row r="295" spans="24:27">
      <c r="X295" t="s">
        <v>737</v>
      </c>
      <c r="Y295">
        <v>285</v>
      </c>
      <c r="Z295" t="s">
        <v>32</v>
      </c>
      <c r="AA295" t="s">
        <v>33</v>
      </c>
    </row>
    <row r="296" spans="24:27">
      <c r="X296" t="s">
        <v>818</v>
      </c>
      <c r="Y296">
        <v>286</v>
      </c>
      <c r="Z296" t="s">
        <v>32</v>
      </c>
      <c r="AA296" t="s">
        <v>33</v>
      </c>
    </row>
    <row r="297" spans="24:27">
      <c r="X297" t="s">
        <v>739</v>
      </c>
      <c r="Y297">
        <v>287</v>
      </c>
      <c r="Z297" t="s">
        <v>26</v>
      </c>
      <c r="AA297" t="s">
        <v>27</v>
      </c>
    </row>
    <row r="298" spans="24:27">
      <c r="X298" t="s">
        <v>741</v>
      </c>
      <c r="Y298">
        <v>288</v>
      </c>
      <c r="Z298" t="s">
        <v>26</v>
      </c>
      <c r="AA298" t="s">
        <v>27</v>
      </c>
    </row>
    <row r="299" spans="24:27">
      <c r="X299" t="s">
        <v>743</v>
      </c>
      <c r="Y299">
        <v>289</v>
      </c>
      <c r="Z299" t="s">
        <v>26</v>
      </c>
      <c r="AA299" t="s">
        <v>27</v>
      </c>
    </row>
    <row r="300" spans="24:27">
      <c r="X300" t="s">
        <v>745</v>
      </c>
      <c r="Y300">
        <v>290</v>
      </c>
      <c r="Z300" t="s">
        <v>26</v>
      </c>
      <c r="AA300" t="s">
        <v>27</v>
      </c>
    </row>
    <row r="301" spans="24:27">
      <c r="X301" t="s">
        <v>747</v>
      </c>
      <c r="Y301">
        <v>291</v>
      </c>
      <c r="Z301" t="s">
        <v>26</v>
      </c>
      <c r="AA301" t="s">
        <v>27</v>
      </c>
    </row>
    <row r="302" spans="24:27">
      <c r="X302" t="s">
        <v>749</v>
      </c>
      <c r="Y302">
        <v>292</v>
      </c>
      <c r="Z302" t="s">
        <v>26</v>
      </c>
      <c r="AA302" t="s">
        <v>27</v>
      </c>
    </row>
    <row r="303" spans="24:27">
      <c r="X303" t="s">
        <v>819</v>
      </c>
      <c r="Y303">
        <v>293</v>
      </c>
      <c r="Z303" t="s">
        <v>32</v>
      </c>
      <c r="AA303" t="s">
        <v>33</v>
      </c>
    </row>
    <row r="304" spans="24:27">
      <c r="X304" t="s">
        <v>820</v>
      </c>
      <c r="Y304">
        <v>294</v>
      </c>
      <c r="Z304" t="s">
        <v>32</v>
      </c>
      <c r="AA304" t="s">
        <v>27</v>
      </c>
    </row>
    <row r="305" spans="24:27">
      <c r="X305" t="s">
        <v>753</v>
      </c>
      <c r="Y305">
        <v>295</v>
      </c>
      <c r="Z305" t="s">
        <v>32</v>
      </c>
      <c r="AA305" t="s">
        <v>27</v>
      </c>
    </row>
    <row r="306" spans="24:27">
      <c r="X306" t="s">
        <v>757</v>
      </c>
      <c r="Y306">
        <v>296</v>
      </c>
      <c r="Z306" t="s">
        <v>32</v>
      </c>
      <c r="AA306" t="s">
        <v>33</v>
      </c>
    </row>
    <row r="307" spans="24:27">
      <c r="X307" t="s">
        <v>821</v>
      </c>
      <c r="Y307">
        <v>297</v>
      </c>
      <c r="Z307" t="s">
        <v>26</v>
      </c>
      <c r="AA307" t="s">
        <v>27</v>
      </c>
    </row>
    <row r="308" spans="24:27">
      <c r="X308" t="s">
        <v>822</v>
      </c>
      <c r="Y308">
        <v>298</v>
      </c>
      <c r="Z308" t="s">
        <v>26</v>
      </c>
      <c r="AA308" t="s">
        <v>33</v>
      </c>
    </row>
    <row r="309" spans="24:27">
      <c r="X309" t="s">
        <v>762</v>
      </c>
      <c r="Y309">
        <v>299</v>
      </c>
      <c r="Z309" t="s">
        <v>26</v>
      </c>
      <c r="AA309" t="s">
        <v>27</v>
      </c>
    </row>
    <row r="310" spans="24:27">
      <c r="X310" t="s">
        <v>765</v>
      </c>
      <c r="Y310">
        <v>300</v>
      </c>
      <c r="Z310" t="s">
        <v>26</v>
      </c>
      <c r="AA310" t="s">
        <v>27</v>
      </c>
    </row>
    <row r="311" spans="24:27">
      <c r="X311" t="s">
        <v>767</v>
      </c>
      <c r="Y311">
        <v>301</v>
      </c>
      <c r="Z311" t="s">
        <v>26</v>
      </c>
      <c r="AA311" t="s">
        <v>27</v>
      </c>
    </row>
    <row r="312" spans="24:27">
      <c r="X312" t="s">
        <v>770</v>
      </c>
      <c r="Y312">
        <v>302</v>
      </c>
      <c r="Z312" t="s">
        <v>26</v>
      </c>
      <c r="AA312" t="s">
        <v>27</v>
      </c>
    </row>
    <row r="313" spans="24:27">
      <c r="X313" t="s">
        <v>772</v>
      </c>
      <c r="Y313">
        <v>303</v>
      </c>
      <c r="Z313" t="s">
        <v>26</v>
      </c>
      <c r="AA313" t="s">
        <v>27</v>
      </c>
    </row>
    <row r="314" spans="24:27">
      <c r="X314" t="s">
        <v>777</v>
      </c>
      <c r="Y314">
        <v>304</v>
      </c>
      <c r="Z314" t="s">
        <v>26</v>
      </c>
      <c r="AA314" t="s">
        <v>27</v>
      </c>
    </row>
    <row r="315" spans="24:27">
      <c r="X315" t="s">
        <v>780</v>
      </c>
      <c r="Y315">
        <v>305</v>
      </c>
      <c r="Z315" t="s">
        <v>32</v>
      </c>
      <c r="AA315" t="s">
        <v>33</v>
      </c>
    </row>
    <row r="316" spans="24:27">
      <c r="X316" t="s">
        <v>782</v>
      </c>
      <c r="Y316">
        <v>306</v>
      </c>
      <c r="Z316" t="s">
        <v>32</v>
      </c>
      <c r="AA316" t="s">
        <v>33</v>
      </c>
    </row>
    <row r="317" spans="24:27">
      <c r="X317" t="s">
        <v>786</v>
      </c>
      <c r="Y317">
        <v>307</v>
      </c>
      <c r="Z317" t="s">
        <v>32</v>
      </c>
      <c r="AA317" t="s">
        <v>33</v>
      </c>
    </row>
    <row r="318" spans="24:27">
      <c r="X318" t="s">
        <v>823</v>
      </c>
      <c r="Y318">
        <v>308</v>
      </c>
      <c r="Z318" t="s">
        <v>32</v>
      </c>
      <c r="AA318" t="s">
        <v>33</v>
      </c>
    </row>
    <row r="319" spans="24:27">
      <c r="X319" t="s">
        <v>790</v>
      </c>
      <c r="Y319">
        <v>309</v>
      </c>
      <c r="Z319" t="s">
        <v>26</v>
      </c>
      <c r="AA319" t="s">
        <v>33</v>
      </c>
    </row>
    <row r="320" spans="24:27">
      <c r="X320" t="s">
        <v>824</v>
      </c>
      <c r="Y320">
        <v>310</v>
      </c>
      <c r="Z320" t="s">
        <v>26</v>
      </c>
      <c r="AA320" t="s">
        <v>33</v>
      </c>
    </row>
    <row r="321" spans="24:27">
      <c r="X321" t="s">
        <v>825</v>
      </c>
      <c r="Y321">
        <v>311</v>
      </c>
      <c r="Z321" t="s">
        <v>26</v>
      </c>
      <c r="AA321" t="s">
        <v>27</v>
      </c>
    </row>
    <row r="322" spans="24:27">
      <c r="X322" t="s">
        <v>793</v>
      </c>
      <c r="Y322">
        <v>312</v>
      </c>
      <c r="Z322" t="s">
        <v>26</v>
      </c>
      <c r="AA322" t="s">
        <v>27</v>
      </c>
    </row>
    <row r="323" spans="24:27">
      <c r="X323" t="s">
        <v>796</v>
      </c>
      <c r="Y323">
        <v>313</v>
      </c>
      <c r="Z323" t="s">
        <v>32</v>
      </c>
      <c r="AA323" t="s">
        <v>33</v>
      </c>
    </row>
    <row r="324" spans="24:27">
      <c r="X324" t="s">
        <v>799</v>
      </c>
      <c r="Y324">
        <v>314</v>
      </c>
      <c r="Z324" t="s">
        <v>32</v>
      </c>
      <c r="AA324" t="s">
        <v>33</v>
      </c>
    </row>
    <row r="325" spans="24:27">
      <c r="X325" t="s">
        <v>826</v>
      </c>
      <c r="Y325">
        <v>315</v>
      </c>
      <c r="Z325" t="s">
        <v>32</v>
      </c>
      <c r="AA325" t="s">
        <v>33</v>
      </c>
    </row>
    <row r="326" spans="24:27">
      <c r="X326" t="s">
        <v>802</v>
      </c>
      <c r="Y326">
        <v>316</v>
      </c>
      <c r="Z326" t="s">
        <v>26</v>
      </c>
      <c r="AA326" t="s">
        <v>33</v>
      </c>
    </row>
    <row r="327" spans="24:27">
      <c r="X327" t="s">
        <v>805</v>
      </c>
      <c r="Y327">
        <v>317</v>
      </c>
      <c r="Z327" t="s">
        <v>26</v>
      </c>
      <c r="AA327" t="s">
        <v>27</v>
      </c>
    </row>
    <row r="328" spans="24:27">
      <c r="X328" t="s">
        <v>808</v>
      </c>
      <c r="Y328">
        <v>318</v>
      </c>
      <c r="Z328" t="s">
        <v>26</v>
      </c>
      <c r="AA328" t="s">
        <v>33</v>
      </c>
    </row>
    <row r="329" spans="24:27">
      <c r="X329" t="s">
        <v>811</v>
      </c>
      <c r="Y329">
        <v>319</v>
      </c>
      <c r="Z329" t="s">
        <v>26</v>
      </c>
      <c r="AA329" t="s">
        <v>27</v>
      </c>
    </row>
    <row r="330" spans="24:27">
      <c r="X330" t="s">
        <v>812</v>
      </c>
      <c r="Y330">
        <v>320</v>
      </c>
      <c r="Z330" t="s">
        <v>32</v>
      </c>
      <c r="AA330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11"/>
  <sheetViews>
    <sheetView topLeftCell="A3" workbookViewId="0">
      <selection activeCell="D15" sqref="D15"/>
    </sheetView>
  </sheetViews>
  <sheetFormatPr defaultRowHeight="14.4"/>
  <cols>
    <col min="1" max="1" width="18" customWidth="1"/>
    <col min="2" max="2" width="32" customWidth="1"/>
    <col min="3" max="3" width="60" customWidth="1"/>
  </cols>
  <sheetData>
    <row r="1" spans="1:3">
      <c r="A1" s="3" t="s">
        <v>827</v>
      </c>
      <c r="B1" s="3" t="s">
        <v>828</v>
      </c>
      <c r="C1" s="3" t="s">
        <v>829</v>
      </c>
    </row>
    <row r="2" spans="1:3">
      <c r="A2" s="4" t="s">
        <v>830</v>
      </c>
      <c r="B2" s="2" t="s">
        <v>831</v>
      </c>
      <c r="C2" s="4"/>
    </row>
    <row r="3" spans="1:3">
      <c r="A3" s="4" t="s">
        <v>832</v>
      </c>
      <c r="B3" s="2" t="s">
        <v>833</v>
      </c>
      <c r="C3" s="4"/>
    </row>
    <row r="4" spans="1:3">
      <c r="A4" s="4" t="s">
        <v>834</v>
      </c>
      <c r="B4" s="2" t="s">
        <v>835</v>
      </c>
      <c r="C4" s="4"/>
    </row>
    <row r="5" spans="1:3">
      <c r="A5" s="4" t="s">
        <v>836</v>
      </c>
      <c r="B5" s="2"/>
      <c r="C5" s="4"/>
    </row>
    <row r="6" spans="1:3">
      <c r="A6" s="4" t="s">
        <v>837</v>
      </c>
      <c r="B6" s="2"/>
      <c r="C6" s="4"/>
    </row>
    <row r="7" spans="1:3">
      <c r="A7" s="4" t="s">
        <v>838</v>
      </c>
      <c r="B7" s="2">
        <v>10000</v>
      </c>
      <c r="C7" s="4"/>
    </row>
    <row r="8" spans="1:3">
      <c r="A8" s="4" t="s">
        <v>839</v>
      </c>
      <c r="B8" s="2">
        <v>0</v>
      </c>
      <c r="C8" s="4"/>
    </row>
    <row r="9" spans="1:3">
      <c r="A9" s="4" t="s">
        <v>840</v>
      </c>
      <c r="B9" s="2" t="s">
        <v>841</v>
      </c>
      <c r="C9" s="4"/>
    </row>
    <row r="10" spans="1:3">
      <c r="A10" s="4" t="s">
        <v>842</v>
      </c>
      <c r="B10" s="2" t="s">
        <v>847</v>
      </c>
      <c r="C10" s="4" t="s">
        <v>843</v>
      </c>
    </row>
    <row r="11" spans="1:3">
      <c r="A11" s="4" t="s">
        <v>844</v>
      </c>
      <c r="B11" s="2" t="s">
        <v>845</v>
      </c>
      <c r="C11" s="4" t="s">
        <v>846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Output</vt:lpstr>
      <vt:lpstr>Sheet1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sindhu raghavan</cp:lastModifiedBy>
  <dcterms:created xsi:type="dcterms:W3CDTF">2026-07-20T06:48:43Z</dcterms:created>
  <dcterms:modified xsi:type="dcterms:W3CDTF">2026-07-27T11:35:11Z</dcterms:modified>
</cp:coreProperties>
</file>